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Index" sheetId="1" state="visible" r:id="rId1"/>
    <sheet name="Indicator_Summary" sheetId="2" state="visible" r:id="rId2"/>
    <sheet name="Pivot_Data" sheetId="3" state="visible" r:id="rId3"/>
    <sheet name="Зміст" sheetId="4" state="visible" r:id="rId4"/>
    <sheet name="  2АТ &quot;Укрексімбанк&quot; " sheetId="5" state="visible" r:id="rId5"/>
  </sheets>
  <definedNames>
    <definedName name="_xlnm._FilterDatabase" localSheetId="3" hidden="1">'Зміст'!$A$6:$C$66</definedName>
    <definedName name="_xlnm.Print_Titles" localSheetId="3">'Зміст'!$1:$6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2"/>
      <color theme="10"/>
      <sz val="10"/>
      <u val="single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Arial"/>
      <charset val="204"/>
      <family val="2"/>
      <color rgb="FF000000"/>
      <sz val="7"/>
    </font>
    <font>
      <name val="Arial"/>
      <charset val="204"/>
      <family val="2"/>
      <color rgb="FF000000"/>
      <sz val="9"/>
    </font>
    <font>
      <name val="Arial"/>
      <charset val="204"/>
      <family val="2"/>
      <b val="1"/>
      <color theme="10"/>
      <sz val="12"/>
      <u val="single"/>
    </font>
    <font>
      <name val="Arial"/>
      <charset val="204"/>
      <family val="2"/>
      <color rgb="FF000000"/>
      <sz val="8"/>
    </font>
    <font>
      <name val="Arial"/>
      <charset val="204"/>
      <family val="2"/>
      <b val="1"/>
      <color rgb="FF000000"/>
      <sz val="12"/>
    </font>
    <font>
      <name val="Times New Roman"/>
      <charset val="204"/>
      <family val="1"/>
      <color rgb="FF000000"/>
      <sz val="10"/>
    </font>
    <font>
      <name val="Arial"/>
      <charset val="204"/>
      <family val="2"/>
      <b val="1"/>
      <color rgb="FF000000"/>
      <sz val="8"/>
    </font>
    <font>
      <b val="1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FF"/>
      <sz val="11"/>
      <u val="single"/>
    </font>
    <font>
      <name val="Arial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00D3D3D3"/>
        <bgColor rgb="00D3D3D3"/>
      </patternFill>
    </fill>
    <fill>
      <patternFill patternType="solid">
        <fgColor rgb="000070C0"/>
        <bgColor rgb="000070C0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BDD7EE"/>
        <bgColor rgb="00BDD7EE"/>
      </patternFill>
    </fill>
  </fills>
  <borders count="32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  <border>
      <left style="hair"/>
      <right style="hair"/>
      <top/>
      <bottom/>
      <diagonal/>
    </border>
    <border>
      <left style="hair"/>
      <right/>
      <top style="hair"/>
      <bottom/>
      <diagonal/>
    </border>
    <border>
      <left style="hair"/>
      <right style="hair">
        <color rgb="FF333333"/>
      </right>
      <top style="hair"/>
      <bottom/>
      <diagonal/>
    </border>
    <border>
      <left style="hair"/>
      <right/>
      <top style="hair"/>
      <bottom style="hair">
        <color rgb="FF333333"/>
      </bottom>
      <diagonal/>
    </border>
    <border>
      <left style="hair"/>
      <right style="hair">
        <color rgb="FF333333"/>
      </right>
      <top style="hair"/>
      <bottom style="hair">
        <color rgb="FF333333"/>
      </bottom>
      <diagonal/>
    </border>
    <border>
      <left/>
      <right style="hair"/>
      <top style="hair"/>
      <bottom/>
      <diagonal/>
    </border>
    <border>
      <left/>
      <right/>
      <top style="hair"/>
      <bottom/>
      <diagonal/>
    </border>
    <border>
      <left style="hair"/>
      <right/>
      <top/>
      <bottom style="hair"/>
      <diagonal/>
    </border>
    <border>
      <left style="thin"/>
      <right style="thin"/>
      <top/>
      <bottom/>
      <diagonal/>
    </border>
    <border>
      <left/>
      <right style="thin"/>
      <top/>
      <bottom style="thin"/>
      <diagonal/>
    </border>
    <border>
      <left/>
      <right style="hair"/>
      <top/>
      <bottom style="hair"/>
      <diagonal/>
    </border>
    <border>
      <left/>
      <right/>
      <top style="hair"/>
      <bottom style="hair">
        <color rgb="FF333333"/>
      </bottom>
      <diagonal/>
    </border>
    <border>
      <left style="thin"/>
      <right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hair"/>
      <diagonal/>
    </border>
    <border>
      <left style="hair"/>
      <right/>
      <top/>
      <bottom/>
      <diagonal/>
    </border>
    <border>
      <left style="thin"/>
      <right style="thin"/>
      <top style="thin"/>
      <bottom style="thin"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/>
    <xf numFmtId="0" fontId="4" fillId="0" borderId="0"/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145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2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7" fillId="0" borderId="0" applyAlignment="1" pivotButton="0" quotePrefix="0" xfId="21">
      <alignment horizontal="general" vertical="bottom"/>
    </xf>
    <xf numFmtId="0" fontId="8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9" fillId="0" borderId="0" applyAlignment="1" pivotButton="0" quotePrefix="0" xfId="22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21">
      <alignment horizontal="general" vertical="bottom" wrapText="1"/>
    </xf>
    <xf numFmtId="0" fontId="11" fillId="2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23">
      <alignment horizontal="general" vertical="bottom" wrapText="1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right" vertical="top" wrapText="1"/>
    </xf>
    <xf numFmtId="0" fontId="14" fillId="0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general" vertical="bottom"/>
    </xf>
    <xf numFmtId="0" fontId="14" fillId="2" borderId="3" applyAlignment="1" pivotButton="0" quotePrefix="0" xfId="0">
      <alignment horizontal="center" vertical="top" wrapText="1"/>
    </xf>
    <xf numFmtId="0" fontId="14" fillId="2" borderId="4" applyAlignment="1" pivotButton="0" quotePrefix="0" xfId="0">
      <alignment horizontal="center" vertical="top" wrapText="1"/>
    </xf>
    <xf numFmtId="0" fontId="11" fillId="2" borderId="5" applyAlignment="1" pivotButton="0" quotePrefix="0" xfId="23">
      <alignment horizontal="center" vertical="center"/>
    </xf>
    <xf numFmtId="0" fontId="14" fillId="2" borderId="5" applyAlignment="1" pivotButton="0" quotePrefix="0" xfId="0">
      <alignment horizontal="center" vertical="top" wrapText="1"/>
    </xf>
    <xf numFmtId="0" fontId="11" fillId="2" borderId="6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1" fillId="2" borderId="7" applyAlignment="1" pivotButton="0" quotePrefix="0" xfId="0">
      <alignment horizontal="general" vertical="bottom"/>
    </xf>
    <xf numFmtId="0" fontId="11" fillId="2" borderId="8" applyAlignment="1" pivotButton="0" quotePrefix="0" xfId="0">
      <alignment horizontal="general" vertical="bottom"/>
    </xf>
    <xf numFmtId="0" fontId="11" fillId="2" borderId="9" applyAlignment="1" pivotButton="0" quotePrefix="0" xfId="0">
      <alignment horizontal="center" vertical="top" wrapText="1"/>
    </xf>
    <xf numFmtId="0" fontId="11" fillId="2" borderId="10" applyAlignment="1" pivotButton="0" quotePrefix="0" xfId="0">
      <alignment horizontal="left" vertical="top" wrapText="1"/>
    </xf>
    <xf numFmtId="3" fontId="11" fillId="2" borderId="10" applyAlignment="1" pivotButton="0" quotePrefix="0" xfId="0">
      <alignment horizontal="right" vertical="top"/>
    </xf>
    <xf numFmtId="3" fontId="11" fillId="2" borderId="11" applyAlignment="1" pivotButton="0" quotePrefix="0" xfId="0">
      <alignment horizontal="right" vertical="top"/>
    </xf>
    <xf numFmtId="0" fontId="14" fillId="2" borderId="10" applyAlignment="1" pivotButton="0" quotePrefix="0" xfId="0">
      <alignment horizontal="left" vertical="top" wrapText="1"/>
    </xf>
    <xf numFmtId="3" fontId="14" fillId="2" borderId="10" applyAlignment="1" pivotButton="0" quotePrefix="0" xfId="0">
      <alignment horizontal="right" vertical="top" wrapText="1"/>
    </xf>
    <xf numFmtId="3" fontId="14" fillId="2" borderId="11" applyAlignment="1" pivotButton="0" quotePrefix="0" xfId="0">
      <alignment horizontal="right" vertical="top" wrapText="1"/>
    </xf>
    <xf numFmtId="0" fontId="14" fillId="2" borderId="12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 wrapText="1"/>
    </xf>
    <xf numFmtId="3" fontId="14" fillId="2" borderId="13" applyAlignment="1" pivotButton="0" quotePrefix="0" xfId="0">
      <alignment horizontal="right" vertical="top" wrapText="1"/>
    </xf>
    <xf numFmtId="0" fontId="11" fillId="2" borderId="5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left" vertical="top" wrapText="1"/>
    </xf>
    <xf numFmtId="0" fontId="11" fillId="2" borderId="14" applyAlignment="1" pivotButton="0" quotePrefix="0" xfId="0">
      <alignment horizontal="general" vertical="bottom"/>
    </xf>
    <xf numFmtId="0" fontId="11" fillId="2" borderId="15" applyAlignment="1" pivotButton="0" quotePrefix="0" xfId="0">
      <alignment horizontal="general" vertical="bottom"/>
    </xf>
    <xf numFmtId="0" fontId="14" fillId="2" borderId="16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/>
    </xf>
    <xf numFmtId="3" fontId="14" fillId="2" borderId="13" applyAlignment="1" pivotButton="0" quotePrefix="0" xfId="0">
      <alignment horizontal="right" vertical="top"/>
    </xf>
    <xf numFmtId="0" fontId="14" fillId="2" borderId="17" applyAlignment="1" pivotButton="0" quotePrefix="0" xfId="0">
      <alignment horizontal="left" vertical="top" wrapText="1"/>
    </xf>
    <xf numFmtId="0" fontId="14" fillId="2" borderId="16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center" vertical="top" wrapText="1"/>
    </xf>
    <xf numFmtId="0" fontId="14" fillId="2" borderId="5" applyAlignment="1" pivotButton="0" quotePrefix="0" xfId="0">
      <alignment horizontal="left" vertical="top" wrapText="1"/>
    </xf>
    <xf numFmtId="0" fontId="11" fillId="2" borderId="18" applyAlignment="1" pivotButton="0" quotePrefix="0" xfId="0">
      <alignment horizontal="general" vertical="bottom"/>
    </xf>
    <xf numFmtId="0" fontId="11" fillId="2" borderId="19" applyAlignment="1" pivotButton="0" quotePrefix="0" xfId="0">
      <alignment horizontal="general" vertical="bottom"/>
    </xf>
    <xf numFmtId="3" fontId="14" fillId="2" borderId="20" applyAlignment="1" pivotButton="0" quotePrefix="0" xfId="0">
      <alignment horizontal="right" vertical="top"/>
    </xf>
    <xf numFmtId="0" fontId="0" fillId="0" borderId="0" pivotButton="0" quotePrefix="0" xfId="0"/>
    <xf numFmtId="0" fontId="16" fillId="0" borderId="31" applyAlignment="1" pivotButton="0" quotePrefix="0" xfId="0">
      <alignment horizontal="center" vertical="center"/>
    </xf>
    <xf numFmtId="0" fontId="17" fillId="4" borderId="31" applyAlignment="1" pivotButton="0" quotePrefix="0" xfId="0">
      <alignment horizontal="center" vertical="center" wrapText="1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/>
    </xf>
    <xf numFmtId="0" fontId="19" fillId="0" borderId="31" applyAlignment="1" pivotButton="0" quotePrefix="0" xfId="0">
      <alignment horizontal="left" vertical="center"/>
    </xf>
    <xf numFmtId="164" fontId="0" fillId="0" borderId="0" pivotButton="0" quotePrefix="0" xfId="0"/>
    <xf numFmtId="0" fontId="21" fillId="5" borderId="31" applyAlignment="1" pivotButton="0" quotePrefix="0" xfId="0">
      <alignment horizontal="center" vertical="center"/>
    </xf>
    <xf numFmtId="0" fontId="0" fillId="5" borderId="31" pivotButton="0" quotePrefix="0" xfId="0"/>
    <xf numFmtId="4" fontId="21" fillId="5" borderId="31" applyAlignment="1" pivotButton="0" quotePrefix="0" xfId="0">
      <alignment horizontal="center" vertical="center"/>
    </xf>
    <xf numFmtId="0" fontId="22" fillId="5" borderId="31" applyAlignment="1" pivotButton="0" quotePrefix="0" xfId="0">
      <alignment horizontal="left" vertical="center"/>
    </xf>
    <xf numFmtId="4" fontId="0" fillId="5" borderId="31" applyAlignment="1" pivotButton="0" quotePrefix="0" xfId="0">
      <alignment horizontal="center" vertical="center"/>
    </xf>
    <xf numFmtId="0" fontId="21" fillId="5" borderId="31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164" fontId="0" fillId="0" borderId="31" applyAlignment="1" pivotButton="0" quotePrefix="0" xfId="0">
      <alignment horizontal="center" vertical="center" wrapText="1"/>
    </xf>
    <xf numFmtId="0" fontId="23" fillId="6" borderId="31" applyAlignment="1" pivotButton="0" quotePrefix="0" xfId="0">
      <alignment horizontal="center" vertical="center"/>
    </xf>
    <xf numFmtId="0" fontId="0" fillId="6" borderId="31" pivotButton="0" quotePrefix="0" xfId="0"/>
    <xf numFmtId="0" fontId="21" fillId="6" borderId="31" applyAlignment="1" pivotButton="0" quotePrefix="0" xfId="0">
      <alignment horizontal="center" vertical="center"/>
    </xf>
    <xf numFmtId="0" fontId="0" fillId="7" borderId="31" applyAlignment="1" pivotButton="0" quotePrefix="0" xfId="0">
      <alignment horizontal="left" vertical="center"/>
    </xf>
    <xf numFmtId="164" fontId="0" fillId="7" borderId="31" applyAlignment="1" pivotButton="0" quotePrefix="0" xfId="0">
      <alignment horizontal="center" vertical="center"/>
    </xf>
    <xf numFmtId="0" fontId="21" fillId="7" borderId="31" applyAlignment="1" pivotButton="0" quotePrefix="0" xfId="0">
      <alignment horizontal="left" vertical="center"/>
    </xf>
    <xf numFmtId="164" fontId="21" fillId="7" borderId="31" applyAlignment="1" pivotButton="0" quotePrefix="0" xfId="0">
      <alignment horizontal="center" vertical="center"/>
    </xf>
    <xf numFmtId="0" fontId="5" fillId="0" borderId="0" applyAlignment="1" pivotButton="0" quotePrefix="0" xfId="22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7" fillId="0" borderId="0" applyAlignment="1" pivotButton="0" quotePrefix="0" xfId="21">
      <alignment horizontal="general" vertical="bottom"/>
    </xf>
    <xf numFmtId="0" fontId="8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9" fillId="0" borderId="0" applyAlignment="1" pivotButton="0" quotePrefix="0" xfId="22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21">
      <alignment horizontal="general" vertical="bottom" wrapText="1"/>
    </xf>
    <xf numFmtId="0" fontId="11" fillId="2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23">
      <alignment horizontal="general" vertical="bottom" wrapText="1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right" vertical="top" wrapText="1"/>
    </xf>
    <xf numFmtId="0" fontId="0" fillId="0" borderId="1" pivotButton="0" quotePrefix="0" xfId="0"/>
    <xf numFmtId="0" fontId="14" fillId="0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28" pivotButton="0" quotePrefix="0" xfId="0"/>
    <xf numFmtId="0" fontId="14" fillId="0" borderId="0" applyAlignment="1" pivotButton="0" quotePrefix="0" xfId="0">
      <alignment horizontal="general" vertical="bottom"/>
    </xf>
    <xf numFmtId="0" fontId="0" fillId="0" borderId="17" pivotButton="0" quotePrefix="0" xfId="0"/>
    <xf numFmtId="0" fontId="0" fillId="0" borderId="26" pivotButton="0" quotePrefix="0" xfId="0"/>
    <xf numFmtId="0" fontId="0" fillId="0" borderId="18" pivotButton="0" quotePrefix="0" xfId="0"/>
    <xf numFmtId="0" fontId="0" fillId="0" borderId="22" pivotButton="0" quotePrefix="0" xfId="0"/>
    <xf numFmtId="0" fontId="14" fillId="2" borderId="3" applyAlignment="1" pivotButton="0" quotePrefix="0" xfId="0">
      <alignment horizontal="center" vertical="top" wrapText="1"/>
    </xf>
    <xf numFmtId="0" fontId="14" fillId="2" borderId="4" applyAlignment="1" pivotButton="0" quotePrefix="0" xfId="0">
      <alignment horizontal="center" vertical="top" wrapText="1"/>
    </xf>
    <xf numFmtId="0" fontId="11" fillId="2" borderId="5" applyAlignment="1" pivotButton="0" quotePrefix="0" xfId="23">
      <alignment horizontal="center" vertical="center"/>
    </xf>
    <xf numFmtId="0" fontId="14" fillId="2" borderId="5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19" pivotButton="0" quotePrefix="0" xfId="0"/>
    <xf numFmtId="0" fontId="11" fillId="2" borderId="6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1" fillId="2" borderId="7" applyAlignment="1" pivotButton="0" quotePrefix="0" xfId="0">
      <alignment horizontal="general" vertical="bottom"/>
    </xf>
    <xf numFmtId="0" fontId="11" fillId="2" borderId="8" applyAlignment="1" pivotButton="0" quotePrefix="0" xfId="0">
      <alignment horizontal="general" vertical="bottom"/>
    </xf>
    <xf numFmtId="0" fontId="11" fillId="2" borderId="9" applyAlignment="1" pivotButton="0" quotePrefix="0" xfId="0">
      <alignment horizontal="center" vertical="top" wrapText="1"/>
    </xf>
    <xf numFmtId="0" fontId="0" fillId="0" borderId="6" pivotButton="0" quotePrefix="0" xfId="0"/>
    <xf numFmtId="0" fontId="11" fillId="2" borderId="10" applyAlignment="1" pivotButton="0" quotePrefix="0" xfId="0">
      <alignment horizontal="left" vertical="top" wrapText="1"/>
    </xf>
    <xf numFmtId="0" fontId="0" fillId="0" borderId="15" pivotButton="0" quotePrefix="0" xfId="0"/>
    <xf numFmtId="3" fontId="11" fillId="2" borderId="10" applyAlignment="1" pivotButton="0" quotePrefix="0" xfId="0">
      <alignment horizontal="right" vertical="top"/>
    </xf>
    <xf numFmtId="3" fontId="11" fillId="2" borderId="11" applyAlignment="1" pivotButton="0" quotePrefix="0" xfId="0">
      <alignment horizontal="right" vertical="top"/>
    </xf>
    <xf numFmtId="0" fontId="0" fillId="0" borderId="30" pivotButton="0" quotePrefix="0" xfId="0"/>
    <xf numFmtId="0" fontId="14" fillId="2" borderId="10" applyAlignment="1" pivotButton="0" quotePrefix="0" xfId="0">
      <alignment horizontal="left" vertical="top" wrapText="1"/>
    </xf>
    <xf numFmtId="3" fontId="14" fillId="2" borderId="10" applyAlignment="1" pivotButton="0" quotePrefix="0" xfId="0">
      <alignment horizontal="right" vertical="top" wrapText="1"/>
    </xf>
    <xf numFmtId="3" fontId="14" fillId="2" borderId="11" applyAlignment="1" pivotButton="0" quotePrefix="0" xfId="0">
      <alignment horizontal="right" vertical="top" wrapText="1"/>
    </xf>
    <xf numFmtId="0" fontId="14" fillId="2" borderId="12" applyAlignment="1" pivotButton="0" quotePrefix="0" xfId="0">
      <alignment horizontal="left" vertical="top" wrapText="1"/>
    </xf>
    <xf numFmtId="0" fontId="0" fillId="0" borderId="20" pivotButton="0" quotePrefix="0" xfId="0"/>
    <xf numFmtId="3" fontId="14" fillId="2" borderId="12" applyAlignment="1" pivotButton="0" quotePrefix="0" xfId="0">
      <alignment horizontal="right" vertical="top" wrapText="1"/>
    </xf>
    <xf numFmtId="3" fontId="14" fillId="2" borderId="13" applyAlignment="1" pivotButton="0" quotePrefix="0" xfId="0">
      <alignment horizontal="right" vertical="top" wrapText="1"/>
    </xf>
    <xf numFmtId="0" fontId="11" fillId="2" borderId="5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left" vertical="top" wrapText="1"/>
    </xf>
    <xf numFmtId="0" fontId="11" fillId="2" borderId="14" applyAlignment="1" pivotButton="0" quotePrefix="0" xfId="0">
      <alignment horizontal="general" vertical="bottom"/>
    </xf>
    <xf numFmtId="0" fontId="11" fillId="2" borderId="15" applyAlignment="1" pivotButton="0" quotePrefix="0" xfId="0">
      <alignment horizontal="general" vertical="bottom"/>
    </xf>
    <xf numFmtId="0" fontId="14" fillId="2" borderId="16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/>
    </xf>
    <xf numFmtId="3" fontId="14" fillId="2" borderId="13" applyAlignment="1" pivotButton="0" quotePrefix="0" xfId="0">
      <alignment horizontal="right" vertical="top"/>
    </xf>
    <xf numFmtId="0" fontId="14" fillId="2" borderId="17" applyAlignment="1" pivotButton="0" quotePrefix="0" xfId="0">
      <alignment horizontal="left" vertical="top" wrapText="1"/>
    </xf>
    <xf numFmtId="0" fontId="0" fillId="0" borderId="25" pivotButton="0" quotePrefix="0" xfId="0"/>
    <xf numFmtId="0" fontId="14" fillId="2" borderId="16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center" vertical="top" wrapText="1"/>
    </xf>
    <xf numFmtId="0" fontId="14" fillId="2" borderId="5" applyAlignment="1" pivotButton="0" quotePrefix="0" xfId="0">
      <alignment horizontal="left" vertical="top" wrapText="1"/>
    </xf>
    <xf numFmtId="0" fontId="11" fillId="2" borderId="18" applyAlignment="1" pivotButton="0" quotePrefix="0" xfId="0">
      <alignment horizontal="general" vertical="bottom"/>
    </xf>
    <xf numFmtId="0" fontId="11" fillId="2" borderId="19" applyAlignment="1" pivotButton="0" quotePrefix="0" xfId="0">
      <alignment horizontal="general" vertical="bottom"/>
    </xf>
    <xf numFmtId="3" fontId="14" fillId="2" borderId="20" applyAlignment="1" pivotButton="0" quotePrefix="0" xfId="0">
      <alignment horizontal="right" vertical="top"/>
    </xf>
    <xf numFmtId="0" fontId="15" fillId="3" borderId="31" pivotButton="0" quotePrefix="0" xfId="0"/>
    <xf numFmtId="0" fontId="0" fillId="3" borderId="31" pivotButton="0" quotePrefix="0" xfId="0"/>
    <xf numFmtId="0" fontId="0" fillId="0" borderId="31" pivotButton="0" quotePrefix="0" xfId="0"/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Гиперссылка 2" xfId="7"/>
    <cellStyle name="Звичайний 2 2" xfId="8"/>
    <cellStyle name="Обычный 2" xfId="9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Частка процентів по депсертифікатах у</a:t>
            </a:r>
          </a:p>
          <a:p>
            <a:pPr>
              <a:defRPr/>
            </a:pPr>
            <a:r>
              <a:t>процентних доходах банків, %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'Index'!$B$13:$B$15</f>
            </numRef>
          </cat>
          <val>
            <numRef>
              <f>'Index'!$C$13:$C$15</f>
            </numRef>
          </val>
        </ser>
        <dLbls>
          <txPr>
            <a:bodyPr/>
            <a:lstStyle/>
            <a:p>
              <a:pPr>
                <a:defRPr sz="1300" b="1">
                  <a:solidFill>
                    <a:srgbClr val="FF0000"/>
                  </a:solidFill>
                </a:defRPr>
              </a:pPr>
              <a:r>
                <a:t/>
              </a:r>
              <a:endParaRPr lang="uk-UA"/>
            </a:p>
          </txPr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Проценти за депозитними сертифікатами</a:t>
            </a:r>
          </a:p>
          <a:p>
            <a:pPr>
              <a:defRPr/>
            </a:pPr>
            <a:r>
              <a:t>у розрізі банків, %</a:t>
            </a:r>
          </a:p>
        </rich>
      </tx>
      <txPr>
        <a:bodyPr/>
        <a:lstStyle/>
        <a:p>
          <a:pPr>
            <a:defRPr sz="1300" b="1">
              <a:solidFill>
                <a:srgbClr val="FF0000"/>
              </a:solidFill>
            </a:defRPr>
          </a:pPr>
          <a:r>
            <a:t/>
          </a:r>
          <a:endParaRPr lang="uk-UA"/>
        </a:p>
      </txPr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'Index'!$H$13:$H$15</f>
            </numRef>
          </cat>
          <val>
            <numRef>
              <f>'Index'!$I$13:$I$15</f>
            </numRef>
          </val>
        </ser>
        <dLbls>
          <txPr>
            <a:bodyPr/>
            <a:lstStyle/>
            <a:p>
              <a:pPr>
                <a:defRPr sz="1100" b="1">
                  <a:solidFill>
                    <a:srgbClr val="000000"/>
                  </a:solidFill>
                </a:defRPr>
              </a:pPr>
              <a:r>
                <a:t/>
              </a:r>
              <a:endParaRPr lang="uk-UA"/>
            </a:p>
          </txPr>
          <showVal val="0"/>
          <showCatName val="1"/>
          <showSerName val="0"/>
          <showPercent val="1"/>
          <showLeaderLines val="1"/>
        </dLbls>
        <firstSliceAng val="0"/>
      </pieChart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процентних доходів банків</a:t>
            </a:r>
          </a:p>
          <a:p>
            <a:pPr>
              <a:defRPr/>
            </a:pPr>
            <a:r>
              <a:t>за звітний період, %</a:t>
            </a:r>
          </a:p>
        </rich>
      </tx>
      <overlay val="0"/>
      <txPr>
        <a:bodyPr/>
        <a:lstStyle/>
        <a:p>
          <a:pPr>
            <a:defRPr sz="1300" b="1">
              <a:solidFill>
                <a:srgbClr val="FF0000"/>
              </a:solidFill>
            </a:defRPr>
          </a:pPr>
          <a:r>
            <a:t/>
          </a:r>
          <a:endParaRPr lang="uk-UA"/>
        </a:p>
      </txPr>
    </title>
    <plotArea>
      <pieChart>
        <varyColors val="1"/>
        <ser>
          <idx val="0"/>
          <order val="0"/>
          <tx>
            <strRef>
              <f>'Indicator_Summary'!B2</f>
            </strRef>
          </tx>
          <spPr>
            <a:ln>
              <a:prstDash val="solid"/>
            </a:ln>
          </spPr>
          <cat>
            <numRef>
              <f>'Indicator_Summary'!$A$3:$A$7</f>
            </numRef>
          </cat>
          <val>
            <numRef>
              <f>'Indicator_Summary'!$B$3:$B$7</f>
            </numRef>
          </val>
        </ser>
        <dLbls>
          <txPr>
            <a:bodyPr/>
            <a:lstStyle/>
            <a:p>
              <a:pPr>
                <a:defRPr sz="1000" b="1">
                  <a:solidFill>
                    <a:srgbClr val="000000"/>
                  </a:solidFill>
                </a:defRPr>
              </a:pPr>
              <a:r>
                <a:t/>
              </a:r>
              <a:endParaRPr lang="uk-UA"/>
            </a:p>
          </txPr>
          <showVal val="0"/>
          <showCatName val="1"/>
          <showSerName val="0"/>
          <showPercent val="1"/>
          <showLeaderLines val="1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46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16</row>
      <rowOff>0</rowOff>
    </from>
    <ext cx="50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ivot_Data" displayName="Pivot_Data" ref="A1:P1303" headerRowCount="1">
  <autoFilter ref="A1:P1303"/>
  <tableColumns count="16">
    <tableColumn id="1" name="bank_code"/>
    <tableColumn id="2" name="bank_name"/>
    <tableColumn id="3" name="bank_class"/>
    <tableColumn id="4" name="id"/>
    <tableColumn id="5" name="indicator"/>
    <tableColumn id="6" name="name"/>
    <tableColumn id="7" name="category"/>
    <tableColumn id="8" name="debit_total"/>
    <tableColumn id="9" name="debit_nc"/>
    <tableColumn id="10" name="debit_ic"/>
    <tableColumn id="11" name="credit_total"/>
    <tableColumn id="12" name="credit_nc"/>
    <tableColumn id="13" name="credit_ic"/>
    <tableColumn id="14" name="balance_total"/>
    <tableColumn id="15" name="balance_nc"/>
    <tableColumn id="16" name="balance_ic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  2&#1040;&#1058; &quot;&#1059;&#1082;&#1088;&#1077;&#1082;&#1089;&#1110;&#1084;&#1073;&#1072;&#1085;&#1082;&quot; '!A1" TargetMode="External" Id="rId1" /><Relationship Type="http://schemas.openxmlformats.org/officeDocument/2006/relationships/hyperlink" Target="#'  2&#1040;&#1058; &quot;&#1059;&#1082;&#1088;&#1077;&#1082;&#1089;&#1110;&#1084;&#1073;&#1072;&#1085;&#1082;&quot; '!A1" TargetMode="External" Id="rId2" /><Relationship Type="http://schemas.openxmlformats.org/officeDocument/2006/relationships/hyperlink" Target="#'  2&#1040;&#1058; &quot;&#1059;&#1082;&#1088;&#1077;&#1082;&#1089;&#1110;&#1084;&#1073;&#1072;&#1085;&#1082;&quot; 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V15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style="52" min="1" max="1"/>
    <col width="38" customWidth="1" style="52" min="2" max="2"/>
    <col width="14" customWidth="1" style="52" min="3" max="3"/>
    <col width="15" customWidth="1" style="52" min="4" max="4"/>
    <col width="18" customWidth="1" style="52" min="5" max="5"/>
    <col width="18" customWidth="1" style="52" min="6" max="6"/>
    <col width="18" customWidth="1" style="52" min="7" max="7"/>
    <col width="38" customWidth="1" style="52" min="8" max="8"/>
    <col width="16" customWidth="1" style="52" min="9" max="9"/>
    <col width="18" customWidth="1" style="52" min="10" max="10"/>
    <col width="18" customWidth="1" style="52" min="11" max="11"/>
    <col width="18" customWidth="1" style="52" min="12" max="12"/>
    <col width="18" customWidth="1" style="52" min="13" max="13"/>
    <col width="18" customWidth="1" style="52" min="14" max="14"/>
    <col width="18" customWidth="1" style="52" min="15" max="15"/>
    <col width="18" customWidth="1" style="52" min="16" max="16"/>
    <col width="18" customWidth="1" style="52" min="17" max="17"/>
    <col width="18" customWidth="1" style="52" min="18" max="18"/>
    <col width="18" customWidth="1" style="52" min="19" max="19"/>
    <col width="18" customWidth="1" style="52" min="20" max="20"/>
    <col width="18" customWidth="1" style="52" min="21" max="21"/>
    <col width="18" customWidth="1" style="52" min="22" max="22"/>
    <col width="18" customWidth="1" style="52" min="23" max="23"/>
    <col width="18" customWidth="1" style="52" min="24" max="24"/>
    <col width="18" customWidth="1" style="52" min="25" max="25"/>
    <col width="18" customWidth="1" style="52" min="26" max="26"/>
    <col width="18" customWidth="1" style="52" min="27" max="27"/>
    <col width="18" customWidth="1" style="52" min="28" max="28"/>
    <col width="18" customWidth="1" style="52" min="29" max="29"/>
    <col width="18" customWidth="1" style="52" min="30" max="30"/>
    <col width="18" customWidth="1" style="52" min="31" max="31"/>
    <col width="18" customWidth="1" style="52" min="32" max="32"/>
    <col width="18" customWidth="1" style="52" min="33" max="33"/>
    <col width="18" customWidth="1" style="52" min="34" max="34"/>
    <col width="18" customWidth="1" style="52" min="35" max="35"/>
    <col width="18" customWidth="1" style="52" min="36" max="36"/>
    <col width="18" customWidth="1" style="52" min="37" max="37"/>
    <col width="18" customWidth="1" style="52" min="38" max="38"/>
    <col width="18" customWidth="1" style="52" min="39" max="39"/>
  </cols>
  <sheetData>
    <row r="1" hidden="1" s="52"/>
    <row r="2" hidden="1" s="52">
      <c r="C2" t="inlineStr">
        <is>
          <t>Оборотно-сальдовий баланс банку*</t>
        </is>
      </c>
      <c r="D2" t="inlineStr">
        <is>
          <t>відповідно до Додатку 1 до постанови Правління Національного банку України</t>
        </is>
      </c>
    </row>
    <row r="3" hidden="1" s="52">
      <c r="D3" t="inlineStr">
        <is>
          <t>від 15 березня 2018 року № 11 "Про встановлення переліку інформації, що підлягає обов'язковому опублікуванню банками України" (зі змінами)</t>
        </is>
      </c>
    </row>
    <row r="4" hidden="1" s="52">
      <c r="D4" t="inlineStr">
        <is>
          <t>за даними статистичної звітності з файлів 02X "Дані про обороти та залишки на рахунках".</t>
        </is>
      </c>
    </row>
    <row r="5" ht="60" customHeight="1" s="52">
      <c r="A5" s="53" t="inlineStr">
        <is>
          <t>NKB</t>
        </is>
      </c>
      <c r="B5" s="53" t="inlineStr">
        <is>
          <t>Порядковий номер</t>
        </is>
      </c>
      <c r="C5" s="53" t="inlineStr">
        <is>
          <t>Назва банку</t>
        </is>
      </c>
      <c r="D5" s="53" t="inlineStr">
        <is>
          <t>МФО</t>
        </is>
      </c>
      <c r="E5" s="54" t="inlineStr">
        <is>
          <t>ПРОЦЕНТИ ЗА ДЕПОЗИТНИМИ СЕРТИФІКАТАМИ (ДС), тис. грн</t>
        </is>
      </c>
      <c r="F5" s="54" t="inlineStr">
        <is>
          <t>ПРОЦЕНТИ ЗА ОВДП (ОВДП), тис.грн</t>
        </is>
      </c>
      <c r="G5" s="54" t="inlineStr">
        <is>
          <t>ПРОЦЕНТИ  ЗА КРЕДИТАМИ ЗДУ</t>
        </is>
      </c>
      <c r="H5" s="54" t="inlineStr">
        <is>
          <t>ПРОЦЕНТИ ЗА КРЕДИТАМИ БІЗНЕСУ</t>
        </is>
      </c>
      <c r="I5" s="54" t="inlineStr">
        <is>
          <t>ПРОЦЕНТИ ЗА КРЕДИТАМИ НАСЕЛЕННЮ</t>
        </is>
      </c>
      <c r="J5" s="54" t="inlineStr">
        <is>
          <t>ПРОЦЕНТНІ ДОХОДИ ВСЬОГО (ПД), тис. грн</t>
        </is>
      </c>
      <c r="K5" s="55" t="inlineStr">
        <is>
          <t>ДС/ПД, %</t>
        </is>
      </c>
      <c r="L5" s="55" t="inlineStr">
        <is>
          <t>ДС до підсумку, %</t>
        </is>
      </c>
      <c r="M5" s="55" t="inlineStr">
        <is>
          <t>(ДС+ОВДП)/ПД, %</t>
        </is>
      </c>
      <c r="N5" s="55" t="inlineStr">
        <is>
          <t>ОВДП/ПД, %</t>
        </is>
      </c>
      <c r="O5" s="55" t="inlineStr">
        <is>
          <t>ОВДП до підсумку</t>
        </is>
      </c>
      <c r="P5" s="55" t="inlineStr">
        <is>
          <t>Обсяг ДС дебит (середні, поділено на кількість банк.днів)</t>
        </is>
      </c>
      <c r="Q5" s="55" t="inlineStr">
        <is>
          <t>Обсяг ДС кредит (середні, поділено на кількість банк.днів)</t>
        </is>
      </c>
      <c r="R5" s="55" t="inlineStr">
        <is>
          <t>Кошти в НБУ (кор.рахунок) (кредит) (код 1200)</t>
        </is>
      </c>
      <c r="S5" s="55" t="inlineStr">
        <is>
          <t>Кошти в НБУ (УСЬОГО) (кредит) (розділ 12)</t>
        </is>
      </c>
      <c r="T5" s="55" t="inlineStr">
        <is>
          <t>Проценти за поточними вкладами ДГ (код 7040)</t>
        </is>
      </c>
      <c r="U5" s="55" t="inlineStr">
        <is>
          <t>Проценти за строковими вкладами ДГ (код 7041)</t>
        </is>
      </c>
      <c r="V5" s="55" t="inlineStr">
        <is>
          <t>Кредити субʼєктам господарювання (р.20, р.23, 260)</t>
        </is>
      </c>
      <c r="W5" s="55" t="inlineStr">
        <is>
          <t>Кредити ЗДУ (р.21)</t>
        </is>
      </c>
      <c r="X5" s="55" t="inlineStr">
        <is>
          <t>Кредити фізичним особам (р. 22, 24, 262)</t>
        </is>
      </c>
      <c r="Y5" s="55" t="inlineStr">
        <is>
          <t>Кредити небанківським установам (265)</t>
        </is>
      </c>
      <c r="Z5" s="55" t="inlineStr">
        <is>
          <t>Прибуток звітного року (5040)</t>
        </is>
      </c>
      <c r="AA5" s="55" t="inlineStr">
        <is>
          <t>Збиток звітного року (5041)</t>
        </is>
      </c>
      <c r="AB5" s="55" t="inlineStr">
        <is>
          <t>Податок на прибуток (7900)</t>
        </is>
      </c>
      <c r="AC5" s="55" t="inlineStr">
        <is>
          <t>Інші податки (741)</t>
        </is>
      </c>
      <c r="AD5" s="55" t="inlineStr">
        <is>
          <t>Відрахування в резерви (770)</t>
        </is>
      </c>
      <c r="AE5" s="55" t="inlineStr">
        <is>
          <t>Загальні доходи (6)</t>
        </is>
      </c>
      <c r="AF5" s="55" t="inlineStr">
        <is>
          <t>Загальні витрати (7)</t>
        </is>
      </c>
      <c r="AG5" s="55" t="inlineStr"/>
      <c r="AH5" s="55" t="inlineStr"/>
      <c r="AI5" s="55" t="inlineStr"/>
      <c r="AJ5" s="55" t="inlineStr"/>
      <c r="AK5" s="55" t="inlineStr"/>
      <c r="AL5" s="55" t="inlineStr"/>
      <c r="AM5" s="55" t="inlineStr"/>
    </row>
    <row r="6" ht="22" customHeight="1" s="52">
      <c r="A6" s="56" t="inlineStr">
        <is>
          <t>2</t>
        </is>
      </c>
      <c r="B6" s="57" t="n">
        <v>1</v>
      </c>
      <c r="C6" s="58" t="inlineStr">
        <is>
          <t>АТ "Укрексімбанк"</t>
        </is>
      </c>
      <c r="D6" s="56" t="inlineStr">
        <is>
          <t>322313</t>
        </is>
      </c>
      <c r="E6">
        <f>'  2АТ "Укрексімбанк" '!$P$1139</f>
        <v/>
      </c>
      <c r="F6">
        <f>'  2АТ "Укрексімбанк" '!$P$1138</f>
        <v/>
      </c>
      <c r="G6">
        <f>'  2АТ "Укрексімбанк" '!$P$1150</f>
        <v/>
      </c>
      <c r="H6">
        <f>'  2АТ "Укрексімбанк" '!$P$1148</f>
        <v/>
      </c>
      <c r="I6">
        <f>'  2АТ "Укрексімбанк" '!$P$1149</f>
        <v/>
      </c>
      <c r="J6">
        <f>'  2АТ "Укрексімбанк" '!$P$1144</f>
        <v/>
      </c>
      <c r="K6" s="59">
        <f>IFERROR(E6/J6*100,0)</f>
        <v/>
      </c>
      <c r="L6" s="59">
        <f>IFERROR(E6/SUM(E6:E6)*100,0)</f>
        <v/>
      </c>
      <c r="M6" s="59">
        <f>IFERROR((E6+F6)/J6*100,0)</f>
        <v/>
      </c>
      <c r="N6" s="59">
        <f>IFERROR(F6/J6*100,0)</f>
        <v/>
      </c>
      <c r="O6" s="59">
        <f>IFERROR(F6/SUM(F6:F6)*100,0)</f>
        <v/>
      </c>
      <c r="P6">
        <f>'  2АТ "Укрексімбанк" '!$J$1140</f>
        <v/>
      </c>
      <c r="Q6">
        <f>'  2АТ "Укрексімбанк" '!$N$1141</f>
        <v/>
      </c>
      <c r="R6">
        <f>'  2АТ "Укрексімбанк" '!$M$1142</f>
        <v/>
      </c>
      <c r="S6">
        <f>'  2АТ "Укрексімбанк" '!$M$1143</f>
        <v/>
      </c>
      <c r="T6">
        <f>'  2АТ "Укрексімбанк" '!$P$1151</f>
        <v/>
      </c>
      <c r="U6">
        <f>'  2АТ "Укрексімбанк" '!$P$1152</f>
        <v/>
      </c>
      <c r="V6">
        <f>'  2АТ "Укрексімбанк" '!$P$1154</f>
        <v/>
      </c>
      <c r="W6">
        <f>'  2АТ "Укрексімбанк" '!$P$1155</f>
        <v/>
      </c>
      <c r="X6">
        <f>'  2АТ "Укрексімбанк" '!$P$1156</f>
        <v/>
      </c>
      <c r="Y6">
        <f>'  2АТ "Укрексімбанк" '!$P$1157</f>
        <v/>
      </c>
      <c r="Z6">
        <f>'  2АТ "Укрексімбанк" '!$P$1158</f>
        <v/>
      </c>
      <c r="AA6">
        <f>'  2АТ "Укрексімбанк" '!$P$1159</f>
        <v/>
      </c>
      <c r="AB6">
        <f>'  2АТ "Укрексімбанк" '!$P$1160</f>
        <v/>
      </c>
      <c r="AC6">
        <f>'  2АТ "Укрексімбанк" '!$P$1161</f>
        <v/>
      </c>
      <c r="AD6">
        <f>'  2АТ "Укрексімбанк" '!$P$1162</f>
        <v/>
      </c>
      <c r="AE6">
        <f>'  2АТ "Укрексімбанк" '!$P$1163</f>
        <v/>
      </c>
      <c r="AF6">
        <f>'  2АТ "Укрексімбанк" '!$P$1164</f>
        <v/>
      </c>
    </row>
    <row r="7" ht="22" customHeight="1" s="52">
      <c r="A7" s="60" t="inlineStr">
        <is>
          <t>Всього</t>
        </is>
      </c>
      <c r="B7" s="61" t="n"/>
      <c r="C7" s="61" t="n"/>
      <c r="D7" s="61" t="n"/>
      <c r="E7" s="62">
        <f>IFERROR(SUM(E6:E6),0)</f>
        <v/>
      </c>
      <c r="F7" s="62">
        <f>IFERROR(SUM(F6:F6),0)</f>
        <v/>
      </c>
      <c r="G7" s="62">
        <f>IFERROR(SUM(G6:G6),0)</f>
        <v/>
      </c>
      <c r="H7" s="62">
        <f>IFERROR(SUM(H6:H6),0)</f>
        <v/>
      </c>
      <c r="I7" s="62">
        <f>IFERROR(SUM(I6:I6),0)</f>
        <v/>
      </c>
      <c r="J7" s="62">
        <f>IFERROR(SUM(J6:J6),0)</f>
        <v/>
      </c>
      <c r="K7" s="62">
        <f>IFERROR(E7/J7*100,0)</f>
        <v/>
      </c>
      <c r="L7" s="62">
        <f>IFERROR(E7/SUM(E6:E6)*100,0)</f>
        <v/>
      </c>
      <c r="M7" s="62">
        <f>IFERROR((E7+F7)/J7*100,0)</f>
        <v/>
      </c>
      <c r="N7" s="62">
        <f>IFERROR(F7/J7*100,0)</f>
        <v/>
      </c>
      <c r="O7" s="62">
        <f>IFERROR(F7/SUM(F6:F6)*100,0)</f>
        <v/>
      </c>
      <c r="P7" s="62">
        <f>IFERROR(SUM(P6:P6),0)</f>
        <v/>
      </c>
      <c r="Q7" s="62">
        <f>IFERROR(SUM(Q6:Q6),0)</f>
        <v/>
      </c>
      <c r="R7" s="62">
        <f>IFERROR(SUM(R6:R6),0)</f>
        <v/>
      </c>
      <c r="S7" s="62">
        <f>IFERROR(SUM(S6:S6),0)</f>
        <v/>
      </c>
      <c r="T7" s="62">
        <f>IFERROR(SUM(T6:T6),0)</f>
        <v/>
      </c>
      <c r="U7" s="62">
        <f>IFERROR(SUM(U6:U6),0)</f>
        <v/>
      </c>
      <c r="V7" s="62">
        <f>IFERROR(SUM(V6:V6),0)</f>
        <v/>
      </c>
      <c r="W7" s="62">
        <f>IFERROR(SUM(W6:W6),0)</f>
        <v/>
      </c>
      <c r="X7" s="62">
        <f>IFERROR(SUM(X6:X6),0)</f>
        <v/>
      </c>
      <c r="Y7" s="62">
        <f>IFERROR(SUM(Y6:Y6),0)</f>
        <v/>
      </c>
      <c r="Z7" s="62">
        <f>IFERROR(SUM(Z6:Z6),0)</f>
        <v/>
      </c>
      <c r="AA7" s="62">
        <f>IFERROR(SUM(AA6:AA6),0)</f>
        <v/>
      </c>
      <c r="AB7" s="62">
        <f>IFERROR(SUM(AB6:AB6),0)</f>
        <v/>
      </c>
      <c r="AC7" s="62">
        <f>IFERROR(SUM(AC6:AC6),0)</f>
        <v/>
      </c>
      <c r="AD7" s="62">
        <f>IFERROR(SUM(AD6:AD6),0)</f>
        <v/>
      </c>
      <c r="AE7" s="62">
        <f>IFERROR(SUM(AE6:AE6),0)</f>
        <v/>
      </c>
      <c r="AF7" s="62">
        <f>IFERROR(SUM(AF6:AF6),0)</f>
        <v/>
      </c>
    </row>
    <row r="8" ht="22" customHeight="1" s="52">
      <c r="A8" s="63" t="inlineStr">
        <is>
          <t>Державні банки</t>
        </is>
      </c>
      <c r="B8" s="61" t="n"/>
      <c r="C8" s="61" t="n"/>
      <c r="D8" s="61" t="n"/>
      <c r="E8" s="64">
        <f>IFERROR(SUM(E6),0)</f>
        <v/>
      </c>
      <c r="F8" s="64">
        <f>IFERROR(SUM(F6),0)</f>
        <v/>
      </c>
      <c r="G8" s="64">
        <f>IFERROR(SUM(G6),0)</f>
        <v/>
      </c>
      <c r="H8" s="64">
        <f>IFERROR(SUM(H6),0)</f>
        <v/>
      </c>
      <c r="I8" s="64">
        <f>IFERROR(SUM(I6),0)</f>
        <v/>
      </c>
      <c r="J8" s="64">
        <f>IFERROR(SUM(J6),0)</f>
        <v/>
      </c>
      <c r="K8" s="64">
        <f>IFERROR(E8/J8*100,0)</f>
        <v/>
      </c>
      <c r="L8" s="64">
        <f>IFERROR(E8/E7*100,0)</f>
        <v/>
      </c>
      <c r="M8" s="64">
        <f>IFERROR(SUM(M6),0)</f>
        <v/>
      </c>
      <c r="N8" s="64">
        <f>IFERROR(SUM(N6),0)</f>
        <v/>
      </c>
      <c r="O8" s="64">
        <f>IFERROR(F8/F7*100,0)</f>
        <v/>
      </c>
      <c r="P8" s="64">
        <f>IFERROR(SUM(P6),0)</f>
        <v/>
      </c>
      <c r="Q8" s="64">
        <f>IFERROR(SUM(Q6),0)</f>
        <v/>
      </c>
      <c r="R8" s="64">
        <f>IFERROR(SUM(R6),0)</f>
        <v/>
      </c>
      <c r="S8" s="64">
        <f>IFERROR(SUM(S6),0)</f>
        <v/>
      </c>
      <c r="T8" s="64">
        <f>IFERROR(SUM(T6),0)</f>
        <v/>
      </c>
      <c r="U8" s="64">
        <f>IFERROR(SUM(U6),0)</f>
        <v/>
      </c>
      <c r="V8" s="64">
        <f>IFERROR(SUM(V6),0)</f>
        <v/>
      </c>
      <c r="W8" s="64">
        <f>IFERROR(SUM(W6),0)</f>
        <v/>
      </c>
      <c r="X8" s="64">
        <f>IFERROR(SUM(X6),0)</f>
        <v/>
      </c>
      <c r="Y8" s="64">
        <f>IFERROR(SUM(Y6),0)</f>
        <v/>
      </c>
      <c r="Z8" s="64">
        <f>IFERROR(SUM(Z6),0)</f>
        <v/>
      </c>
      <c r="AA8" s="64">
        <f>IFERROR(SUM(AA6),0)</f>
        <v/>
      </c>
      <c r="AB8" s="64">
        <f>IFERROR(SUM(AB6),0)</f>
        <v/>
      </c>
      <c r="AC8" s="64">
        <f>IFERROR(SUM(AC6),0)</f>
        <v/>
      </c>
      <c r="AD8" s="64">
        <f>IFERROR(SUM(AD6),0)</f>
        <v/>
      </c>
      <c r="AE8" s="64">
        <f>IFERROR(SUM(AE6),0)</f>
        <v/>
      </c>
      <c r="AF8" s="64">
        <f>IFERROR(SUM(AF6),0)</f>
        <v/>
      </c>
    </row>
    <row r="9" ht="22" customHeight="1" s="52">
      <c r="A9" s="63" t="inlineStr">
        <is>
          <t>Банки з іноземним капіталом</t>
        </is>
      </c>
      <c r="B9" s="61" t="n"/>
      <c r="C9" s="61" t="n"/>
      <c r="D9" s="61" t="n"/>
      <c r="E9" s="64">
        <f>0</f>
        <v/>
      </c>
      <c r="F9" s="64">
        <f>0</f>
        <v/>
      </c>
      <c r="G9" s="64">
        <f>0</f>
        <v/>
      </c>
      <c r="H9" s="64">
        <f>0</f>
        <v/>
      </c>
      <c r="I9" s="64">
        <f>0</f>
        <v/>
      </c>
      <c r="J9" s="64">
        <f>0</f>
        <v/>
      </c>
      <c r="K9" s="64">
        <f>IFERROR(E9/J9*100,0)</f>
        <v/>
      </c>
      <c r="L9" s="64">
        <f>IFERROR(E9/E7*100,0)</f>
        <v/>
      </c>
      <c r="M9" s="64">
        <f>0</f>
        <v/>
      </c>
      <c r="N9" s="64">
        <f>0</f>
        <v/>
      </c>
      <c r="O9" s="64">
        <f>IFERROR(F9/F7*100,0)</f>
        <v/>
      </c>
      <c r="P9" s="64">
        <f>0</f>
        <v/>
      </c>
      <c r="Q9" s="64">
        <f>0</f>
        <v/>
      </c>
      <c r="R9" s="64">
        <f>0</f>
        <v/>
      </c>
      <c r="S9" s="64">
        <f>0</f>
        <v/>
      </c>
      <c r="T9" s="64">
        <f>0</f>
        <v/>
      </c>
      <c r="U9" s="64">
        <f>0</f>
        <v/>
      </c>
      <c r="V9" s="64">
        <f>0</f>
        <v/>
      </c>
      <c r="W9" s="64">
        <f>0</f>
        <v/>
      </c>
      <c r="X9" s="64">
        <f>0</f>
        <v/>
      </c>
      <c r="Y9" s="64">
        <f>0</f>
        <v/>
      </c>
      <c r="Z9" s="64">
        <f>0</f>
        <v/>
      </c>
      <c r="AA9" s="64">
        <f>0</f>
        <v/>
      </c>
      <c r="AB9" s="64">
        <f>0</f>
        <v/>
      </c>
      <c r="AC9" s="64">
        <f>0</f>
        <v/>
      </c>
      <c r="AD9" s="64">
        <f>0</f>
        <v/>
      </c>
      <c r="AE9" s="64">
        <f>0</f>
        <v/>
      </c>
      <c r="AF9" s="64">
        <f>0</f>
        <v/>
      </c>
    </row>
    <row r="10" ht="22" customHeight="1" s="52">
      <c r="A10" s="63" t="inlineStr">
        <is>
          <t>Банки з українським приватним капіталом</t>
        </is>
      </c>
      <c r="B10" s="61" t="n"/>
      <c r="C10" s="61" t="n"/>
      <c r="D10" s="61" t="n"/>
      <c r="E10" s="64">
        <f>IFERROR(E7-E8-E9,0)</f>
        <v/>
      </c>
      <c r="F10" s="64">
        <f>IFERROR(F7-F8-F9,0)</f>
        <v/>
      </c>
      <c r="G10" s="64">
        <f>IFERROR(G7-G8-G9,0)</f>
        <v/>
      </c>
      <c r="H10" s="64">
        <f>IFERROR(H7-H8-H9,0)</f>
        <v/>
      </c>
      <c r="I10" s="64">
        <f>IFERROR(I7-I8-I9,0)</f>
        <v/>
      </c>
      <c r="J10" s="64">
        <f>IFERROR(J7-J8-J9,0)</f>
        <v/>
      </c>
      <c r="K10" s="64">
        <f>IFERROR(E10/J10*100,0)</f>
        <v/>
      </c>
      <c r="L10" s="64">
        <f>IFERROR(E10/E7*100,0)</f>
        <v/>
      </c>
      <c r="M10" s="64">
        <f>IFERROR(M7-M8-M9,0)</f>
        <v/>
      </c>
      <c r="N10" s="64">
        <f>IFERROR(N7-N8-N9,0)</f>
        <v/>
      </c>
      <c r="O10" s="64">
        <f>IFERROR(F10/F7*100,0)</f>
        <v/>
      </c>
      <c r="P10" s="64">
        <f>IFERROR(P7-P8-P9,0)</f>
        <v/>
      </c>
      <c r="Q10" s="64">
        <f>IFERROR(Q7-Q8-Q9,0)</f>
        <v/>
      </c>
      <c r="R10" s="64">
        <f>IFERROR(R7-R8-R9,0)</f>
        <v/>
      </c>
      <c r="S10" s="64">
        <f>IFERROR(S7-S8-S9,0)</f>
        <v/>
      </c>
      <c r="T10" s="64">
        <f>IFERROR(T7-T8-T9,0)</f>
        <v/>
      </c>
      <c r="U10" s="64">
        <f>IFERROR(U7-U8-U9,0)</f>
        <v/>
      </c>
      <c r="V10" s="64">
        <f>IFERROR(V7-V8-V9,0)</f>
        <v/>
      </c>
      <c r="W10" s="64">
        <f>IFERROR(W7-W8-W9,0)</f>
        <v/>
      </c>
      <c r="X10" s="64">
        <f>IFERROR(X7-X8-X9,0)</f>
        <v/>
      </c>
      <c r="Y10" s="64">
        <f>IFERROR(Y7-Y8-Y9,0)</f>
        <v/>
      </c>
      <c r="Z10" s="64">
        <f>IFERROR(Z7-Z8-Z9,0)</f>
        <v/>
      </c>
      <c r="AA10" s="64">
        <f>IFERROR(AA7-AA8-AA9,0)</f>
        <v/>
      </c>
      <c r="AB10" s="64">
        <f>IFERROR(AB7-AB8-AB9,0)</f>
        <v/>
      </c>
      <c r="AC10" s="64">
        <f>IFERROR(AC7-AC8-AC9,0)</f>
        <v/>
      </c>
      <c r="AD10" s="64">
        <f>IFERROR(AD7-AD8-AD9,0)</f>
        <v/>
      </c>
      <c r="AE10" s="64">
        <f>IFERROR(AE7-AE8-AE9,0)</f>
        <v/>
      </c>
      <c r="AF10" s="64">
        <f>IFERROR(AF7-AF8-AF9,0)</f>
        <v/>
      </c>
    </row>
    <row r="12">
      <c r="B12" s="65" t="inlineStr">
        <is>
          <t>Категорія</t>
        </is>
      </c>
      <c r="C12" s="65" t="inlineStr">
        <is>
          <t>ДС/ПД, %</t>
        </is>
      </c>
      <c r="H12" s="65" t="inlineStr">
        <is>
          <t>Категорія</t>
        </is>
      </c>
      <c r="I12" s="65" t="inlineStr">
        <is>
          <t>ДС до підсумку, %</t>
        </is>
      </c>
    </row>
    <row r="13">
      <c r="B13" s="66">
        <f>A8</f>
        <v/>
      </c>
      <c r="C13" s="67">
        <f>IFERROR(K8,0)</f>
        <v/>
      </c>
      <c r="H13" s="66">
        <f>A8</f>
        <v/>
      </c>
      <c r="I13" s="67">
        <f>IFERROR(L8,0)</f>
        <v/>
      </c>
    </row>
    <row r="14">
      <c r="B14" s="66">
        <f>A9</f>
        <v/>
      </c>
      <c r="C14" s="67">
        <f>IFERROR(K9,0)</f>
        <v/>
      </c>
      <c r="H14" s="66">
        <f>A9</f>
        <v/>
      </c>
      <c r="I14" s="67">
        <f>IFERROR(L9,0)</f>
        <v/>
      </c>
    </row>
    <row r="15">
      <c r="B15" s="66">
        <f>A10</f>
        <v/>
      </c>
      <c r="C15" s="67">
        <f>IFERROR(K10,0)</f>
        <v/>
      </c>
      <c r="H15" s="66">
        <f>A10</f>
        <v/>
      </c>
      <c r="I15" s="67">
        <f>IFERROR(L10,0)</f>
        <v/>
      </c>
    </row>
  </sheetData>
  <hyperlinks>
    <hyperlink xmlns:r="http://schemas.openxmlformats.org/officeDocument/2006/relationships" ref="A6" r:id="rId1"/>
    <hyperlink xmlns:r="http://schemas.openxmlformats.org/officeDocument/2006/relationships" ref="C6" r:id="rId2"/>
    <hyperlink xmlns:r="http://schemas.openxmlformats.org/officeDocument/2006/relationships" ref="D6" r:id="rId3"/>
  </hyperlinks>
  <pageMargins left="0.75" right="0.75" top="1" bottom="1" header="0.5" footer="0.5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style="52" min="1" max="1"/>
    <col width="12" customWidth="1" style="52" min="2" max="2"/>
    <col width="10" customWidth="1" style="52" min="3" max="3"/>
    <col width="4" customWidth="1" style="52" min="5" max="5"/>
    <col width="20" customWidth="1" style="52" min="6" max="6"/>
    <col width="20" customWidth="1" style="52" min="7" max="7"/>
    <col width="20" customWidth="1" style="52" min="8" max="8"/>
  </cols>
  <sheetData>
    <row r="1" ht="22" customHeight="1" s="52">
      <c r="A1" s="68" t="inlineStr">
        <is>
          <t>ПРОЦЕНТНІ ДОХОДИ банків</t>
        </is>
      </c>
      <c r="B1" s="69" t="n"/>
      <c r="C1" s="69" t="n"/>
    </row>
    <row r="2">
      <c r="A2" s="70" t="n"/>
      <c r="B2" s="70" t="inlineStr">
        <is>
          <t>млрд</t>
        </is>
      </c>
      <c r="C2" s="70" t="inlineStr">
        <is>
          <t>%</t>
        </is>
      </c>
    </row>
    <row r="3">
      <c r="A3" s="71" t="inlineStr">
        <is>
          <t>Депозитні сертифікати</t>
        </is>
      </c>
      <c r="B3" s="72">
        <f>SUM(Index!E6:E6)/1000000</f>
        <v/>
      </c>
      <c r="C3" s="72">
        <f>B3/B8 * 100</f>
        <v/>
      </c>
    </row>
    <row r="4">
      <c r="A4" s="71" t="inlineStr">
        <is>
          <t>ОВДП</t>
        </is>
      </c>
      <c r="B4" s="72">
        <f>SUM(Index!F6:F6)/1000000</f>
        <v/>
      </c>
      <c r="C4" s="72">
        <f>B4/B8 * 100</f>
        <v/>
      </c>
    </row>
    <row r="5">
      <c r="A5" s="71" t="inlineStr">
        <is>
          <t>Кредити бізнесу</t>
        </is>
      </c>
      <c r="B5" s="72">
        <f>SUM(Index!H6:H6)/1000000</f>
        <v/>
      </c>
      <c r="C5" s="72">
        <f>B5/B8 * 100</f>
        <v/>
      </c>
    </row>
    <row r="6">
      <c r="A6" s="71" t="inlineStr">
        <is>
          <t>Кредити населенню</t>
        </is>
      </c>
      <c r="B6" s="72">
        <f>SUM(Index!I6:I6)/1000000</f>
        <v/>
      </c>
      <c r="C6" s="72">
        <f>B6/B8 * 100</f>
        <v/>
      </c>
    </row>
    <row r="7">
      <c r="A7" s="71" t="inlineStr">
        <is>
          <t>Інші процентні доходи</t>
        </is>
      </c>
      <c r="B7" s="72">
        <f>B8 - (B3 +B4 +B5 +B6)</f>
        <v/>
      </c>
      <c r="C7" s="72">
        <f>B7/B8 * 100</f>
        <v/>
      </c>
    </row>
    <row r="8">
      <c r="A8" s="73" t="inlineStr">
        <is>
          <t>ВСЬОГО</t>
        </is>
      </c>
      <c r="B8" s="74">
        <f>SUM(Index!J6:J6)/1000000</f>
        <v/>
      </c>
      <c r="C8" s="74" t="n">
        <v>100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bank_class</t>
        </is>
      </c>
      <c r="D1" t="inlineStr">
        <is>
          <t>id</t>
        </is>
      </c>
      <c r="E1" t="inlineStr">
        <is>
          <t>indicator</t>
        </is>
      </c>
      <c r="F1" t="inlineStr">
        <is>
          <t>name</t>
        </is>
      </c>
      <c r="G1" t="inlineStr">
        <is>
          <t>category</t>
        </is>
      </c>
      <c r="H1" t="inlineStr">
        <is>
          <t>debit_total</t>
        </is>
      </c>
      <c r="I1" t="inlineStr">
        <is>
          <t>debit_nc</t>
        </is>
      </c>
      <c r="J1" t="inlineStr">
        <is>
          <t>debit_ic</t>
        </is>
      </c>
      <c r="K1" t="inlineStr">
        <is>
          <t>credit_total</t>
        </is>
      </c>
      <c r="L1" t="inlineStr">
        <is>
          <t>credit_nc</t>
        </is>
      </c>
      <c r="M1" t="inlineStr">
        <is>
          <t>credit_ic</t>
        </is>
      </c>
      <c r="N1" t="inlineStr">
        <is>
          <t>balance_total</t>
        </is>
      </c>
      <c r="O1" t="inlineStr">
        <is>
          <t>balance_nc</t>
        </is>
      </c>
      <c r="P1" t="inlineStr">
        <is>
          <t>balance_ic</t>
        </is>
      </c>
    </row>
    <row r="2">
      <c r="A2" t="inlineStr">
        <is>
          <t>2</t>
        </is>
      </c>
      <c r="B2" t="inlineStr">
        <is>
          <t>АТ "Укрексімбанк"</t>
        </is>
      </c>
      <c r="C2" t="inlineStr">
        <is>
          <t>Державний</t>
        </is>
      </c>
      <c r="D2" t="inlineStr">
        <is>
          <t>1001</t>
        </is>
      </c>
      <c r="E2" t="inlineStr">
        <is>
          <t>(без привʼязки)</t>
        </is>
      </c>
      <c r="F2" t="inlineStr">
        <is>
          <t>Банкноти та монети в касі банку</t>
        </is>
      </c>
      <c r="G2" t="inlineStr">
        <is>
          <t>А</t>
        </is>
      </c>
      <c r="H2" t="n">
        <v>2881154.47915</v>
      </c>
      <c r="I2" t="n">
        <v>1258377.27175</v>
      </c>
      <c r="J2" t="n">
        <v>1622777.2074</v>
      </c>
      <c r="K2" t="n">
        <v>2741564.62351</v>
      </c>
      <c r="L2" t="n">
        <v>1220518.44135</v>
      </c>
      <c r="M2" t="n">
        <v>1521046.18216</v>
      </c>
      <c r="N2" t="n">
        <v>827366.57703</v>
      </c>
      <c r="O2" t="n">
        <v>181416.63295</v>
      </c>
      <c r="P2" t="n">
        <v>645949.94408</v>
      </c>
    </row>
    <row r="3">
      <c r="A3" t="inlineStr">
        <is>
          <t>2</t>
        </is>
      </c>
      <c r="B3" t="inlineStr">
        <is>
          <t>АТ "Укрексімбанк"</t>
        </is>
      </c>
      <c r="C3" t="inlineStr">
        <is>
          <t>Державний</t>
        </is>
      </c>
      <c r="D3" t="inlineStr">
        <is>
          <t>1002</t>
        </is>
      </c>
      <c r="E3" t="inlineStr">
        <is>
          <t>(без привʼязки)</t>
        </is>
      </c>
      <c r="F3" t="inlineStr">
        <is>
          <t>Банкноти та монети в касі відділень банку</t>
        </is>
      </c>
      <c r="G3" t="inlineStr">
        <is>
          <t>А</t>
        </is>
      </c>
      <c r="H3" t="n">
        <v>421596.77406</v>
      </c>
      <c r="I3" t="n">
        <v>177262.10269</v>
      </c>
      <c r="J3" t="n">
        <v>244334.67137</v>
      </c>
      <c r="K3" t="n">
        <v>420605.53698</v>
      </c>
      <c r="L3" t="n">
        <v>178404.18309</v>
      </c>
      <c r="M3" t="n">
        <v>242201.35389</v>
      </c>
      <c r="N3" t="n">
        <v>68413.23142</v>
      </c>
      <c r="O3" t="n">
        <v>15938.65122</v>
      </c>
      <c r="P3" t="n">
        <v>52474.5802</v>
      </c>
    </row>
    <row r="4">
      <c r="A4" t="inlineStr">
        <is>
          <t>2</t>
        </is>
      </c>
      <c r="B4" t="inlineStr">
        <is>
          <t>АТ "Укрексімбанк"</t>
        </is>
      </c>
      <c r="C4" t="inlineStr">
        <is>
          <t>Державний</t>
        </is>
      </c>
      <c r="D4" t="inlineStr">
        <is>
          <t>1004</t>
        </is>
      </c>
      <c r="E4" t="inlineStr">
        <is>
          <t>(без привʼязки)</t>
        </is>
      </c>
      <c r="F4" t="inlineStr">
        <is>
          <t>Банкноти та монети в банкоматах</t>
        </is>
      </c>
      <c r="G4" t="inlineStr">
        <is>
          <t>А</t>
        </is>
      </c>
      <c r="H4" t="n">
        <v>1424777.44</v>
      </c>
      <c r="I4" t="n">
        <v>1424777.44</v>
      </c>
      <c r="J4" t="n">
        <v>0</v>
      </c>
      <c r="K4" t="n">
        <v>1427186.24</v>
      </c>
      <c r="L4" t="n">
        <v>1427186.24</v>
      </c>
      <c r="M4" t="n">
        <v>0</v>
      </c>
      <c r="N4" t="n">
        <v>345970.885</v>
      </c>
      <c r="O4" t="n">
        <v>345970.885</v>
      </c>
      <c r="P4" t="n">
        <v>0</v>
      </c>
    </row>
    <row r="5">
      <c r="A5" t="inlineStr">
        <is>
          <t>2</t>
        </is>
      </c>
      <c r="B5" t="inlineStr">
        <is>
          <t>АТ "Укрексімбанк"</t>
        </is>
      </c>
      <c r="C5" t="inlineStr">
        <is>
          <t>Державний</t>
        </is>
      </c>
      <c r="D5" t="inlineStr">
        <is>
          <t>1005</t>
        </is>
      </c>
      <c r="E5" t="inlineStr">
        <is>
          <t>(без привʼязки)</t>
        </is>
      </c>
      <c r="F5" t="inlineStr">
        <is>
          <t>Банкноти та монети, інкасовані до перерахування</t>
        </is>
      </c>
      <c r="G5" t="inlineStr">
        <is>
          <t>А</t>
        </is>
      </c>
      <c r="H5" t="n">
        <v>94970.07799999999</v>
      </c>
      <c r="I5" t="n">
        <v>94970.07799999999</v>
      </c>
      <c r="J5" t="n">
        <v>0</v>
      </c>
      <c r="K5" t="n">
        <v>94970.07799999999</v>
      </c>
      <c r="L5" t="n">
        <v>94970.07799999999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</t>
        </is>
      </c>
      <c r="B6" t="inlineStr">
        <is>
          <t>АТ "Укрексімбанк"</t>
        </is>
      </c>
      <c r="C6" t="inlineStr">
        <is>
          <t>Державний</t>
        </is>
      </c>
      <c r="D6" t="inlineStr">
        <is>
          <t>1006</t>
        </is>
      </c>
      <c r="E6" t="inlineStr">
        <is>
          <t>(без привʼязки)</t>
        </is>
      </c>
      <c r="F6" t="inlineStr">
        <is>
          <t>Банкноти та монети на зберіганні в інкасаторській компанії</t>
        </is>
      </c>
      <c r="G6" t="inlineStr">
        <is>
          <t>А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</t>
        </is>
      </c>
      <c r="B7" t="inlineStr">
        <is>
          <t>АТ "Укрексімбанк"</t>
        </is>
      </c>
      <c r="C7" t="inlineStr">
        <is>
          <t>Державний</t>
        </is>
      </c>
      <c r="D7" t="inlineStr">
        <is>
          <t>1007</t>
        </is>
      </c>
      <c r="E7" t="inlineStr">
        <is>
          <t>(без привʼязки)</t>
        </is>
      </c>
      <c r="F7" t="inlineStr">
        <is>
          <t>Банкноти та монети в дорозі</t>
        </is>
      </c>
      <c r="G7" t="inlineStr">
        <is>
          <t>А</t>
        </is>
      </c>
      <c r="H7" t="n">
        <v>880991.48218</v>
      </c>
      <c r="I7" t="n">
        <v>256979.6484</v>
      </c>
      <c r="J7" t="n">
        <v>624011.83378</v>
      </c>
      <c r="K7" t="n">
        <v>911560.79834</v>
      </c>
      <c r="L7" t="n">
        <v>261956.4484</v>
      </c>
      <c r="M7" t="n">
        <v>649604.34994</v>
      </c>
      <c r="N7" t="n">
        <v>0</v>
      </c>
      <c r="O7" t="n">
        <v>0</v>
      </c>
      <c r="P7" t="n">
        <v>0</v>
      </c>
    </row>
    <row r="8">
      <c r="A8" t="inlineStr">
        <is>
          <t>2</t>
        </is>
      </c>
      <c r="B8" t="inlineStr">
        <is>
          <t>АТ "Укрексімбанк"</t>
        </is>
      </c>
      <c r="C8" t="inlineStr">
        <is>
          <t>Державний</t>
        </is>
      </c>
      <c r="D8" t="inlineStr">
        <is>
          <t>1011</t>
        </is>
      </c>
      <c r="E8" t="inlineStr">
        <is>
          <t>(без привʼязки)</t>
        </is>
      </c>
      <c r="F8" t="inlineStr">
        <is>
          <t>Дорожні чеки в касі банку</t>
        </is>
      </c>
      <c r="G8" t="inlineStr">
        <is>
          <t>А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</t>
        </is>
      </c>
      <c r="B9" t="inlineStr">
        <is>
          <t>АТ "Укрексімбанк"</t>
        </is>
      </c>
      <c r="C9" t="inlineStr">
        <is>
          <t>Державний</t>
        </is>
      </c>
      <c r="D9" t="inlineStr">
        <is>
          <t>1012</t>
        </is>
      </c>
      <c r="E9" t="inlineStr">
        <is>
          <t>(без привʼязки)</t>
        </is>
      </c>
      <c r="F9" t="inlineStr">
        <is>
          <t>Дорожні чеки в касі відділень банку</t>
        </is>
      </c>
      <c r="G9" t="inlineStr">
        <is>
          <t>А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</t>
        </is>
      </c>
      <c r="B10" t="inlineStr">
        <is>
          <t>АТ "Укрексімбанк"</t>
        </is>
      </c>
      <c r="C10" t="inlineStr">
        <is>
          <t>Державний</t>
        </is>
      </c>
      <c r="D10" t="inlineStr">
        <is>
          <t>1090</t>
        </is>
      </c>
      <c r="E10" t="inlineStr">
        <is>
          <t>(без привʼязки)</t>
        </is>
      </c>
      <c r="F10" t="inlineStr">
        <is>
          <t>Резерви за готівковими коштами, наявність яких є непідтвердженою</t>
        </is>
      </c>
      <c r="G10" t="inlineStr">
        <is>
          <t>П</t>
        </is>
      </c>
      <c r="H10" t="n">
        <v>533.62252</v>
      </c>
      <c r="I10" t="n">
        <v>0</v>
      </c>
      <c r="J10" t="n">
        <v>533.62252</v>
      </c>
      <c r="K10" t="n">
        <v>785.03309</v>
      </c>
      <c r="L10" t="n">
        <v>0</v>
      </c>
      <c r="M10" t="n">
        <v>785.03309</v>
      </c>
      <c r="N10" t="n">
        <v>-50810.58854</v>
      </c>
      <c r="O10" t="n">
        <v>-5377.89987</v>
      </c>
      <c r="P10" t="n">
        <v>-45432.68867</v>
      </c>
    </row>
    <row r="11">
      <c r="A11" t="inlineStr">
        <is>
          <t>2</t>
        </is>
      </c>
      <c r="B11" t="inlineStr">
        <is>
          <t>АТ "Укрексімбанк"</t>
        </is>
      </c>
      <c r="C11" t="inlineStr">
        <is>
          <t>Державний</t>
        </is>
      </c>
      <c r="D11" t="inlineStr">
        <is>
          <t>1101</t>
        </is>
      </c>
      <c r="E11" t="inlineStr">
        <is>
          <t>(без привʼязки)</t>
        </is>
      </c>
      <c r="F11" t="inlineStr">
        <is>
          <t>Банківські метали в банку</t>
        </is>
      </c>
      <c r="G11" t="inlineStr">
        <is>
          <t>А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</t>
        </is>
      </c>
      <c r="B12" t="inlineStr">
        <is>
          <t>АТ "Укрексімбанк"</t>
        </is>
      </c>
      <c r="C12" t="inlineStr">
        <is>
          <t>Державний</t>
        </is>
      </c>
      <c r="D12" t="inlineStr">
        <is>
          <t>1102</t>
        </is>
      </c>
      <c r="E12" t="inlineStr">
        <is>
          <t>(без привʼязки)</t>
        </is>
      </c>
      <c r="F12" t="inlineStr">
        <is>
          <t>Банківські метали у відділенні банку</t>
        </is>
      </c>
      <c r="G12" t="inlineStr">
        <is>
          <t>А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</t>
        </is>
      </c>
      <c r="B13" t="inlineStr">
        <is>
          <t>АТ "Укрексімбанк"</t>
        </is>
      </c>
      <c r="C13" t="inlineStr">
        <is>
          <t>Державний</t>
        </is>
      </c>
      <c r="D13" t="inlineStr">
        <is>
          <t>1107</t>
        </is>
      </c>
      <c r="E13" t="inlineStr">
        <is>
          <t>(без привʼязки)</t>
        </is>
      </c>
      <c r="F13" t="inlineStr">
        <is>
          <t>Банківські метали в дорозі</t>
        </is>
      </c>
      <c r="G13" t="inlineStr">
        <is>
          <t>А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</t>
        </is>
      </c>
      <c r="B14" t="inlineStr">
        <is>
          <t>АТ "Укрексімбанк"</t>
        </is>
      </c>
      <c r="C14" t="inlineStr">
        <is>
          <t>Державний</t>
        </is>
      </c>
      <c r="D14" t="inlineStr">
        <is>
          <t>1190</t>
        </is>
      </c>
      <c r="E14" t="inlineStr">
        <is>
          <t>(без привʼязки)</t>
        </is>
      </c>
      <c r="F14" t="inlineStr">
        <is>
          <t>Резерви за банківськими металами, наявність яких є непідтвердженою</t>
        </is>
      </c>
      <c r="G14" t="inlineStr">
        <is>
          <t>П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</t>
        </is>
      </c>
      <c r="B15" t="inlineStr">
        <is>
          <t>АТ "Укрексімбанк"</t>
        </is>
      </c>
      <c r="C15" t="inlineStr">
        <is>
          <t>Державний</t>
        </is>
      </c>
      <c r="D15" t="inlineStr">
        <is>
          <t>1200</t>
        </is>
      </c>
      <c r="E15" t="inlineStr">
        <is>
          <t>(без привʼязки)</t>
        </is>
      </c>
      <c r="F15" t="inlineStr">
        <is>
          <t>Кореспондентський рахунок банку в Національному банку України</t>
        </is>
      </c>
      <c r="G15" t="inlineStr">
        <is>
          <t>А</t>
        </is>
      </c>
      <c r="H15" t="n">
        <v>566066911.3183</v>
      </c>
      <c r="I15" t="n">
        <v>566066911.3183</v>
      </c>
      <c r="J15" t="n">
        <v>0</v>
      </c>
      <c r="K15" t="n">
        <v>561617095.44981</v>
      </c>
      <c r="L15" t="n">
        <v>561617095.44981</v>
      </c>
      <c r="M15" t="n">
        <v>0</v>
      </c>
      <c r="N15" t="n">
        <v>22042209.74529</v>
      </c>
      <c r="O15" t="n">
        <v>22042209.74529</v>
      </c>
      <c r="P15" t="n">
        <v>0</v>
      </c>
    </row>
    <row r="16">
      <c r="A16" t="inlineStr">
        <is>
          <t>2</t>
        </is>
      </c>
      <c r="B16" t="inlineStr">
        <is>
          <t>АТ "Укрексімбанк"</t>
        </is>
      </c>
      <c r="C16" t="inlineStr">
        <is>
          <t>Державний</t>
        </is>
      </c>
      <c r="D16" t="inlineStr">
        <is>
          <t>1200</t>
        </is>
      </c>
      <c r="E16" t="inlineStr">
        <is>
          <t>Кошти в НБУ (кор.рахунок) (кредит) (код 1200)</t>
        </is>
      </c>
      <c r="F16" t="inlineStr">
        <is>
          <t>Кореспондентський рахунок банку в Національному банку України</t>
        </is>
      </c>
      <c r="G16" t="inlineStr">
        <is>
          <t>А</t>
        </is>
      </c>
      <c r="H16" t="n">
        <v>566066911.3183</v>
      </c>
      <c r="I16" t="n">
        <v>566066911.3183</v>
      </c>
      <c r="J16" t="n">
        <v>0</v>
      </c>
      <c r="K16" t="n">
        <v>561617095.44981</v>
      </c>
      <c r="L16" t="n">
        <v>561617095.44981</v>
      </c>
      <c r="M16" t="n">
        <v>0</v>
      </c>
      <c r="N16" t="n">
        <v>22042209.74529</v>
      </c>
      <c r="O16" t="n">
        <v>22042209.74529</v>
      </c>
      <c r="P16" t="n">
        <v>0</v>
      </c>
    </row>
    <row r="17">
      <c r="A17" t="inlineStr">
        <is>
          <t>2</t>
        </is>
      </c>
      <c r="B17" t="inlineStr">
        <is>
          <t>АТ "Укрексімбанк"</t>
        </is>
      </c>
      <c r="C17" t="inlineStr">
        <is>
          <t>Державний</t>
        </is>
      </c>
      <c r="D17" t="inlineStr">
        <is>
          <t>1200</t>
        </is>
      </c>
      <c r="E17" t="inlineStr">
        <is>
          <t>Кошти в НБУ (УСЬОГО) (кредит) (розділ 12)</t>
        </is>
      </c>
      <c r="F17" t="inlineStr">
        <is>
          <t>Кореспондентський рахунок банку в Національному банку України</t>
        </is>
      </c>
      <c r="G17" t="inlineStr">
        <is>
          <t>А</t>
        </is>
      </c>
      <c r="H17" t="n">
        <v>566066911.3183</v>
      </c>
      <c r="I17" t="n">
        <v>566066911.3183</v>
      </c>
      <c r="J17" t="n">
        <v>0</v>
      </c>
      <c r="K17" t="n">
        <v>561617095.44981</v>
      </c>
      <c r="L17" t="n">
        <v>561617095.44981</v>
      </c>
      <c r="M17" t="n">
        <v>0</v>
      </c>
      <c r="N17" t="n">
        <v>22042209.74529</v>
      </c>
      <c r="O17" t="n">
        <v>22042209.74529</v>
      </c>
      <c r="P17" t="n">
        <v>0</v>
      </c>
    </row>
    <row r="18">
      <c r="A18" t="inlineStr">
        <is>
          <t>2</t>
        </is>
      </c>
      <c r="B18" t="inlineStr">
        <is>
          <t>АТ "Укрексімбанк"</t>
        </is>
      </c>
      <c r="C18" t="inlineStr">
        <is>
          <t>Державний</t>
        </is>
      </c>
      <c r="D18" t="inlineStr">
        <is>
          <t>1202</t>
        </is>
      </c>
      <c r="E18" t="inlineStr">
        <is>
          <t>(без привʼязки)</t>
        </is>
      </c>
      <c r="F18" t="inlineStr">
        <is>
          <t>Кошти банків за рахунками умовного зберігання (ескроу) у Національному банку України</t>
        </is>
      </c>
      <c r="G18" t="inlineStr">
        <is>
          <t>А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</t>
        </is>
      </c>
      <c r="B19" t="inlineStr">
        <is>
          <t>АТ "Укрексімбанк"</t>
        </is>
      </c>
      <c r="C19" t="inlineStr">
        <is>
          <t>Державний</t>
        </is>
      </c>
      <c r="D19" t="inlineStr">
        <is>
          <t>1205</t>
        </is>
      </c>
      <c r="E19" t="inlineStr">
        <is>
          <t>(без привʼязки)</t>
        </is>
      </c>
      <c r="F19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G19" t="inlineStr">
        <is>
          <t>А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</t>
        </is>
      </c>
      <c r="B20" t="inlineStr">
        <is>
          <t>АТ "Укрексімбанк"</t>
        </is>
      </c>
      <c r="C20" t="inlineStr">
        <is>
          <t>Державний</t>
        </is>
      </c>
      <c r="D20" t="inlineStr">
        <is>
          <t>1208</t>
        </is>
      </c>
      <c r="E20" t="inlineStr">
        <is>
          <t>(без привʼязки)</t>
        </is>
      </c>
      <c r="F20" t="inlineStr">
        <is>
          <t>Нараховані доходи за коштами на вимогу в Національному банку України</t>
        </is>
      </c>
      <c r="G20" t="inlineStr">
        <is>
          <t>А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</t>
        </is>
      </c>
      <c r="B21" t="inlineStr">
        <is>
          <t>АТ "Укрексімбанк"</t>
        </is>
      </c>
      <c r="C21" t="inlineStr">
        <is>
          <t>Державний</t>
        </is>
      </c>
      <c r="D21" t="inlineStr">
        <is>
          <t>1208</t>
        </is>
      </c>
      <c r="E21" t="inlineStr">
        <is>
          <t>Кошти в НБУ (УСЬОГО) (кредит) (розділ 12)</t>
        </is>
      </c>
      <c r="F21" t="inlineStr">
        <is>
          <t>Нараховані доходи за коштами на вимогу в Національному банку України</t>
        </is>
      </c>
      <c r="G21" t="inlineStr">
        <is>
          <t>А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</t>
        </is>
      </c>
      <c r="B22" t="inlineStr">
        <is>
          <t>АТ "Укрексімбанк"</t>
        </is>
      </c>
      <c r="C22" t="inlineStr">
        <is>
          <t>Державний</t>
        </is>
      </c>
      <c r="D22" t="inlineStr">
        <is>
          <t>1400</t>
        </is>
      </c>
      <c r="E22" t="inlineStr">
        <is>
          <t>(без привʼязки)</t>
        </is>
      </c>
      <c r="F22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G22" t="inlineStr">
        <is>
          <t>А</t>
        </is>
      </c>
      <c r="H22" t="n">
        <v>9461457.3838</v>
      </c>
      <c r="I22" t="n">
        <v>5951813</v>
      </c>
      <c r="J22" t="n">
        <v>3509644.3838</v>
      </c>
      <c r="K22" t="n">
        <v>12068323.2333</v>
      </c>
      <c r="L22" t="n">
        <v>8995306</v>
      </c>
      <c r="M22" t="n">
        <v>3073017.2333</v>
      </c>
      <c r="N22" t="n">
        <v>13863167.8837</v>
      </c>
      <c r="O22" t="n">
        <v>13246549</v>
      </c>
      <c r="P22" t="n">
        <v>616618.8837</v>
      </c>
    </row>
    <row r="23">
      <c r="A23" t="inlineStr">
        <is>
          <t>2</t>
        </is>
      </c>
      <c r="B23" t="inlineStr">
        <is>
          <t>АТ "Укрексімбанк"</t>
        </is>
      </c>
      <c r="C23" t="inlineStr">
        <is>
          <t>Державний</t>
        </is>
      </c>
      <c r="D23" t="inlineStr">
        <is>
          <t>1405</t>
        </is>
      </c>
      <c r="E23" t="inlineStr">
        <is>
          <t>(без привʼязки)</t>
        </is>
      </c>
      <c r="F23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3" t="inlineStr">
        <is>
          <t>А</t>
        </is>
      </c>
      <c r="H23" t="n">
        <v>374584.69016</v>
      </c>
      <c r="I23" t="n">
        <v>372410.19064</v>
      </c>
      <c r="J23" t="n">
        <v>2174.49952</v>
      </c>
      <c r="K23" t="n">
        <v>2627750.77248</v>
      </c>
      <c r="L23" t="n">
        <v>2625165.23745</v>
      </c>
      <c r="M23" t="n">
        <v>2585.53503</v>
      </c>
      <c r="N23" t="n">
        <v>6054103.613</v>
      </c>
      <c r="O23" t="n">
        <v>6053531.03124</v>
      </c>
      <c r="P23" t="n">
        <v>572.58176</v>
      </c>
    </row>
    <row r="24">
      <c r="A24" t="inlineStr">
        <is>
          <t>2</t>
        </is>
      </c>
      <c r="B24" t="inlineStr">
        <is>
          <t>АТ "Укрексімбанк"</t>
        </is>
      </c>
      <c r="C24" t="inlineStr">
        <is>
          <t>Державний</t>
        </is>
      </c>
      <c r="D24" t="inlineStr">
        <is>
          <t>1405</t>
        </is>
      </c>
      <c r="E24" t="inlineStr">
        <is>
          <t>(без привʼязки)</t>
        </is>
      </c>
      <c r="F2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4" t="inlineStr">
        <is>
          <t>П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-57653.27248</v>
      </c>
      <c r="O24" t="n">
        <v>-57281.83197</v>
      </c>
      <c r="P24" t="n">
        <v>-371.44051</v>
      </c>
    </row>
    <row r="25">
      <c r="A25" t="inlineStr">
        <is>
          <t>2</t>
        </is>
      </c>
      <c r="B25" t="inlineStr">
        <is>
          <t>АТ "Укрексімбанк"</t>
        </is>
      </c>
      <c r="C25" t="inlineStr">
        <is>
          <t>Державний</t>
        </is>
      </c>
      <c r="D25" t="inlineStr">
        <is>
          <t>1406</t>
        </is>
      </c>
      <c r="E25" t="inlineStr">
        <is>
          <t>(без привʼязки)</t>
        </is>
      </c>
      <c r="F2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5" t="inlineStr">
        <is>
          <t>А</t>
        </is>
      </c>
      <c r="H25" t="n">
        <v>76966.68584999999</v>
      </c>
      <c r="I25" t="n">
        <v>72049.04496</v>
      </c>
      <c r="J25" t="n">
        <v>4917.64089</v>
      </c>
      <c r="K25" t="n">
        <v>60453.48178</v>
      </c>
      <c r="L25" t="n">
        <v>56658.2972</v>
      </c>
      <c r="M25" t="n">
        <v>3795.18458</v>
      </c>
      <c r="N25" t="n">
        <v>704401.0690200001</v>
      </c>
      <c r="O25" t="n">
        <v>703238.50844</v>
      </c>
      <c r="P25" t="n">
        <v>1162.56058</v>
      </c>
    </row>
    <row r="26">
      <c r="A26" t="inlineStr">
        <is>
          <t>2</t>
        </is>
      </c>
      <c r="B26" t="inlineStr">
        <is>
          <t>АТ "Укрексімбанк"</t>
        </is>
      </c>
      <c r="C26" t="inlineStr">
        <is>
          <t>Державний</t>
        </is>
      </c>
      <c r="D26" t="inlineStr">
        <is>
          <t>1406</t>
        </is>
      </c>
      <c r="E26" t="inlineStr">
        <is>
          <t>(без привʼязки)</t>
        </is>
      </c>
      <c r="F26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6" t="inlineStr">
        <is>
          <t>П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-15932.68556</v>
      </c>
      <c r="O26" t="n">
        <v>-15929.24291</v>
      </c>
      <c r="P26" t="n">
        <v>-3.44265</v>
      </c>
    </row>
    <row r="27">
      <c r="A27" t="inlineStr">
        <is>
          <t>2</t>
        </is>
      </c>
      <c r="B27" t="inlineStr">
        <is>
          <t>АТ "Укрексімбанк"</t>
        </is>
      </c>
      <c r="C27" t="inlineStr">
        <is>
          <t>Державний</t>
        </is>
      </c>
      <c r="D27" t="inlineStr">
        <is>
          <t>1408</t>
        </is>
      </c>
      <c r="E27" t="inlineStr">
        <is>
          <t>(без привʼязки)</t>
        </is>
      </c>
      <c r="F27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7" t="inlineStr">
        <is>
          <t>А</t>
        </is>
      </c>
      <c r="H27" t="n">
        <v>412462.00163</v>
      </c>
      <c r="I27" t="n">
        <v>356747.43829</v>
      </c>
      <c r="J27" t="n">
        <v>55714.56334</v>
      </c>
      <c r="K27" t="n">
        <v>447665.85482</v>
      </c>
      <c r="L27" t="n">
        <v>400664.44041</v>
      </c>
      <c r="M27" t="n">
        <v>47001.41441</v>
      </c>
      <c r="N27" t="n">
        <v>385140.92485</v>
      </c>
      <c r="O27" t="n">
        <v>375182.19512</v>
      </c>
      <c r="P27" t="n">
        <v>9958.729729999999</v>
      </c>
    </row>
    <row r="28">
      <c r="A28" t="inlineStr">
        <is>
          <t>2</t>
        </is>
      </c>
      <c r="B28" t="inlineStr">
        <is>
          <t>АТ "Укрексімбанк"</t>
        </is>
      </c>
      <c r="C28" t="inlineStr">
        <is>
          <t>Державний</t>
        </is>
      </c>
      <c r="D28" t="inlineStr">
        <is>
          <t>1410</t>
        </is>
      </c>
      <c r="E28" t="inlineStr">
        <is>
          <t>(без привʼязки)</t>
        </is>
      </c>
      <c r="F28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8" t="inlineStr">
        <is>
          <t>А</t>
        </is>
      </c>
      <c r="H28" t="n">
        <v>0</v>
      </c>
      <c r="I28" t="n">
        <v>0</v>
      </c>
      <c r="J28" t="n">
        <v>0</v>
      </c>
      <c r="K28" t="n">
        <v>720998</v>
      </c>
      <c r="L28" t="n">
        <v>720998</v>
      </c>
      <c r="M28" t="n">
        <v>0</v>
      </c>
      <c r="N28" t="n">
        <v>19225235</v>
      </c>
      <c r="O28" t="n">
        <v>19225235</v>
      </c>
      <c r="P28" t="n">
        <v>0</v>
      </c>
    </row>
    <row r="29">
      <c r="A29" t="inlineStr">
        <is>
          <t>2</t>
        </is>
      </c>
      <c r="B29" t="inlineStr">
        <is>
          <t>АТ "Укрексімбанк"</t>
        </is>
      </c>
      <c r="C29" t="inlineStr">
        <is>
          <t>Державний</t>
        </is>
      </c>
      <c r="D29" t="inlineStr">
        <is>
          <t>1411</t>
        </is>
      </c>
      <c r="E29" t="inlineStr">
        <is>
          <t>(без привʼязки)</t>
        </is>
      </c>
      <c r="F29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9" t="inlineStr">
        <is>
          <t>А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</t>
        </is>
      </c>
      <c r="B30" t="inlineStr">
        <is>
          <t>АТ "Укрексімбанк"</t>
        </is>
      </c>
      <c r="C30" t="inlineStr">
        <is>
          <t>Державний</t>
        </is>
      </c>
      <c r="D30" t="inlineStr">
        <is>
          <t>1412</t>
        </is>
      </c>
      <c r="E30" t="inlineStr">
        <is>
          <t>(без привʼязки)</t>
        </is>
      </c>
      <c r="F30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G30" t="inlineStr">
        <is>
          <t>А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</t>
        </is>
      </c>
      <c r="B31" t="inlineStr">
        <is>
          <t>АТ "Укрексімбанк"</t>
        </is>
      </c>
      <c r="C31" t="inlineStr">
        <is>
          <t>Державний</t>
        </is>
      </c>
      <c r="D31" t="inlineStr">
        <is>
          <t>1415</t>
        </is>
      </c>
      <c r="E31" t="inlineStr">
        <is>
          <t>(без привʼязки)</t>
        </is>
      </c>
      <c r="F31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1" t="inlineStr">
        <is>
          <t>А</t>
        </is>
      </c>
      <c r="H31" t="n">
        <v>116132.23044</v>
      </c>
      <c r="I31" t="n">
        <v>116132.23044</v>
      </c>
      <c r="J31" t="n">
        <v>0</v>
      </c>
      <c r="K31" t="n">
        <v>126706.94988</v>
      </c>
      <c r="L31" t="n">
        <v>126706.94988</v>
      </c>
      <c r="M31" t="n">
        <v>0</v>
      </c>
      <c r="N31" t="n">
        <v>483199.9239</v>
      </c>
      <c r="O31" t="n">
        <v>483199.9239</v>
      </c>
      <c r="P31" t="n">
        <v>0</v>
      </c>
    </row>
    <row r="32">
      <c r="A32" t="inlineStr">
        <is>
          <t>2</t>
        </is>
      </c>
      <c r="B32" t="inlineStr">
        <is>
          <t>АТ "Укрексімбанк"</t>
        </is>
      </c>
      <c r="C32" t="inlineStr">
        <is>
          <t>Державний</t>
        </is>
      </c>
      <c r="D32" t="inlineStr">
        <is>
          <t>1415</t>
        </is>
      </c>
      <c r="E32" t="inlineStr">
        <is>
          <t>(без привʼязки)</t>
        </is>
      </c>
      <c r="F32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2" t="inlineStr">
        <is>
          <t>П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-387951.20024</v>
      </c>
      <c r="O32" t="n">
        <v>-387951.20024</v>
      </c>
      <c r="P32" t="n">
        <v>0</v>
      </c>
    </row>
    <row r="33">
      <c r="A33" t="inlineStr">
        <is>
          <t>2</t>
        </is>
      </c>
      <c r="B33" t="inlineStr">
        <is>
          <t>АТ "Укрексімбанк"</t>
        </is>
      </c>
      <c r="C33" t="inlineStr">
        <is>
          <t>Державний</t>
        </is>
      </c>
      <c r="D33" t="inlineStr">
        <is>
          <t>1416</t>
        </is>
      </c>
      <c r="E33" t="inlineStr">
        <is>
          <t>(без привʼязки)</t>
        </is>
      </c>
      <c r="F33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3" t="inlineStr">
        <is>
          <t>А</t>
        </is>
      </c>
      <c r="H33" t="n">
        <v>1309.7475</v>
      </c>
      <c r="I33" t="n">
        <v>1309.7475</v>
      </c>
      <c r="J33" t="n">
        <v>0</v>
      </c>
      <c r="K33" t="n">
        <v>7620.90615</v>
      </c>
      <c r="L33" t="n">
        <v>7620.90615</v>
      </c>
      <c r="M33" t="n">
        <v>0</v>
      </c>
      <c r="N33" t="n">
        <v>113011.67395</v>
      </c>
      <c r="O33" t="n">
        <v>113011.67395</v>
      </c>
      <c r="P33" t="n">
        <v>0</v>
      </c>
    </row>
    <row r="34">
      <c r="A34" t="inlineStr">
        <is>
          <t>2</t>
        </is>
      </c>
      <c r="B34" t="inlineStr">
        <is>
          <t>АТ "Укрексімбанк"</t>
        </is>
      </c>
      <c r="C34" t="inlineStr">
        <is>
          <t>Державний</t>
        </is>
      </c>
      <c r="D34" t="inlineStr">
        <is>
          <t>1416</t>
        </is>
      </c>
      <c r="E34" t="inlineStr">
        <is>
          <t>(без привʼязки)</t>
        </is>
      </c>
      <c r="F3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" t="inlineStr">
        <is>
          <t>П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-4001.65487</v>
      </c>
      <c r="O34" t="n">
        <v>-4001.65487</v>
      </c>
      <c r="P34" t="n">
        <v>0</v>
      </c>
    </row>
    <row r="35">
      <c r="A35" t="inlineStr">
        <is>
          <t>2</t>
        </is>
      </c>
      <c r="B35" t="inlineStr">
        <is>
          <t>АТ "Укрексімбанк"</t>
        </is>
      </c>
      <c r="C35" t="inlineStr">
        <is>
          <t>Державний</t>
        </is>
      </c>
      <c r="D35" t="inlineStr">
        <is>
          <t>1418</t>
        </is>
      </c>
      <c r="E35" t="inlineStr">
        <is>
          <t>(без привʼязки)</t>
        </is>
      </c>
      <c r="F35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5" t="inlineStr">
        <is>
          <t>А</t>
        </is>
      </c>
      <c r="H35" t="n">
        <v>251493.08497</v>
      </c>
      <c r="I35" t="n">
        <v>251493.08497</v>
      </c>
      <c r="J35" t="n">
        <v>0</v>
      </c>
      <c r="K35" t="n">
        <v>114050.988</v>
      </c>
      <c r="L35" t="n">
        <v>114050.988</v>
      </c>
      <c r="M35" t="n">
        <v>0</v>
      </c>
      <c r="N35" t="n">
        <v>861921.32546</v>
      </c>
      <c r="O35" t="n">
        <v>861921.32546</v>
      </c>
      <c r="P35" t="n">
        <v>0</v>
      </c>
    </row>
    <row r="36">
      <c r="A36" t="inlineStr">
        <is>
          <t>2</t>
        </is>
      </c>
      <c r="B36" t="inlineStr">
        <is>
          <t>АТ "Укрексімбанк"</t>
        </is>
      </c>
      <c r="C36" t="inlineStr">
        <is>
          <t>Державний</t>
        </is>
      </c>
      <c r="D36" t="inlineStr">
        <is>
          <t>1419</t>
        </is>
      </c>
      <c r="E36" t="inlineStr">
        <is>
          <t>(без привʼязки)</t>
        </is>
      </c>
      <c r="F36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G36" t="inlineStr">
        <is>
          <t>П</t>
        </is>
      </c>
      <c r="H36" t="n">
        <v>15901.21284</v>
      </c>
      <c r="I36" t="n">
        <v>15901.21284</v>
      </c>
      <c r="J36" t="n">
        <v>0</v>
      </c>
      <c r="K36" t="n">
        <v>5274.73071</v>
      </c>
      <c r="L36" t="n">
        <v>5274.73071</v>
      </c>
      <c r="M36" t="n">
        <v>0</v>
      </c>
      <c r="N36" t="n">
        <v>-847399.97219</v>
      </c>
      <c r="O36" t="n">
        <v>-847399.97219</v>
      </c>
      <c r="P36" t="n">
        <v>0</v>
      </c>
    </row>
    <row r="37">
      <c r="A37" t="inlineStr">
        <is>
          <t>2</t>
        </is>
      </c>
      <c r="B37" t="inlineStr">
        <is>
          <t>АТ "Укрексімбанк"</t>
        </is>
      </c>
      <c r="C37" t="inlineStr">
        <is>
          <t>Державний</t>
        </is>
      </c>
      <c r="D37" t="inlineStr">
        <is>
          <t>1420</t>
        </is>
      </c>
      <c r="E37" t="inlineStr">
        <is>
          <t>(без привʼязки)</t>
        </is>
      </c>
      <c r="F37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G37" t="inlineStr">
        <is>
          <t>А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26489557</v>
      </c>
      <c r="O37" t="n">
        <v>26489557</v>
      </c>
      <c r="P37" t="n">
        <v>0</v>
      </c>
    </row>
    <row r="38">
      <c r="A38" t="inlineStr">
        <is>
          <t>2</t>
        </is>
      </c>
      <c r="B38" t="inlineStr">
        <is>
          <t>АТ "Укрексімбанк"</t>
        </is>
      </c>
      <c r="C38" t="inlineStr">
        <is>
          <t>Державний</t>
        </is>
      </c>
      <c r="D38" t="inlineStr">
        <is>
          <t>1426</t>
        </is>
      </c>
      <c r="E38" t="inlineStr">
        <is>
          <t>(без привʼязки)</t>
        </is>
      </c>
      <c r="F3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8" t="inlineStr">
        <is>
          <t>А</t>
        </is>
      </c>
      <c r="H38" t="n">
        <v>1421.72901</v>
      </c>
      <c r="I38" t="n">
        <v>1421.72901</v>
      </c>
      <c r="J38" t="n">
        <v>0</v>
      </c>
      <c r="K38" t="n">
        <v>6213.55395</v>
      </c>
      <c r="L38" t="n">
        <v>6213.55395</v>
      </c>
      <c r="M38" t="n">
        <v>0</v>
      </c>
      <c r="N38" t="n">
        <v>145146.67679</v>
      </c>
      <c r="O38" t="n">
        <v>145146.67679</v>
      </c>
      <c r="P38" t="n">
        <v>0</v>
      </c>
    </row>
    <row r="39">
      <c r="A39" t="inlineStr">
        <is>
          <t>2</t>
        </is>
      </c>
      <c r="B39" t="inlineStr">
        <is>
          <t>АТ "Укрексімбанк"</t>
        </is>
      </c>
      <c r="C39" t="inlineStr">
        <is>
          <t>Державний</t>
        </is>
      </c>
      <c r="D39" t="inlineStr">
        <is>
          <t>1426</t>
        </is>
      </c>
      <c r="E39" t="inlineStr">
        <is>
          <t>(без привʼязки)</t>
        </is>
      </c>
      <c r="F39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9" t="inlineStr">
        <is>
          <t>П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-28830.50058</v>
      </c>
      <c r="O39" t="n">
        <v>-28830.50058</v>
      </c>
      <c r="P39" t="n">
        <v>0</v>
      </c>
    </row>
    <row r="40">
      <c r="A40" t="inlineStr">
        <is>
          <t>2</t>
        </is>
      </c>
      <c r="B40" t="inlineStr">
        <is>
          <t>АТ "Укрексімбанк"</t>
        </is>
      </c>
      <c r="C40" t="inlineStr">
        <is>
          <t>Державний</t>
        </is>
      </c>
      <c r="D40" t="inlineStr">
        <is>
          <t>1428</t>
        </is>
      </c>
      <c r="E40" t="inlineStr">
        <is>
          <t>(без привʼязки)</t>
        </is>
      </c>
      <c r="F40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G40" t="inlineStr">
        <is>
          <t>А</t>
        </is>
      </c>
      <c r="H40" t="n">
        <v>304571.09635</v>
      </c>
      <c r="I40" t="n">
        <v>304571.09635</v>
      </c>
      <c r="J40" t="n">
        <v>0</v>
      </c>
      <c r="K40" t="n">
        <v>50273.41535</v>
      </c>
      <c r="L40" t="n">
        <v>50273.41535</v>
      </c>
      <c r="M40" t="n">
        <v>0</v>
      </c>
      <c r="N40" t="n">
        <v>824636.76807</v>
      </c>
      <c r="O40" t="n">
        <v>824636.76807</v>
      </c>
      <c r="P40" t="n">
        <v>0</v>
      </c>
    </row>
    <row r="41">
      <c r="A41" t="inlineStr">
        <is>
          <t>2</t>
        </is>
      </c>
      <c r="B41" t="inlineStr">
        <is>
          <t>АТ "Укрексімбанк"</t>
        </is>
      </c>
      <c r="C41" t="inlineStr">
        <is>
          <t>Державний</t>
        </is>
      </c>
      <c r="D41" t="inlineStr">
        <is>
          <t>1429</t>
        </is>
      </c>
      <c r="E41" t="inlineStr">
        <is>
          <t>(без привʼязки)</t>
        </is>
      </c>
      <c r="F41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G41" t="inlineStr">
        <is>
          <t>П</t>
        </is>
      </c>
      <c r="H41" t="n">
        <v>18908.28538</v>
      </c>
      <c r="I41" t="n">
        <v>18908.28538</v>
      </c>
      <c r="J41" t="n">
        <v>0</v>
      </c>
      <c r="K41" t="n">
        <v>8973.73135</v>
      </c>
      <c r="L41" t="n">
        <v>8973.73135</v>
      </c>
      <c r="M41" t="n">
        <v>0</v>
      </c>
      <c r="N41" t="n">
        <v>-1319100.43441</v>
      </c>
      <c r="O41" t="n">
        <v>-1319100.43441</v>
      </c>
      <c r="P41" t="n">
        <v>0</v>
      </c>
    </row>
    <row r="42">
      <c r="A42" t="inlineStr">
        <is>
          <t>2</t>
        </is>
      </c>
      <c r="B42" t="inlineStr">
        <is>
          <t>АТ "Укрексімбанк"</t>
        </is>
      </c>
      <c r="C42" t="inlineStr">
        <is>
          <t>Державний</t>
        </is>
      </c>
      <c r="D42" t="inlineStr">
        <is>
          <t>1430</t>
        </is>
      </c>
      <c r="E42" t="inlineStr">
        <is>
          <t>(без привʼязки)</t>
        </is>
      </c>
      <c r="F42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2" t="inlineStr">
        <is>
          <t>А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</t>
        </is>
      </c>
      <c r="B43" t="inlineStr">
        <is>
          <t>АТ "Укрексімбанк"</t>
        </is>
      </c>
      <c r="C43" t="inlineStr">
        <is>
          <t>Державний</t>
        </is>
      </c>
      <c r="D43" t="inlineStr">
        <is>
          <t>1430</t>
        </is>
      </c>
      <c r="E43" t="inlineStr">
        <is>
          <t>Обсяг ДС дебит (середні, поділено на кількість банк.днів) (код 1430, 1440)</t>
        </is>
      </c>
      <c r="F43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3" t="inlineStr">
        <is>
          <t>А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</t>
        </is>
      </c>
      <c r="B44" t="inlineStr">
        <is>
          <t>АТ "Укрексімбанк"</t>
        </is>
      </c>
      <c r="C44" t="inlineStr">
        <is>
          <t>Державний</t>
        </is>
      </c>
      <c r="D44" t="inlineStr">
        <is>
          <t>1430</t>
        </is>
      </c>
      <c r="E44" t="inlineStr">
        <is>
          <t>Обсяг ДС кредит (середні, поділено на кількість банк.днів) (код 1430, 1440)</t>
        </is>
      </c>
      <c r="F4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4" t="inlineStr">
        <is>
          <t>А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</t>
        </is>
      </c>
      <c r="B45" t="inlineStr">
        <is>
          <t>АТ "Укрексімбанк"</t>
        </is>
      </c>
      <c r="C45" t="inlineStr">
        <is>
          <t>Державний</t>
        </is>
      </c>
      <c r="D45" t="inlineStr">
        <is>
          <t>1435</t>
        </is>
      </c>
      <c r="E45" t="inlineStr">
        <is>
          <t>(без привʼязки)</t>
        </is>
      </c>
      <c r="F45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G45" t="inlineStr">
        <is>
          <t>А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</t>
        </is>
      </c>
      <c r="B46" t="inlineStr">
        <is>
          <t>АТ "Укрексімбанк"</t>
        </is>
      </c>
      <c r="C46" t="inlineStr">
        <is>
          <t>Державний</t>
        </is>
      </c>
      <c r="D46" t="inlineStr">
        <is>
          <t>1436</t>
        </is>
      </c>
      <c r="E46" t="inlineStr">
        <is>
          <t>(без привʼязки)</t>
        </is>
      </c>
      <c r="F46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6" t="inlineStr">
        <is>
          <t>А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</t>
        </is>
      </c>
      <c r="B47" t="inlineStr">
        <is>
          <t>АТ "Укрексімбанк"</t>
        </is>
      </c>
      <c r="C47" t="inlineStr">
        <is>
          <t>Державний</t>
        </is>
      </c>
      <c r="D47" t="inlineStr">
        <is>
          <t>1436</t>
        </is>
      </c>
      <c r="E47" t="inlineStr">
        <is>
          <t>(без привʼязки)</t>
        </is>
      </c>
      <c r="F4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7" t="inlineStr">
        <is>
          <t>П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</t>
        </is>
      </c>
      <c r="B48" t="inlineStr">
        <is>
          <t>АТ "Укрексімбанк"</t>
        </is>
      </c>
      <c r="C48" t="inlineStr">
        <is>
          <t>Державний</t>
        </is>
      </c>
      <c r="D48" t="inlineStr">
        <is>
          <t>1438</t>
        </is>
      </c>
      <c r="E48" t="inlineStr">
        <is>
          <t>(без привʼязки)</t>
        </is>
      </c>
      <c r="F48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8" t="inlineStr">
        <is>
          <t>А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</t>
        </is>
      </c>
      <c r="B49" t="inlineStr">
        <is>
          <t>АТ "Укрексімбанк"</t>
        </is>
      </c>
      <c r="C49" t="inlineStr">
        <is>
          <t>Державний</t>
        </is>
      </c>
      <c r="D49" t="inlineStr">
        <is>
          <t>1440</t>
        </is>
      </c>
      <c r="E49" t="inlineStr">
        <is>
          <t>(без привʼязки)</t>
        </is>
      </c>
      <c r="F49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49" t="inlineStr">
        <is>
          <t>А</t>
        </is>
      </c>
      <c r="H49" t="n">
        <v>304000000</v>
      </c>
      <c r="I49" t="n">
        <v>304000000</v>
      </c>
      <c r="J49" t="n">
        <v>0</v>
      </c>
      <c r="K49" t="n">
        <v>299000000</v>
      </c>
      <c r="L49" t="n">
        <v>299000000</v>
      </c>
      <c r="M49" t="n">
        <v>0</v>
      </c>
      <c r="N49" t="n">
        <v>25000000</v>
      </c>
      <c r="O49" t="n">
        <v>25000000</v>
      </c>
      <c r="P49" t="n">
        <v>0</v>
      </c>
    </row>
    <row r="50">
      <c r="A50" t="inlineStr">
        <is>
          <t>2</t>
        </is>
      </c>
      <c r="B50" t="inlineStr">
        <is>
          <t>АТ "Укрексімбанк"</t>
        </is>
      </c>
      <c r="C50" t="inlineStr">
        <is>
          <t>Державний</t>
        </is>
      </c>
      <c r="D50" t="inlineStr">
        <is>
          <t>1440</t>
        </is>
      </c>
      <c r="E50" t="inlineStr">
        <is>
          <t>Обсяг ДС дебит (середні, поділено на кількість банк.днів) (код 1430, 1440)</t>
        </is>
      </c>
      <c r="F50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0" t="inlineStr">
        <is>
          <t>А</t>
        </is>
      </c>
      <c r="H50" t="n">
        <v>304000000</v>
      </c>
      <c r="I50" t="n">
        <v>304000000</v>
      </c>
      <c r="J50" t="n">
        <v>0</v>
      </c>
      <c r="K50" t="n">
        <v>299000000</v>
      </c>
      <c r="L50" t="n">
        <v>299000000</v>
      </c>
      <c r="M50" t="n">
        <v>0</v>
      </c>
      <c r="N50" t="n">
        <v>25000000</v>
      </c>
      <c r="O50" t="n">
        <v>25000000</v>
      </c>
      <c r="P50" t="n">
        <v>0</v>
      </c>
    </row>
    <row r="51">
      <c r="A51" t="inlineStr">
        <is>
          <t>2</t>
        </is>
      </c>
      <c r="B51" t="inlineStr">
        <is>
          <t>АТ "Укрексімбанк"</t>
        </is>
      </c>
      <c r="C51" t="inlineStr">
        <is>
          <t>Державний</t>
        </is>
      </c>
      <c r="D51" t="inlineStr">
        <is>
          <t>1440</t>
        </is>
      </c>
      <c r="E51" t="inlineStr">
        <is>
          <t>Обсяг ДС кредит (середні, поділено на кількість банк.днів) (код 1430, 1440)</t>
        </is>
      </c>
      <c r="F51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1" t="inlineStr">
        <is>
          <t>А</t>
        </is>
      </c>
      <c r="H51" t="n">
        <v>304000000</v>
      </c>
      <c r="I51" t="n">
        <v>304000000</v>
      </c>
      <c r="J51" t="n">
        <v>0</v>
      </c>
      <c r="K51" t="n">
        <v>299000000</v>
      </c>
      <c r="L51" t="n">
        <v>299000000</v>
      </c>
      <c r="M51" t="n">
        <v>0</v>
      </c>
      <c r="N51" t="n">
        <v>25000000</v>
      </c>
      <c r="O51" t="n">
        <v>25000000</v>
      </c>
      <c r="P51" t="n">
        <v>0</v>
      </c>
    </row>
    <row r="52">
      <c r="A52" t="inlineStr">
        <is>
          <t>2</t>
        </is>
      </c>
      <c r="B52" t="inlineStr">
        <is>
          <t>АТ "Укрексімбанк"</t>
        </is>
      </c>
      <c r="C52" t="inlineStr">
        <is>
          <t>Державний</t>
        </is>
      </c>
      <c r="D52" t="inlineStr">
        <is>
          <t>1446</t>
        </is>
      </c>
      <c r="E52" t="inlineStr">
        <is>
          <t>(без привʼязки)</t>
        </is>
      </c>
      <c r="F52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2" t="inlineStr">
        <is>
          <t>А</t>
        </is>
      </c>
      <c r="H52" t="n">
        <v>17.385</v>
      </c>
      <c r="I52" t="n">
        <v>17.385</v>
      </c>
      <c r="J52" t="n">
        <v>0</v>
      </c>
      <c r="K52" t="n">
        <v>13.785</v>
      </c>
      <c r="L52" t="n">
        <v>13.785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</t>
        </is>
      </c>
      <c r="B53" t="inlineStr">
        <is>
          <t>АТ "Укрексімбанк"</t>
        </is>
      </c>
      <c r="C53" t="inlineStr">
        <is>
          <t>Державний</t>
        </is>
      </c>
      <c r="D53" t="inlineStr">
        <is>
          <t>1446</t>
        </is>
      </c>
      <c r="E53" t="inlineStr">
        <is>
          <t>(без привʼязки)</t>
        </is>
      </c>
      <c r="F53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3" t="inlineStr">
        <is>
          <t>П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</t>
        </is>
      </c>
      <c r="B54" t="inlineStr">
        <is>
          <t>АТ "Укрексімбанк"</t>
        </is>
      </c>
      <c r="C54" t="inlineStr">
        <is>
          <t>Державний</t>
        </is>
      </c>
      <c r="D54" t="inlineStr">
        <is>
          <t>1448</t>
        </is>
      </c>
      <c r="E54" t="inlineStr">
        <is>
          <t>(без привʼязки)</t>
        </is>
      </c>
      <c r="F5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4" t="inlineStr">
        <is>
          <t>А</t>
        </is>
      </c>
      <c r="H54" t="n">
        <v>206808.505</v>
      </c>
      <c r="I54" t="n">
        <v>206808.505</v>
      </c>
      <c r="J54" t="n">
        <v>0</v>
      </c>
      <c r="K54" t="n">
        <v>183452.455</v>
      </c>
      <c r="L54" t="n">
        <v>183452.455</v>
      </c>
      <c r="M54" t="n">
        <v>0</v>
      </c>
      <c r="N54" t="n">
        <v>31849.25</v>
      </c>
      <c r="O54" t="n">
        <v>31849.25</v>
      </c>
      <c r="P54" t="n">
        <v>0</v>
      </c>
    </row>
    <row r="55">
      <c r="A55" t="inlineStr">
        <is>
          <t>2</t>
        </is>
      </c>
      <c r="B55" t="inlineStr">
        <is>
          <t>АТ "Укрексімбанк"</t>
        </is>
      </c>
      <c r="C55" t="inlineStr">
        <is>
          <t>Державний</t>
        </is>
      </c>
      <c r="D55" t="inlineStr">
        <is>
          <t>1500</t>
        </is>
      </c>
      <c r="E55" t="inlineStr">
        <is>
          <t>(без привʼязки)</t>
        </is>
      </c>
      <c r="F55" t="inlineStr">
        <is>
          <t>Кореспондентські рахунки, що відкриті в інших банках</t>
        </is>
      </c>
      <c r="G55" t="inlineStr">
        <is>
          <t>А</t>
        </is>
      </c>
      <c r="H55" t="n">
        <v>313638915.98476</v>
      </c>
      <c r="I55" t="n">
        <v>0</v>
      </c>
      <c r="J55" t="n">
        <v>313638915.98476</v>
      </c>
      <c r="K55" t="n">
        <v>326410041.81818</v>
      </c>
      <c r="L55" t="n">
        <v>0</v>
      </c>
      <c r="M55" t="n">
        <v>326410041.81818</v>
      </c>
      <c r="N55" t="n">
        <v>19367439.29295</v>
      </c>
      <c r="O55" t="n">
        <v>0</v>
      </c>
      <c r="P55" t="n">
        <v>19367439.29295</v>
      </c>
    </row>
    <row r="56">
      <c r="A56" t="inlineStr">
        <is>
          <t>2</t>
        </is>
      </c>
      <c r="B56" t="inlineStr">
        <is>
          <t>АТ "Укрексімбанк"</t>
        </is>
      </c>
      <c r="C56" t="inlineStr">
        <is>
          <t>Державний</t>
        </is>
      </c>
      <c r="D56" t="inlineStr">
        <is>
          <t>1500</t>
        </is>
      </c>
      <c r="E56" t="inlineStr">
        <is>
          <t>(без привʼязки)</t>
        </is>
      </c>
      <c r="F56" t="inlineStr">
        <is>
          <t>Кореспондентські рахунки, що відкриті в інших банках</t>
        </is>
      </c>
      <c r="G56" t="inlineStr">
        <is>
          <t>П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</t>
        </is>
      </c>
      <c r="B57" t="inlineStr">
        <is>
          <t>АТ "Укрексімбанк"</t>
        </is>
      </c>
      <c r="C57" t="inlineStr">
        <is>
          <t>Державний</t>
        </is>
      </c>
      <c r="D57" t="inlineStr">
        <is>
          <t>1508</t>
        </is>
      </c>
      <c r="E57" t="inlineStr">
        <is>
          <t>(без привʼязки)</t>
        </is>
      </c>
      <c r="F57" t="inlineStr">
        <is>
          <t>Нараховані доходи за коштами на вимогу в інших банках</t>
        </is>
      </c>
      <c r="G57" t="inlineStr">
        <is>
          <t>А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</t>
        </is>
      </c>
      <c r="B58" t="inlineStr">
        <is>
          <t>АТ "Укрексімбанк"</t>
        </is>
      </c>
      <c r="C58" t="inlineStr">
        <is>
          <t>Державний</t>
        </is>
      </c>
      <c r="D58" t="inlineStr">
        <is>
          <t>1509</t>
        </is>
      </c>
      <c r="E58" t="inlineStr">
        <is>
          <t>(без привʼязки)</t>
        </is>
      </c>
      <c r="F58" t="inlineStr">
        <is>
          <t>Резерв за коштами на вимогу в інших банках</t>
        </is>
      </c>
      <c r="G58" t="inlineStr">
        <is>
          <t>П</t>
        </is>
      </c>
      <c r="H58" t="n">
        <v>9061.193289999999</v>
      </c>
      <c r="I58" t="n">
        <v>0</v>
      </c>
      <c r="J58" t="n">
        <v>9061.193289999999</v>
      </c>
      <c r="K58" t="n">
        <v>1399.00826</v>
      </c>
      <c r="L58" t="n">
        <v>0</v>
      </c>
      <c r="M58" t="n">
        <v>1399.00826</v>
      </c>
      <c r="N58" t="n">
        <v>-48755.22465</v>
      </c>
      <c r="O58" t="n">
        <v>0</v>
      </c>
      <c r="P58" t="n">
        <v>-48755.22465</v>
      </c>
    </row>
    <row r="59">
      <c r="A59" t="inlineStr">
        <is>
          <t>2</t>
        </is>
      </c>
      <c r="B59" t="inlineStr">
        <is>
          <t>АТ "Укрексімбанк"</t>
        </is>
      </c>
      <c r="C59" t="inlineStr">
        <is>
          <t>Державний</t>
        </is>
      </c>
      <c r="D59" t="inlineStr">
        <is>
          <t>1510</t>
        </is>
      </c>
      <c r="E59" t="inlineStr">
        <is>
          <t>(без привʼязки)</t>
        </is>
      </c>
      <c r="F59" t="inlineStr">
        <is>
          <t>Депозити овернайт, що розміщені в інших банках, які обліковуються за амортизованою собівартістю</t>
        </is>
      </c>
      <c r="G59" t="inlineStr">
        <is>
          <t>А</t>
        </is>
      </c>
      <c r="H59" t="n">
        <v>74603213.59999999</v>
      </c>
      <c r="I59" t="n">
        <v>0</v>
      </c>
      <c r="J59" t="n">
        <v>74603213.59999999</v>
      </c>
      <c r="K59" t="n">
        <v>72046728.06999999</v>
      </c>
      <c r="L59" t="n">
        <v>0</v>
      </c>
      <c r="M59" t="n">
        <v>72046728.06999999</v>
      </c>
      <c r="N59" t="n">
        <v>4142955.31</v>
      </c>
      <c r="O59" t="n">
        <v>0</v>
      </c>
      <c r="P59" t="n">
        <v>4142955.31</v>
      </c>
    </row>
    <row r="60">
      <c r="A60" t="inlineStr">
        <is>
          <t>2</t>
        </is>
      </c>
      <c r="B60" t="inlineStr">
        <is>
          <t>АТ "Укрексімбанк"</t>
        </is>
      </c>
      <c r="C60" t="inlineStr">
        <is>
          <t>Державний</t>
        </is>
      </c>
      <c r="D60" t="inlineStr">
        <is>
          <t>1513</t>
        </is>
      </c>
      <c r="E60" t="inlineStr">
        <is>
          <t>(без привʼязки)</t>
        </is>
      </c>
      <c r="F60" t="inlineStr">
        <is>
          <t>Строкові вклади (депозити), що розміщені в інших банках, які обліковуються за амортизованою собівартістю</t>
        </is>
      </c>
      <c r="G60" t="inlineStr">
        <is>
          <t>А</t>
        </is>
      </c>
      <c r="H60" t="n">
        <v>86228494.7</v>
      </c>
      <c r="I60" t="n">
        <v>0</v>
      </c>
      <c r="J60" t="n">
        <v>86228494.7</v>
      </c>
      <c r="K60" t="n">
        <v>91098119.95</v>
      </c>
      <c r="L60" t="n">
        <v>0</v>
      </c>
      <c r="M60" t="n">
        <v>91098119.95</v>
      </c>
      <c r="N60" t="n">
        <v>17639997.65</v>
      </c>
      <c r="O60" t="n">
        <v>0</v>
      </c>
      <c r="P60" t="n">
        <v>17639997.65</v>
      </c>
    </row>
    <row r="61">
      <c r="A61" t="inlineStr">
        <is>
          <t>2</t>
        </is>
      </c>
      <c r="B61" t="inlineStr">
        <is>
          <t>АТ "Укрексімбанк"</t>
        </is>
      </c>
      <c r="C61" t="inlineStr">
        <is>
          <t>Державний</t>
        </is>
      </c>
      <c r="D61" t="inlineStr">
        <is>
          <t>1516</t>
        </is>
      </c>
      <c r="E61" t="inlineStr">
        <is>
          <t>(без привʼязки)</t>
        </is>
      </c>
      <c r="F61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61" t="inlineStr">
        <is>
          <t>А</t>
        </is>
      </c>
      <c r="H61" t="n">
        <v>4.0487</v>
      </c>
      <c r="I61" t="n">
        <v>0</v>
      </c>
      <c r="J61" t="n">
        <v>4.0487</v>
      </c>
      <c r="K61" t="n">
        <v>3.80429</v>
      </c>
      <c r="L61" t="n">
        <v>0</v>
      </c>
      <c r="M61" t="n">
        <v>3.80429</v>
      </c>
      <c r="N61" t="n">
        <v>0</v>
      </c>
      <c r="O61" t="n">
        <v>0</v>
      </c>
      <c r="P61" t="n">
        <v>0</v>
      </c>
    </row>
    <row r="62">
      <c r="A62" t="inlineStr">
        <is>
          <t>2</t>
        </is>
      </c>
      <c r="B62" t="inlineStr">
        <is>
          <t>АТ "Укрексімбанк"</t>
        </is>
      </c>
      <c r="C62" t="inlineStr">
        <is>
          <t>Державний</t>
        </is>
      </c>
      <c r="D62" t="inlineStr">
        <is>
          <t>1516</t>
        </is>
      </c>
      <c r="E62" t="inlineStr">
        <is>
          <t>(без привʼязки)</t>
        </is>
      </c>
      <c r="F62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62" t="inlineStr">
        <is>
          <t>П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-0.41685</v>
      </c>
      <c r="O62" t="n">
        <v>0</v>
      </c>
      <c r="P62" t="n">
        <v>-0.41685</v>
      </c>
    </row>
    <row r="63">
      <c r="A63" t="inlineStr">
        <is>
          <t>2</t>
        </is>
      </c>
      <c r="B63" t="inlineStr">
        <is>
          <t>АТ "Укрексімбанк"</t>
        </is>
      </c>
      <c r="C63" t="inlineStr">
        <is>
          <t>Державний</t>
        </is>
      </c>
      <c r="D63" t="inlineStr">
        <is>
          <t>1518</t>
        </is>
      </c>
      <c r="E63" t="inlineStr">
        <is>
          <t>(без привʼязки)</t>
        </is>
      </c>
      <c r="F63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G63" t="inlineStr">
        <is>
          <t>А</t>
        </is>
      </c>
      <c r="H63" t="n">
        <v>52849.53082</v>
      </c>
      <c r="I63" t="n">
        <v>0</v>
      </c>
      <c r="J63" t="n">
        <v>52849.53082</v>
      </c>
      <c r="K63" t="n">
        <v>49276.99686</v>
      </c>
      <c r="L63" t="n">
        <v>0</v>
      </c>
      <c r="M63" t="n">
        <v>49276.99686</v>
      </c>
      <c r="N63" t="n">
        <v>8688.044190000001</v>
      </c>
      <c r="O63" t="n">
        <v>0</v>
      </c>
      <c r="P63" t="n">
        <v>8688.044190000001</v>
      </c>
    </row>
    <row r="64">
      <c r="A64" t="inlineStr">
        <is>
          <t>2</t>
        </is>
      </c>
      <c r="B64" t="inlineStr">
        <is>
          <t>АТ "Укрексімбанк"</t>
        </is>
      </c>
      <c r="C64" t="inlineStr">
        <is>
          <t>Державний</t>
        </is>
      </c>
      <c r="D64" t="inlineStr">
        <is>
          <t>1519</t>
        </is>
      </c>
      <c r="E64" t="inlineStr">
        <is>
          <t>(без привʼязки)</t>
        </is>
      </c>
      <c r="F6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G64" t="inlineStr">
        <is>
          <t>П</t>
        </is>
      </c>
      <c r="H64" t="n">
        <v>17599.60048</v>
      </c>
      <c r="I64" t="n">
        <v>0</v>
      </c>
      <c r="J64" t="n">
        <v>17599.60048</v>
      </c>
      <c r="K64" t="n">
        <v>15879.43852</v>
      </c>
      <c r="L64" t="n">
        <v>0</v>
      </c>
      <c r="M64" t="n">
        <v>15879.43852</v>
      </c>
      <c r="N64" t="n">
        <v>-15515.7918</v>
      </c>
      <c r="O64" t="n">
        <v>0</v>
      </c>
      <c r="P64" t="n">
        <v>-15515.7918</v>
      </c>
    </row>
    <row r="65">
      <c r="A65" t="inlineStr">
        <is>
          <t>2</t>
        </is>
      </c>
      <c r="B65" t="inlineStr">
        <is>
          <t>АТ "Укрексімбанк"</t>
        </is>
      </c>
      <c r="C65" t="inlineStr">
        <is>
          <t>Державний</t>
        </is>
      </c>
      <c r="D65" t="inlineStr">
        <is>
          <t>1521</t>
        </is>
      </c>
      <c r="E65" t="inlineStr">
        <is>
          <t>(без привʼязки)</t>
        </is>
      </c>
      <c r="F65" t="inlineStr">
        <is>
          <t>Кредити овернайт, що надані іншим банкам,які обліковуються за амортизованою собівартістю</t>
        </is>
      </c>
      <c r="G65" t="inlineStr">
        <is>
          <t>А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</t>
        </is>
      </c>
      <c r="B66" t="inlineStr">
        <is>
          <t>АТ "Укрексімбанк"</t>
        </is>
      </c>
      <c r="C66" t="inlineStr">
        <is>
          <t>Державний</t>
        </is>
      </c>
      <c r="D66" t="inlineStr">
        <is>
          <t>1522</t>
        </is>
      </c>
      <c r="E66" t="inlineStr">
        <is>
          <t>(без привʼязки)</t>
        </is>
      </c>
      <c r="F66" t="inlineStr">
        <is>
          <t>Кредити, що надані іншим банкам за операціями репо, які обліковуються за амортизованою собівартістю</t>
        </is>
      </c>
      <c r="G66" t="inlineStr">
        <is>
          <t>А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</t>
        </is>
      </c>
      <c r="B67" t="inlineStr">
        <is>
          <t>АТ "Укрексімбанк"</t>
        </is>
      </c>
      <c r="C67" t="inlineStr">
        <is>
          <t>Державний</t>
        </is>
      </c>
      <c r="D67" t="inlineStr">
        <is>
          <t>1524</t>
        </is>
      </c>
      <c r="E67" t="inlineStr">
        <is>
          <t>(без привʼязки)</t>
        </is>
      </c>
      <c r="F67" t="inlineStr">
        <is>
          <t>Інші кредити, що надані іншим банкам, які обліковуються за амортизованою собівартістю</t>
        </is>
      </c>
      <c r="G67" t="inlineStr">
        <is>
          <t>А</t>
        </is>
      </c>
      <c r="H67" t="n">
        <v>2.02856</v>
      </c>
      <c r="I67" t="n">
        <v>0</v>
      </c>
      <c r="J67" t="n">
        <v>2.02856</v>
      </c>
      <c r="K67" t="n">
        <v>1.34819</v>
      </c>
      <c r="L67" t="n">
        <v>0</v>
      </c>
      <c r="M67" t="n">
        <v>1.34819</v>
      </c>
      <c r="N67" t="n">
        <v>128.90196</v>
      </c>
      <c r="O67" t="n">
        <v>0</v>
      </c>
      <c r="P67" t="n">
        <v>128.90196</v>
      </c>
    </row>
    <row r="68">
      <c r="A68" t="inlineStr">
        <is>
          <t>2</t>
        </is>
      </c>
      <c r="B68" t="inlineStr">
        <is>
          <t>АТ "Укрексімбанк"</t>
        </is>
      </c>
      <c r="C68" t="inlineStr">
        <is>
          <t>Державний</t>
        </is>
      </c>
      <c r="D68" t="inlineStr">
        <is>
          <t>1526</t>
        </is>
      </c>
      <c r="E68" t="inlineStr">
        <is>
          <t>(без привʼязки)</t>
        </is>
      </c>
      <c r="F68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68" t="inlineStr">
        <is>
          <t>А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</t>
        </is>
      </c>
      <c r="B69" t="inlineStr">
        <is>
          <t>АТ "Укрексімбанк"</t>
        </is>
      </c>
      <c r="C69" t="inlineStr">
        <is>
          <t>Державний</t>
        </is>
      </c>
      <c r="D69" t="inlineStr">
        <is>
          <t>1526</t>
        </is>
      </c>
      <c r="E69" t="inlineStr">
        <is>
          <t>(без привʼязки)</t>
        </is>
      </c>
      <c r="F69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69" t="inlineStr">
        <is>
          <t>П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</t>
        </is>
      </c>
      <c r="B70" t="inlineStr">
        <is>
          <t>АТ "Укрексімбанк"</t>
        </is>
      </c>
      <c r="C70" t="inlineStr">
        <is>
          <t>Державний</t>
        </is>
      </c>
      <c r="D70" t="inlineStr">
        <is>
          <t>1528</t>
        </is>
      </c>
      <c r="E70" t="inlineStr">
        <is>
          <t>(без привʼязки)</t>
        </is>
      </c>
      <c r="F70" t="inlineStr">
        <is>
          <t>Нараховані доходи за кредитами, що надані іншим банкам, які обліковуються за амортизованою собівартістю</t>
        </is>
      </c>
      <c r="G70" t="inlineStr">
        <is>
          <t>А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</t>
        </is>
      </c>
      <c r="B71" t="inlineStr">
        <is>
          <t>АТ "Укрексімбанк"</t>
        </is>
      </c>
      <c r="C71" t="inlineStr">
        <is>
          <t>Державний</t>
        </is>
      </c>
      <c r="D71" t="inlineStr">
        <is>
          <t>1529</t>
        </is>
      </c>
      <c r="E71" t="inlineStr">
        <is>
          <t>(без привʼязки)</t>
        </is>
      </c>
      <c r="F71" t="inlineStr">
        <is>
          <t>Резерв за кредитами, що надані іншим банкам, які обліковуються за амортизованою собівартістю</t>
        </is>
      </c>
      <c r="G71" t="inlineStr">
        <is>
          <t>П</t>
        </is>
      </c>
      <c r="H71" t="n">
        <v>1.34819</v>
      </c>
      <c r="I71" t="n">
        <v>0</v>
      </c>
      <c r="J71" t="n">
        <v>1.34819</v>
      </c>
      <c r="K71" t="n">
        <v>2.02856</v>
      </c>
      <c r="L71" t="n">
        <v>0</v>
      </c>
      <c r="M71" t="n">
        <v>2.02856</v>
      </c>
      <c r="N71" t="n">
        <v>-128.90196</v>
      </c>
      <c r="O71" t="n">
        <v>0</v>
      </c>
      <c r="P71" t="n">
        <v>-128.90196</v>
      </c>
    </row>
    <row r="72">
      <c r="A72" t="inlineStr">
        <is>
          <t>2</t>
        </is>
      </c>
      <c r="B72" t="inlineStr">
        <is>
          <t>АТ "Укрексімбанк"</t>
        </is>
      </c>
      <c r="C72" t="inlineStr">
        <is>
          <t>Державний</t>
        </is>
      </c>
      <c r="D72" t="inlineStr">
        <is>
          <t>1600</t>
        </is>
      </c>
      <c r="E72" t="inlineStr">
        <is>
          <t>(без привʼязки)</t>
        </is>
      </c>
      <c r="F72" t="inlineStr">
        <is>
          <t>Кореспондентські рахунки інших банків</t>
        </is>
      </c>
      <c r="G72" t="inlineStr">
        <is>
          <t>А</t>
        </is>
      </c>
      <c r="H72" t="n">
        <v>177445135.90137</v>
      </c>
      <c r="I72" t="n">
        <v>116792582.75365</v>
      </c>
      <c r="J72" t="n">
        <v>60652553.14772</v>
      </c>
      <c r="K72" t="n">
        <v>179279669.15806</v>
      </c>
      <c r="L72" t="n">
        <v>118717152.32294</v>
      </c>
      <c r="M72" t="n">
        <v>60562516.83512</v>
      </c>
      <c r="N72" t="n">
        <v>0</v>
      </c>
      <c r="O72" t="n">
        <v>0</v>
      </c>
      <c r="P72" t="n">
        <v>0</v>
      </c>
    </row>
    <row r="73">
      <c r="A73" t="inlineStr">
        <is>
          <t>2</t>
        </is>
      </c>
      <c r="B73" t="inlineStr">
        <is>
          <t>АТ "Укрексімбанк"</t>
        </is>
      </c>
      <c r="C73" t="inlineStr">
        <is>
          <t>Державний</t>
        </is>
      </c>
      <c r="D73" t="inlineStr">
        <is>
          <t>1600</t>
        </is>
      </c>
      <c r="E73" t="inlineStr">
        <is>
          <t>(без привʼязки)</t>
        </is>
      </c>
      <c r="F73" t="inlineStr">
        <is>
          <t>Кореспондентські рахунки інших банків</t>
        </is>
      </c>
      <c r="G73" t="inlineStr">
        <is>
          <t>П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5732488.38539</v>
      </c>
      <c r="O73" t="n">
        <v>4509134.76147</v>
      </c>
      <c r="P73" t="n">
        <v>1223353.62392</v>
      </c>
    </row>
    <row r="74">
      <c r="A74" t="inlineStr">
        <is>
          <t>2</t>
        </is>
      </c>
      <c r="B74" t="inlineStr">
        <is>
          <t>АТ "Укрексімбанк"</t>
        </is>
      </c>
      <c r="C74" t="inlineStr">
        <is>
          <t>Державний</t>
        </is>
      </c>
      <c r="D74" t="inlineStr">
        <is>
          <t>1811</t>
        </is>
      </c>
      <c r="E74" t="inlineStr">
        <is>
          <t>(без привʼязки)</t>
        </is>
      </c>
      <c r="F74" t="inlineStr">
        <is>
          <t>Дебіторська заборгованість за операціями з готівкою</t>
        </is>
      </c>
      <c r="G74" t="inlineStr">
        <is>
          <t>А</t>
        </is>
      </c>
      <c r="H74" t="n">
        <v>2967453.33068</v>
      </c>
      <c r="I74" t="n">
        <v>1944259.039</v>
      </c>
      <c r="J74" t="n">
        <v>1023194.29168</v>
      </c>
      <c r="K74" t="n">
        <v>2967553.33068</v>
      </c>
      <c r="L74" t="n">
        <v>1944359.039</v>
      </c>
      <c r="M74" t="n">
        <v>1023194.29168</v>
      </c>
      <c r="N74" t="n">
        <v>4200</v>
      </c>
      <c r="O74" t="n">
        <v>4200</v>
      </c>
      <c r="P74" t="n">
        <v>0</v>
      </c>
    </row>
    <row r="75">
      <c r="A75" t="inlineStr">
        <is>
          <t>2</t>
        </is>
      </c>
      <c r="B75" t="inlineStr">
        <is>
          <t>АТ "Укрексімбанк"</t>
        </is>
      </c>
      <c r="C75" t="inlineStr">
        <is>
          <t>Державний</t>
        </is>
      </c>
      <c r="D75" t="inlineStr">
        <is>
          <t>1819</t>
        </is>
      </c>
      <c r="E75" t="inlineStr">
        <is>
          <t>(без привʼязки)</t>
        </is>
      </c>
      <c r="F75" t="inlineStr">
        <is>
          <t>Інша дебіторська заборгованість за операціями з банками</t>
        </is>
      </c>
      <c r="G75" t="inlineStr">
        <is>
          <t>А</t>
        </is>
      </c>
      <c r="H75" t="n">
        <v>34369.64378</v>
      </c>
      <c r="I75" t="n">
        <v>2968.95121</v>
      </c>
      <c r="J75" t="n">
        <v>31400.69257</v>
      </c>
      <c r="K75" t="n">
        <v>14188.13542</v>
      </c>
      <c r="L75" t="n">
        <v>2375.05292</v>
      </c>
      <c r="M75" t="n">
        <v>11813.0825</v>
      </c>
      <c r="N75" t="n">
        <v>20181.50836</v>
      </c>
      <c r="O75" t="n">
        <v>593.89829</v>
      </c>
      <c r="P75" t="n">
        <v>19587.61007</v>
      </c>
    </row>
    <row r="76">
      <c r="A76" t="inlineStr">
        <is>
          <t>2</t>
        </is>
      </c>
      <c r="B76" t="inlineStr">
        <is>
          <t>АТ "Укрексімбанк"</t>
        </is>
      </c>
      <c r="C76" t="inlineStr">
        <is>
          <t>Державний</t>
        </is>
      </c>
      <c r="D76" t="inlineStr">
        <is>
          <t>1832</t>
        </is>
      </c>
      <c r="E76" t="inlineStr">
        <is>
          <t>(без привʼязки)</t>
        </is>
      </c>
      <c r="F76" t="inlineStr">
        <is>
          <t>Кошти банків у розрахунках</t>
        </is>
      </c>
      <c r="G76" t="inlineStr">
        <is>
          <t>А</t>
        </is>
      </c>
      <c r="H76" t="n">
        <v>18562.83814</v>
      </c>
      <c r="I76" t="n">
        <v>0</v>
      </c>
      <c r="J76" t="n">
        <v>18562.83814</v>
      </c>
      <c r="K76" t="n">
        <v>20387.92957</v>
      </c>
      <c r="L76" t="n">
        <v>0</v>
      </c>
      <c r="M76" t="n">
        <v>20387.92957</v>
      </c>
      <c r="N76" t="n">
        <v>954406.2056099999</v>
      </c>
      <c r="O76" t="n">
        <v>20</v>
      </c>
      <c r="P76" t="n">
        <v>954386.2056099999</v>
      </c>
    </row>
    <row r="77">
      <c r="A77" t="inlineStr">
        <is>
          <t>2</t>
        </is>
      </c>
      <c r="B77" t="inlineStr">
        <is>
          <t>АТ "Укрексімбанк"</t>
        </is>
      </c>
      <c r="C77" t="inlineStr">
        <is>
          <t>Державний</t>
        </is>
      </c>
      <c r="D77" t="inlineStr">
        <is>
          <t>1839</t>
        </is>
      </c>
      <c r="E77" t="inlineStr">
        <is>
          <t>(без привʼязки)</t>
        </is>
      </c>
      <c r="F77" t="inlineStr">
        <is>
          <t>Резерви за коштами банків у розрахунках</t>
        </is>
      </c>
      <c r="G77" t="inlineStr">
        <is>
          <t>П</t>
        </is>
      </c>
      <c r="H77" t="n">
        <v>17.24608</v>
      </c>
      <c r="I77" t="n">
        <v>0</v>
      </c>
      <c r="J77" t="n">
        <v>17.24608</v>
      </c>
      <c r="K77" t="n">
        <v>18.66862</v>
      </c>
      <c r="L77" t="n">
        <v>0</v>
      </c>
      <c r="M77" t="n">
        <v>18.66862</v>
      </c>
      <c r="N77" t="n">
        <v>-1049.66831</v>
      </c>
      <c r="O77" t="n">
        <v>0</v>
      </c>
      <c r="P77" t="n">
        <v>-1049.66831</v>
      </c>
    </row>
    <row r="78">
      <c r="A78" t="inlineStr">
        <is>
          <t>2</t>
        </is>
      </c>
      <c r="B78" t="inlineStr">
        <is>
          <t>АТ "Укрексімбанк"</t>
        </is>
      </c>
      <c r="C78" t="inlineStr">
        <is>
          <t>Державний</t>
        </is>
      </c>
      <c r="D78" t="inlineStr">
        <is>
          <t>1890</t>
        </is>
      </c>
      <c r="E78" t="inlineStr">
        <is>
          <t>(без привʼязки)</t>
        </is>
      </c>
      <c r="F78" t="inlineStr">
        <is>
          <t>Резерви під дебіторську заборгованість за операціями з банками</t>
        </is>
      </c>
      <c r="G78" t="inlineStr">
        <is>
          <t>П</t>
        </is>
      </c>
      <c r="H78" t="n">
        <v>262.3</v>
      </c>
      <c r="I78" t="n">
        <v>262.3</v>
      </c>
      <c r="J78" t="n">
        <v>0</v>
      </c>
      <c r="K78" t="n">
        <v>1487.27205</v>
      </c>
      <c r="L78" t="n">
        <v>292.4278</v>
      </c>
      <c r="M78" t="n">
        <v>1194.84425</v>
      </c>
      <c r="N78" t="n">
        <v>-1487.27205</v>
      </c>
      <c r="O78" t="n">
        <v>-292.4278</v>
      </c>
      <c r="P78" t="n">
        <v>-1194.84425</v>
      </c>
    </row>
    <row r="79">
      <c r="A79" t="inlineStr">
        <is>
          <t>2</t>
        </is>
      </c>
      <c r="B79" t="inlineStr">
        <is>
          <t>АТ "Укрексімбанк"</t>
        </is>
      </c>
      <c r="C79" t="inlineStr">
        <is>
          <t>Державний</t>
        </is>
      </c>
      <c r="D79" t="inlineStr">
        <is>
          <t>2010</t>
        </is>
      </c>
      <c r="E79" t="inlineStr">
        <is>
          <t>(без привʼязки)</t>
        </is>
      </c>
      <c r="F79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79" t="inlineStr">
        <is>
          <t>А</t>
        </is>
      </c>
      <c r="H79" t="n">
        <v>94578.82000000001</v>
      </c>
      <c r="I79" t="n">
        <v>94578.82000000001</v>
      </c>
      <c r="J79" t="n">
        <v>0</v>
      </c>
      <c r="K79" t="n">
        <v>94578.82000000001</v>
      </c>
      <c r="L79" t="n">
        <v>94578.82000000001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</t>
        </is>
      </c>
      <c r="B80" t="inlineStr">
        <is>
          <t>АТ "Укрексімбанк"</t>
        </is>
      </c>
      <c r="C80" t="inlineStr">
        <is>
          <t>Державний</t>
        </is>
      </c>
      <c r="D80" t="inlineStr">
        <is>
          <t>2010</t>
        </is>
      </c>
      <c r="E80" t="inlineStr">
        <is>
          <t>Кредити субʼєктам господарювання (р.20, р.23, 260)</t>
        </is>
      </c>
      <c r="F80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80" t="inlineStr">
        <is>
          <t>А</t>
        </is>
      </c>
      <c r="H80" t="n">
        <v>94578.82000000001</v>
      </c>
      <c r="I80" t="n">
        <v>94578.82000000001</v>
      </c>
      <c r="J80" t="n">
        <v>0</v>
      </c>
      <c r="K80" t="n">
        <v>94578.82000000001</v>
      </c>
      <c r="L80" t="n">
        <v>94578.82000000001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2</t>
        </is>
      </c>
      <c r="B81" t="inlineStr">
        <is>
          <t>АТ "Укрексімбанк"</t>
        </is>
      </c>
      <c r="C81" t="inlineStr">
        <is>
          <t>Державний</t>
        </is>
      </c>
      <c r="D81" t="inlineStr">
        <is>
          <t>2016</t>
        </is>
      </c>
      <c r="E81" t="inlineStr">
        <is>
          <t>(без привʼязки)</t>
        </is>
      </c>
      <c r="F81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1" t="inlineStr">
        <is>
          <t>А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2</t>
        </is>
      </c>
      <c r="B82" t="inlineStr">
        <is>
          <t>АТ "Укрексімбанк"</t>
        </is>
      </c>
      <c r="C82" t="inlineStr">
        <is>
          <t>Державний</t>
        </is>
      </c>
      <c r="D82" t="inlineStr">
        <is>
          <t>2016</t>
        </is>
      </c>
      <c r="E82" t="inlineStr">
        <is>
          <t>Кредити субʼєктам господарювання (р.20, р.23, 260)</t>
        </is>
      </c>
      <c r="F82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2" t="inlineStr">
        <is>
          <t>А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2</t>
        </is>
      </c>
      <c r="B83" t="inlineStr">
        <is>
          <t>АТ "Укрексімбанк"</t>
        </is>
      </c>
      <c r="C83" t="inlineStr">
        <is>
          <t>Державний</t>
        </is>
      </c>
      <c r="D83" t="inlineStr">
        <is>
          <t>2016</t>
        </is>
      </c>
      <c r="E83" t="inlineStr">
        <is>
          <t>(без привʼязки)</t>
        </is>
      </c>
      <c r="F83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3" t="inlineStr">
        <is>
          <t>П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2</t>
        </is>
      </c>
      <c r="B84" t="inlineStr">
        <is>
          <t>АТ "Укрексімбанк"</t>
        </is>
      </c>
      <c r="C84" t="inlineStr">
        <is>
          <t>Державний</t>
        </is>
      </c>
      <c r="D84" t="inlineStr">
        <is>
          <t>2016</t>
        </is>
      </c>
      <c r="E84" t="inlineStr">
        <is>
          <t>Кредити субʼєктам господарювання (р.20, р.23, 260)</t>
        </is>
      </c>
      <c r="F8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4" t="inlineStr">
        <is>
          <t>П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2</t>
        </is>
      </c>
      <c r="B85" t="inlineStr">
        <is>
          <t>АТ "Укрексімбанк"</t>
        </is>
      </c>
      <c r="C85" t="inlineStr">
        <is>
          <t>Державний</t>
        </is>
      </c>
      <c r="D85" t="inlineStr">
        <is>
          <t>2018</t>
        </is>
      </c>
      <c r="E85" t="inlineStr">
        <is>
          <t>(без привʼязки)</t>
        </is>
      </c>
      <c r="F85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85" t="inlineStr">
        <is>
          <t>А</t>
        </is>
      </c>
      <c r="H85" t="n">
        <v>42.7567</v>
      </c>
      <c r="I85" t="n">
        <v>42.7567</v>
      </c>
      <c r="J85" t="n">
        <v>0</v>
      </c>
      <c r="K85" t="n">
        <v>42.7567</v>
      </c>
      <c r="L85" t="n">
        <v>42.7567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2</t>
        </is>
      </c>
      <c r="B86" t="inlineStr">
        <is>
          <t>АТ "Укрексімбанк"</t>
        </is>
      </c>
      <c r="C86" t="inlineStr">
        <is>
          <t>Державний</t>
        </is>
      </c>
      <c r="D86" t="inlineStr">
        <is>
          <t>2018</t>
        </is>
      </c>
      <c r="E86" t="inlineStr">
        <is>
          <t>Кредити субʼєктам господарювання (р.20, р.23, 260)</t>
        </is>
      </c>
      <c r="F86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86" t="inlineStr">
        <is>
          <t>А</t>
        </is>
      </c>
      <c r="H86" t="n">
        <v>42.7567</v>
      </c>
      <c r="I86" t="n">
        <v>42.7567</v>
      </c>
      <c r="J86" t="n">
        <v>0</v>
      </c>
      <c r="K86" t="n">
        <v>42.7567</v>
      </c>
      <c r="L86" t="n">
        <v>42.7567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2</t>
        </is>
      </c>
      <c r="B87" t="inlineStr">
        <is>
          <t>АТ "Укрексімбанк"</t>
        </is>
      </c>
      <c r="C87" t="inlineStr">
        <is>
          <t>Державний</t>
        </is>
      </c>
      <c r="D87" t="inlineStr">
        <is>
          <t>2019</t>
        </is>
      </c>
      <c r="E87" t="inlineStr">
        <is>
          <t>(без привʼязки)</t>
        </is>
      </c>
      <c r="F87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87" t="inlineStr">
        <is>
          <t>П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2</t>
        </is>
      </c>
      <c r="B88" t="inlineStr">
        <is>
          <t>АТ "Укрексімбанк"</t>
        </is>
      </c>
      <c r="C88" t="inlineStr">
        <is>
          <t>Державний</t>
        </is>
      </c>
      <c r="D88" t="inlineStr">
        <is>
          <t>2019</t>
        </is>
      </c>
      <c r="E88" t="inlineStr">
        <is>
          <t>Кредити субʼєктам господарювання (р.20, р.23, 260)</t>
        </is>
      </c>
      <c r="F88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88" t="inlineStr">
        <is>
          <t>П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2</t>
        </is>
      </c>
      <c r="B89" t="inlineStr">
        <is>
          <t>АТ "Укрексімбанк"</t>
        </is>
      </c>
      <c r="C89" t="inlineStr">
        <is>
          <t>Державний</t>
        </is>
      </c>
      <c r="D89" t="inlineStr">
        <is>
          <t>2020</t>
        </is>
      </c>
      <c r="E89" t="inlineStr">
        <is>
          <t>(без привʼязки)</t>
        </is>
      </c>
      <c r="F8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89" t="inlineStr">
        <is>
          <t>А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68711.72744</v>
      </c>
      <c r="O89" t="n">
        <v>68711.72744</v>
      </c>
      <c r="P89" t="n">
        <v>0</v>
      </c>
    </row>
    <row r="90">
      <c r="A90" t="inlineStr">
        <is>
          <t>2</t>
        </is>
      </c>
      <c r="B90" t="inlineStr">
        <is>
          <t>АТ "Укрексімбанк"</t>
        </is>
      </c>
      <c r="C90" t="inlineStr">
        <is>
          <t>Державний</t>
        </is>
      </c>
      <c r="D90" t="inlineStr">
        <is>
          <t>2020</t>
        </is>
      </c>
      <c r="E90" t="inlineStr">
        <is>
          <t>Кредити субʼєктам господарювання (р.20, р.23, 260)</t>
        </is>
      </c>
      <c r="F90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90" t="inlineStr">
        <is>
          <t>А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68711.72744</v>
      </c>
      <c r="O90" t="n">
        <v>68711.72744</v>
      </c>
      <c r="P90" t="n">
        <v>0</v>
      </c>
    </row>
    <row r="91">
      <c r="A91" t="inlineStr">
        <is>
          <t>2</t>
        </is>
      </c>
      <c r="B91" t="inlineStr">
        <is>
          <t>АТ "Укрексімбанк"</t>
        </is>
      </c>
      <c r="C91" t="inlineStr">
        <is>
          <t>Державний</t>
        </is>
      </c>
      <c r="D91" t="inlineStr">
        <is>
          <t>2026</t>
        </is>
      </c>
      <c r="E91" t="inlineStr">
        <is>
          <t>(без привʼязки)</t>
        </is>
      </c>
      <c r="F91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1" t="inlineStr">
        <is>
          <t>А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2</t>
        </is>
      </c>
      <c r="B92" t="inlineStr">
        <is>
          <t>АТ "Укрексімбанк"</t>
        </is>
      </c>
      <c r="C92" t="inlineStr">
        <is>
          <t>Державний</t>
        </is>
      </c>
      <c r="D92" t="inlineStr">
        <is>
          <t>2026</t>
        </is>
      </c>
      <c r="E92" t="inlineStr">
        <is>
          <t>Кредити субʼєктам господарювання (р.20, р.23, 260)</t>
        </is>
      </c>
      <c r="F92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2" t="inlineStr">
        <is>
          <t>А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2</t>
        </is>
      </c>
      <c r="B93" t="inlineStr">
        <is>
          <t>АТ "Укрексімбанк"</t>
        </is>
      </c>
      <c r="C93" t="inlineStr">
        <is>
          <t>Державний</t>
        </is>
      </c>
      <c r="D93" t="inlineStr">
        <is>
          <t>2026</t>
        </is>
      </c>
      <c r="E93" t="inlineStr">
        <is>
          <t>(без привʼязки)</t>
        </is>
      </c>
      <c r="F93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3" t="inlineStr">
        <is>
          <t>П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2</t>
        </is>
      </c>
      <c r="B94" t="inlineStr">
        <is>
          <t>АТ "Укрексімбанк"</t>
        </is>
      </c>
      <c r="C94" t="inlineStr">
        <is>
          <t>Державний</t>
        </is>
      </c>
      <c r="D94" t="inlineStr">
        <is>
          <t>2026</t>
        </is>
      </c>
      <c r="E94" t="inlineStr">
        <is>
          <t>Кредити субʼєктам господарювання (р.20, р.23, 260)</t>
        </is>
      </c>
      <c r="F9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4" t="inlineStr">
        <is>
          <t>П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2</t>
        </is>
      </c>
      <c r="B95" t="inlineStr">
        <is>
          <t>АТ "Укрексімбанк"</t>
        </is>
      </c>
      <c r="C95" t="inlineStr">
        <is>
          <t>Державний</t>
        </is>
      </c>
      <c r="D95" t="inlineStr">
        <is>
          <t>2028</t>
        </is>
      </c>
      <c r="E95" t="inlineStr">
        <is>
          <t>(без привʼязки)</t>
        </is>
      </c>
      <c r="F95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95" t="inlineStr">
        <is>
          <t>А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9756.12902</v>
      </c>
      <c r="O95" t="n">
        <v>9756.12902</v>
      </c>
      <c r="P95" t="n">
        <v>0</v>
      </c>
    </row>
    <row r="96">
      <c r="A96" t="inlineStr">
        <is>
          <t>2</t>
        </is>
      </c>
      <c r="B96" t="inlineStr">
        <is>
          <t>АТ "Укрексімбанк"</t>
        </is>
      </c>
      <c r="C96" t="inlineStr">
        <is>
          <t>Державний</t>
        </is>
      </c>
      <c r="D96" t="inlineStr">
        <is>
          <t>2028</t>
        </is>
      </c>
      <c r="E96" t="inlineStr">
        <is>
          <t>Кредити субʼєктам господарювання (р.20, р.23, 260)</t>
        </is>
      </c>
      <c r="F96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96" t="inlineStr">
        <is>
          <t>А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9756.12902</v>
      </c>
      <c r="O96" t="n">
        <v>9756.12902</v>
      </c>
      <c r="P96" t="n">
        <v>0</v>
      </c>
    </row>
    <row r="97">
      <c r="A97" t="inlineStr">
        <is>
          <t>2</t>
        </is>
      </c>
      <c r="B97" t="inlineStr">
        <is>
          <t>АТ "Укрексімбанк"</t>
        </is>
      </c>
      <c r="C97" t="inlineStr">
        <is>
          <t>Державний</t>
        </is>
      </c>
      <c r="D97" t="inlineStr">
        <is>
          <t>2029</t>
        </is>
      </c>
      <c r="E97" t="inlineStr">
        <is>
          <t>(без привʼязки)</t>
        </is>
      </c>
      <c r="F97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97" t="inlineStr">
        <is>
          <t>П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-78467.85646</v>
      </c>
      <c r="O97" t="n">
        <v>-78467.85646</v>
      </c>
      <c r="P97" t="n">
        <v>0</v>
      </c>
    </row>
    <row r="98">
      <c r="A98" t="inlineStr">
        <is>
          <t>2</t>
        </is>
      </c>
      <c r="B98" t="inlineStr">
        <is>
          <t>АТ "Укрексімбанк"</t>
        </is>
      </c>
      <c r="C98" t="inlineStr">
        <is>
          <t>Державний</t>
        </is>
      </c>
      <c r="D98" t="inlineStr">
        <is>
          <t>2029</t>
        </is>
      </c>
      <c r="E98" t="inlineStr">
        <is>
          <t>Кредити субʼєктам господарювання (р.20, р.23, 260)</t>
        </is>
      </c>
      <c r="F98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98" t="inlineStr">
        <is>
          <t>П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-78467.85646</v>
      </c>
      <c r="O98" t="n">
        <v>-78467.85646</v>
      </c>
      <c r="P98" t="n">
        <v>0</v>
      </c>
    </row>
    <row r="99">
      <c r="A99" t="inlineStr">
        <is>
          <t>2</t>
        </is>
      </c>
      <c r="B99" t="inlineStr">
        <is>
          <t>АТ "Укрексімбанк"</t>
        </is>
      </c>
      <c r="C99" t="inlineStr">
        <is>
          <t>Державний</t>
        </is>
      </c>
      <c r="D99" t="inlineStr">
        <is>
          <t>2030</t>
        </is>
      </c>
      <c r="E99" t="inlineStr">
        <is>
          <t>(без привʼязки)</t>
        </is>
      </c>
      <c r="F99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99" t="inlineStr">
        <is>
          <t>А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2</t>
        </is>
      </c>
      <c r="B100" t="inlineStr">
        <is>
          <t>АТ "Укрексімбанк"</t>
        </is>
      </c>
      <c r="C100" t="inlineStr">
        <is>
          <t>Державний</t>
        </is>
      </c>
      <c r="D100" t="inlineStr">
        <is>
          <t>2030</t>
        </is>
      </c>
      <c r="E100" t="inlineStr">
        <is>
          <t>Кредити субʼєктам господарювання (р.20, р.23, 260)</t>
        </is>
      </c>
      <c r="F100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100" t="inlineStr">
        <is>
          <t>А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2</t>
        </is>
      </c>
      <c r="B101" t="inlineStr">
        <is>
          <t>АТ "Укрексімбанк"</t>
        </is>
      </c>
      <c r="C101" t="inlineStr">
        <is>
          <t>Державний</t>
        </is>
      </c>
      <c r="D101" t="inlineStr">
        <is>
          <t>2036</t>
        </is>
      </c>
      <c r="E101" t="inlineStr">
        <is>
          <t>(без привʼязки)</t>
        </is>
      </c>
      <c r="F101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1" t="inlineStr">
        <is>
          <t>А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2</t>
        </is>
      </c>
      <c r="B102" t="inlineStr">
        <is>
          <t>АТ "Укрексімбанк"</t>
        </is>
      </c>
      <c r="C102" t="inlineStr">
        <is>
          <t>Державний</t>
        </is>
      </c>
      <c r="D102" t="inlineStr">
        <is>
          <t>2036</t>
        </is>
      </c>
      <c r="E102" t="inlineStr">
        <is>
          <t>Кредити субʼєктам господарювання (р.20, р.23, 260)</t>
        </is>
      </c>
      <c r="F102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2" t="inlineStr">
        <is>
          <t>А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2</t>
        </is>
      </c>
      <c r="B103" t="inlineStr">
        <is>
          <t>АТ "Укрексімбанк"</t>
        </is>
      </c>
      <c r="C103" t="inlineStr">
        <is>
          <t>Державний</t>
        </is>
      </c>
      <c r="D103" t="inlineStr">
        <is>
          <t>2036</t>
        </is>
      </c>
      <c r="E103" t="inlineStr">
        <is>
          <t>(без привʼязки)</t>
        </is>
      </c>
      <c r="F103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3" t="inlineStr">
        <is>
          <t>П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2</t>
        </is>
      </c>
      <c r="B104" t="inlineStr">
        <is>
          <t>АТ "Укрексімбанк"</t>
        </is>
      </c>
      <c r="C104" t="inlineStr">
        <is>
          <t>Державний</t>
        </is>
      </c>
      <c r="D104" t="inlineStr">
        <is>
          <t>2036</t>
        </is>
      </c>
      <c r="E104" t="inlineStr">
        <is>
          <t>Кредити субʼєктам господарювання (р.20, р.23, 260)</t>
        </is>
      </c>
      <c r="F10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4" t="inlineStr">
        <is>
          <t>П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2</t>
        </is>
      </c>
      <c r="B105" t="inlineStr">
        <is>
          <t>АТ "Укрексімбанк"</t>
        </is>
      </c>
      <c r="C105" t="inlineStr">
        <is>
          <t>Державний</t>
        </is>
      </c>
      <c r="D105" t="inlineStr">
        <is>
          <t>2038</t>
        </is>
      </c>
      <c r="E105" t="inlineStr">
        <is>
          <t>(без привʼязки)</t>
        </is>
      </c>
      <c r="F105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5" t="inlineStr">
        <is>
          <t>А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2</t>
        </is>
      </c>
      <c r="B106" t="inlineStr">
        <is>
          <t>АТ "Укрексімбанк"</t>
        </is>
      </c>
      <c r="C106" t="inlineStr">
        <is>
          <t>Державний</t>
        </is>
      </c>
      <c r="D106" t="inlineStr">
        <is>
          <t>2038</t>
        </is>
      </c>
      <c r="E106" t="inlineStr">
        <is>
          <t>Кредити субʼєктам господарювання (р.20, р.23, 260)</t>
        </is>
      </c>
      <c r="F106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6" t="inlineStr">
        <is>
          <t>А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2</t>
        </is>
      </c>
      <c r="B107" t="inlineStr">
        <is>
          <t>АТ "Укрексімбанк"</t>
        </is>
      </c>
      <c r="C107" t="inlineStr">
        <is>
          <t>Державний</t>
        </is>
      </c>
      <c r="D107" t="inlineStr">
        <is>
          <t>2039</t>
        </is>
      </c>
      <c r="E107" t="inlineStr">
        <is>
          <t>(без привʼязки)</t>
        </is>
      </c>
      <c r="F107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7" t="inlineStr">
        <is>
          <t>П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2</t>
        </is>
      </c>
      <c r="B108" t="inlineStr">
        <is>
          <t>АТ "Укрексімбанк"</t>
        </is>
      </c>
      <c r="C108" t="inlineStr">
        <is>
          <t>Державний</t>
        </is>
      </c>
      <c r="D108" t="inlineStr">
        <is>
          <t>2039</t>
        </is>
      </c>
      <c r="E108" t="inlineStr">
        <is>
          <t>Кредити субʼєктам господарювання (р.20, р.23, 260)</t>
        </is>
      </c>
      <c r="F108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8" t="inlineStr">
        <is>
          <t>П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2</t>
        </is>
      </c>
      <c r="B109" t="inlineStr">
        <is>
          <t>АТ "Укрексімбанк"</t>
        </is>
      </c>
      <c r="C109" t="inlineStr">
        <is>
          <t>Державний</t>
        </is>
      </c>
      <c r="D109" t="inlineStr">
        <is>
          <t>2043</t>
        </is>
      </c>
      <c r="E109" t="inlineStr">
        <is>
          <t>(без привʼязки)</t>
        </is>
      </c>
      <c r="F10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09" t="inlineStr">
        <is>
          <t>А</t>
        </is>
      </c>
      <c r="H109" t="n">
        <v>93233.66649</v>
      </c>
      <c r="I109" t="n">
        <v>13033</v>
      </c>
      <c r="J109" t="n">
        <v>80200.66649</v>
      </c>
      <c r="K109" t="n">
        <v>740457.7487</v>
      </c>
      <c r="L109" t="n">
        <v>638275.8282</v>
      </c>
      <c r="M109" t="n">
        <v>102181.9205</v>
      </c>
      <c r="N109" t="n">
        <v>13316480.33294</v>
      </c>
      <c r="O109" t="n">
        <v>8549270.585820001</v>
      </c>
      <c r="P109" t="n">
        <v>4767209.74712</v>
      </c>
    </row>
    <row r="110">
      <c r="A110" t="inlineStr">
        <is>
          <t>2</t>
        </is>
      </c>
      <c r="B110" t="inlineStr">
        <is>
          <t>АТ "Укрексімбанк"</t>
        </is>
      </c>
      <c r="C110" t="inlineStr">
        <is>
          <t>Державний</t>
        </is>
      </c>
      <c r="D110" t="inlineStr">
        <is>
          <t>2043</t>
        </is>
      </c>
      <c r="E110" t="inlineStr">
        <is>
          <t>Кредити субʼєктам господарювання (р.20, р.23, 260)</t>
        </is>
      </c>
      <c r="F110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10" t="inlineStr">
        <is>
          <t>А</t>
        </is>
      </c>
      <c r="H110" t="n">
        <v>93233.66649</v>
      </c>
      <c r="I110" t="n">
        <v>13033</v>
      </c>
      <c r="J110" t="n">
        <v>80200.66649</v>
      </c>
      <c r="K110" t="n">
        <v>740457.7487</v>
      </c>
      <c r="L110" t="n">
        <v>638275.8282</v>
      </c>
      <c r="M110" t="n">
        <v>102181.9205</v>
      </c>
      <c r="N110" t="n">
        <v>13316480.33294</v>
      </c>
      <c r="O110" t="n">
        <v>8549270.585820001</v>
      </c>
      <c r="P110" t="n">
        <v>4767209.74712</v>
      </c>
    </row>
    <row r="111">
      <c r="A111" t="inlineStr">
        <is>
          <t>2</t>
        </is>
      </c>
      <c r="B111" t="inlineStr">
        <is>
          <t>АТ "Укрексімбанк"</t>
        </is>
      </c>
      <c r="C111" t="inlineStr">
        <is>
          <t>Державний</t>
        </is>
      </c>
      <c r="D111" t="inlineStr">
        <is>
          <t>2044</t>
        </is>
      </c>
      <c r="E111" t="inlineStr">
        <is>
          <t>(без привʼязки)</t>
        </is>
      </c>
      <c r="F111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11" t="inlineStr">
        <is>
          <t>А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2</t>
        </is>
      </c>
      <c r="B112" t="inlineStr">
        <is>
          <t>АТ "Укрексімбанк"</t>
        </is>
      </c>
      <c r="C112" t="inlineStr">
        <is>
          <t>Державний</t>
        </is>
      </c>
      <c r="D112" t="inlineStr">
        <is>
          <t>2044</t>
        </is>
      </c>
      <c r="E112" t="inlineStr">
        <is>
          <t>Кредити субʼєктам господарювання (р.20, р.23, 260)</t>
        </is>
      </c>
      <c r="F112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12" t="inlineStr">
        <is>
          <t>А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2</t>
        </is>
      </c>
      <c r="B113" t="inlineStr">
        <is>
          <t>АТ "Укрексімбанк"</t>
        </is>
      </c>
      <c r="C113" t="inlineStr">
        <is>
          <t>Державний</t>
        </is>
      </c>
      <c r="D113" t="inlineStr">
        <is>
          <t>2045</t>
        </is>
      </c>
      <c r="E113" t="inlineStr">
        <is>
          <t>(без привʼязки)</t>
        </is>
      </c>
      <c r="F113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13" t="inlineStr">
        <is>
          <t>А</t>
        </is>
      </c>
      <c r="H113" t="n">
        <v>0</v>
      </c>
      <c r="I113" t="n">
        <v>0</v>
      </c>
      <c r="J113" t="n">
        <v>0</v>
      </c>
      <c r="K113" t="n">
        <v>211.44401</v>
      </c>
      <c r="L113" t="n">
        <v>211.44401</v>
      </c>
      <c r="M113" t="n">
        <v>0</v>
      </c>
      <c r="N113" t="n">
        <v>69657.52323000001</v>
      </c>
      <c r="O113" t="n">
        <v>69657.52323000001</v>
      </c>
      <c r="P113" t="n">
        <v>0</v>
      </c>
    </row>
    <row r="114">
      <c r="A114" t="inlineStr">
        <is>
          <t>2</t>
        </is>
      </c>
      <c r="B114" t="inlineStr">
        <is>
          <t>АТ "Укрексімбанк"</t>
        </is>
      </c>
      <c r="C114" t="inlineStr">
        <is>
          <t>Державний</t>
        </is>
      </c>
      <c r="D114" t="inlineStr">
        <is>
          <t>2045</t>
        </is>
      </c>
      <c r="E114" t="inlineStr">
        <is>
          <t>Кредити субʼєктам господарювання (р.20, р.23, 260)</t>
        </is>
      </c>
      <c r="F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14" t="inlineStr">
        <is>
          <t>А</t>
        </is>
      </c>
      <c r="H114" t="n">
        <v>0</v>
      </c>
      <c r="I114" t="n">
        <v>0</v>
      </c>
      <c r="J114" t="n">
        <v>0</v>
      </c>
      <c r="K114" t="n">
        <v>211.44401</v>
      </c>
      <c r="L114" t="n">
        <v>211.44401</v>
      </c>
      <c r="M114" t="n">
        <v>0</v>
      </c>
      <c r="N114" t="n">
        <v>69657.52323000001</v>
      </c>
      <c r="O114" t="n">
        <v>69657.52323000001</v>
      </c>
      <c r="P114" t="n">
        <v>0</v>
      </c>
    </row>
    <row r="115">
      <c r="A115" t="inlineStr">
        <is>
          <t>2</t>
        </is>
      </c>
      <c r="B115" t="inlineStr">
        <is>
          <t>АТ "Укрексімбанк"</t>
        </is>
      </c>
      <c r="C115" t="inlineStr">
        <is>
          <t>Державний</t>
        </is>
      </c>
      <c r="D115" t="inlineStr">
        <is>
          <t>2046</t>
        </is>
      </c>
      <c r="E115" t="inlineStr">
        <is>
          <t>(без привʼязки)</t>
        </is>
      </c>
      <c r="F115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5" t="inlineStr">
        <is>
          <t>А</t>
        </is>
      </c>
      <c r="H115" t="n">
        <v>144992.40596</v>
      </c>
      <c r="I115" t="n">
        <v>112678.36743</v>
      </c>
      <c r="J115" t="n">
        <v>32314.03853</v>
      </c>
      <c r="K115" t="n">
        <v>47737.13849</v>
      </c>
      <c r="L115" t="n">
        <v>1381.03995</v>
      </c>
      <c r="M115" t="n">
        <v>46356.09854</v>
      </c>
      <c r="N115" t="n">
        <v>0</v>
      </c>
      <c r="O115" t="n">
        <v>0</v>
      </c>
      <c r="P115" t="n">
        <v>0</v>
      </c>
    </row>
    <row r="116">
      <c r="A116" t="inlineStr">
        <is>
          <t>2</t>
        </is>
      </c>
      <c r="B116" t="inlineStr">
        <is>
          <t>АТ "Укрексімбанк"</t>
        </is>
      </c>
      <c r="C116" t="inlineStr">
        <is>
          <t>Державний</t>
        </is>
      </c>
      <c r="D116" t="inlineStr">
        <is>
          <t>2046</t>
        </is>
      </c>
      <c r="E116" t="inlineStr">
        <is>
          <t>Кредити субʼєктам господарювання (р.20, р.23, 260)</t>
        </is>
      </c>
      <c r="F116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6" t="inlineStr">
        <is>
          <t>А</t>
        </is>
      </c>
      <c r="H116" t="n">
        <v>144992.40596</v>
      </c>
      <c r="I116" t="n">
        <v>112678.36743</v>
      </c>
      <c r="J116" t="n">
        <v>32314.03853</v>
      </c>
      <c r="K116" t="n">
        <v>47737.13849</v>
      </c>
      <c r="L116" t="n">
        <v>1381.03995</v>
      </c>
      <c r="M116" t="n">
        <v>46356.09854</v>
      </c>
      <c r="N116" t="n">
        <v>0</v>
      </c>
      <c r="O116" t="n">
        <v>0</v>
      </c>
      <c r="P116" t="n">
        <v>0</v>
      </c>
    </row>
    <row r="117">
      <c r="A117" t="inlineStr">
        <is>
          <t>2</t>
        </is>
      </c>
      <c r="B117" t="inlineStr">
        <is>
          <t>АТ "Укрексімбанк"</t>
        </is>
      </c>
      <c r="C117" t="inlineStr">
        <is>
          <t>Державний</t>
        </is>
      </c>
      <c r="D117" t="inlineStr">
        <is>
          <t>2046</t>
        </is>
      </c>
      <c r="E117" t="inlineStr">
        <is>
          <t>(без привʼязки)</t>
        </is>
      </c>
      <c r="F11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7" t="inlineStr">
        <is>
          <t>П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-10686512.16421</v>
      </c>
      <c r="O117" t="n">
        <v>-7979064.90729</v>
      </c>
      <c r="P117" t="n">
        <v>-2707447.25692</v>
      </c>
    </row>
    <row r="118">
      <c r="A118" t="inlineStr">
        <is>
          <t>2</t>
        </is>
      </c>
      <c r="B118" t="inlineStr">
        <is>
          <t>АТ "Укрексімбанк"</t>
        </is>
      </c>
      <c r="C118" t="inlineStr">
        <is>
          <t>Державний</t>
        </is>
      </c>
      <c r="D118" t="inlineStr">
        <is>
          <t>2046</t>
        </is>
      </c>
      <c r="E118" t="inlineStr">
        <is>
          <t>Кредити субʼєктам господарювання (р.20, р.23, 260)</t>
        </is>
      </c>
      <c r="F118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8" t="inlineStr">
        <is>
          <t>П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-10686512.16421</v>
      </c>
      <c r="O118" t="n">
        <v>-7979064.90729</v>
      </c>
      <c r="P118" t="n">
        <v>-2707447.25692</v>
      </c>
    </row>
    <row r="119">
      <c r="A119" t="inlineStr">
        <is>
          <t>2</t>
        </is>
      </c>
      <c r="B119" t="inlineStr">
        <is>
          <t>АТ "Укрексімбанк"</t>
        </is>
      </c>
      <c r="C119" t="inlineStr">
        <is>
          <t>Державний</t>
        </is>
      </c>
      <c r="D119" t="inlineStr">
        <is>
          <t>2048</t>
        </is>
      </c>
      <c r="E119" t="inlineStr">
        <is>
          <t>(без привʼязки)</t>
        </is>
      </c>
      <c r="F119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19" t="inlineStr">
        <is>
          <t>А</t>
        </is>
      </c>
      <c r="H119" t="n">
        <v>71963.90225</v>
      </c>
      <c r="I119" t="n">
        <v>43820.34343</v>
      </c>
      <c r="J119" t="n">
        <v>28143.55882</v>
      </c>
      <c r="K119" t="n">
        <v>80514.72758999999</v>
      </c>
      <c r="L119" t="n">
        <v>52494.74825</v>
      </c>
      <c r="M119" t="n">
        <v>28019.97934</v>
      </c>
      <c r="N119" t="n">
        <v>6030433.55283</v>
      </c>
      <c r="O119" t="n">
        <v>5728426.22712</v>
      </c>
      <c r="P119" t="n">
        <v>302007.32571</v>
      </c>
    </row>
    <row r="120">
      <c r="A120" t="inlineStr">
        <is>
          <t>2</t>
        </is>
      </c>
      <c r="B120" t="inlineStr">
        <is>
          <t>АТ "Укрексімбанк"</t>
        </is>
      </c>
      <c r="C120" t="inlineStr">
        <is>
          <t>Державний</t>
        </is>
      </c>
      <c r="D120" t="inlineStr">
        <is>
          <t>2048</t>
        </is>
      </c>
      <c r="E120" t="inlineStr">
        <is>
          <t>Кредити субʼєктам господарювання (р.20, р.23, 260)</t>
        </is>
      </c>
      <c r="F120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20" t="inlineStr">
        <is>
          <t>А</t>
        </is>
      </c>
      <c r="H120" t="n">
        <v>71963.90225</v>
      </c>
      <c r="I120" t="n">
        <v>43820.34343</v>
      </c>
      <c r="J120" t="n">
        <v>28143.55882</v>
      </c>
      <c r="K120" t="n">
        <v>80514.72758999999</v>
      </c>
      <c r="L120" t="n">
        <v>52494.74825</v>
      </c>
      <c r="M120" t="n">
        <v>28019.97934</v>
      </c>
      <c r="N120" t="n">
        <v>6030433.55283</v>
      </c>
      <c r="O120" t="n">
        <v>5728426.22712</v>
      </c>
      <c r="P120" t="n">
        <v>302007.32571</v>
      </c>
    </row>
    <row r="121">
      <c r="A121" t="inlineStr">
        <is>
          <t>2</t>
        </is>
      </c>
      <c r="B121" t="inlineStr">
        <is>
          <t>АТ "Укрексімбанк"</t>
        </is>
      </c>
      <c r="C121" t="inlineStr">
        <is>
          <t>Державний</t>
        </is>
      </c>
      <c r="D121" t="inlineStr">
        <is>
          <t>2049</t>
        </is>
      </c>
      <c r="E121" t="inlineStr">
        <is>
          <t>(без привʼязки)</t>
        </is>
      </c>
      <c r="F121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1" t="inlineStr">
        <is>
          <t>А</t>
        </is>
      </c>
      <c r="H121" t="n">
        <v>175483.25253</v>
      </c>
      <c r="I121" t="n">
        <v>140623.75125</v>
      </c>
      <c r="J121" t="n">
        <v>34859.50128</v>
      </c>
      <c r="K121" t="n">
        <v>63799.64649</v>
      </c>
      <c r="L121" t="n">
        <v>20410.81314</v>
      </c>
      <c r="M121" t="n">
        <v>43388.83335</v>
      </c>
      <c r="N121" t="n">
        <v>517322.51649</v>
      </c>
      <c r="O121" t="n">
        <v>45249.21502</v>
      </c>
      <c r="P121" t="n">
        <v>472073.30147</v>
      </c>
    </row>
    <row r="122">
      <c r="A122" t="inlineStr">
        <is>
          <t>2</t>
        </is>
      </c>
      <c r="B122" t="inlineStr">
        <is>
          <t>АТ "Укрексімбанк"</t>
        </is>
      </c>
      <c r="C122" t="inlineStr">
        <is>
          <t>Державний</t>
        </is>
      </c>
      <c r="D122" t="inlineStr">
        <is>
          <t>2049</t>
        </is>
      </c>
      <c r="E122" t="inlineStr">
        <is>
          <t>Кредити субʼєктам господарювання (р.20, р.23, 260)</t>
        </is>
      </c>
      <c r="F122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2" t="inlineStr">
        <is>
          <t>А</t>
        </is>
      </c>
      <c r="H122" t="n">
        <v>175483.25253</v>
      </c>
      <c r="I122" t="n">
        <v>140623.75125</v>
      </c>
      <c r="J122" t="n">
        <v>34859.50128</v>
      </c>
      <c r="K122" t="n">
        <v>63799.64649</v>
      </c>
      <c r="L122" t="n">
        <v>20410.81314</v>
      </c>
      <c r="M122" t="n">
        <v>43388.83335</v>
      </c>
      <c r="N122" t="n">
        <v>517322.51649</v>
      </c>
      <c r="O122" t="n">
        <v>45249.21502</v>
      </c>
      <c r="P122" t="n">
        <v>472073.30147</v>
      </c>
    </row>
    <row r="123">
      <c r="A123" t="inlineStr">
        <is>
          <t>2</t>
        </is>
      </c>
      <c r="B123" t="inlineStr">
        <is>
          <t>АТ "Укрексімбанк"</t>
        </is>
      </c>
      <c r="C123" t="inlineStr">
        <is>
          <t>Державний</t>
        </is>
      </c>
      <c r="D123" t="inlineStr">
        <is>
          <t>2049</t>
        </is>
      </c>
      <c r="E123" t="inlineStr">
        <is>
          <t>(без привʼязки)</t>
        </is>
      </c>
      <c r="F123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3" t="inlineStr">
        <is>
          <t>П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-3299391.21143</v>
      </c>
      <c r="O123" t="n">
        <v>-2467307.3306</v>
      </c>
      <c r="P123" t="n">
        <v>-832083.88083</v>
      </c>
    </row>
    <row r="124">
      <c r="A124" t="inlineStr">
        <is>
          <t>2</t>
        </is>
      </c>
      <c r="B124" t="inlineStr">
        <is>
          <t>АТ "Укрексімбанк"</t>
        </is>
      </c>
      <c r="C124" t="inlineStr">
        <is>
          <t>Державний</t>
        </is>
      </c>
      <c r="D124" t="inlineStr">
        <is>
          <t>2049</t>
        </is>
      </c>
      <c r="E124" t="inlineStr">
        <is>
          <t>Кредити субʼєктам господарювання (р.20, р.23, 260)</t>
        </is>
      </c>
      <c r="F12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4" t="inlineStr">
        <is>
          <t>П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-3299391.21143</v>
      </c>
      <c r="O124" t="n">
        <v>-2467307.3306</v>
      </c>
      <c r="P124" t="n">
        <v>-832083.88083</v>
      </c>
    </row>
    <row r="125">
      <c r="A125" t="inlineStr">
        <is>
          <t>2</t>
        </is>
      </c>
      <c r="B125" t="inlineStr">
        <is>
          <t>АТ "Укрексімбанк"</t>
        </is>
      </c>
      <c r="C125" t="inlineStr">
        <is>
          <t>Державний</t>
        </is>
      </c>
      <c r="D125" t="inlineStr">
        <is>
          <t>2060</t>
        </is>
      </c>
      <c r="E125" t="inlineStr">
        <is>
          <t>(без привʼязки)</t>
        </is>
      </c>
      <c r="F125" t="inlineStr">
        <is>
          <t>Кошти банків в розрахунках у суб'єктів господарювання</t>
        </is>
      </c>
      <c r="G125" t="inlineStr">
        <is>
          <t>А</t>
        </is>
      </c>
      <c r="H125" t="n">
        <v>18758702.50004</v>
      </c>
      <c r="I125" t="n">
        <v>15305409.53341</v>
      </c>
      <c r="J125" t="n">
        <v>3453292.96663</v>
      </c>
      <c r="K125" t="n">
        <v>18758702.50004</v>
      </c>
      <c r="L125" t="n">
        <v>15305409.53341</v>
      </c>
      <c r="M125" t="n">
        <v>3453292.96663</v>
      </c>
      <c r="N125" t="n">
        <v>0</v>
      </c>
      <c r="O125" t="n">
        <v>0</v>
      </c>
      <c r="P125" t="n">
        <v>0</v>
      </c>
    </row>
    <row r="126">
      <c r="A126" t="inlineStr">
        <is>
          <t>2</t>
        </is>
      </c>
      <c r="B126" t="inlineStr">
        <is>
          <t>АТ "Укрексімбанк"</t>
        </is>
      </c>
      <c r="C126" t="inlineStr">
        <is>
          <t>Державний</t>
        </is>
      </c>
      <c r="D126" t="inlineStr">
        <is>
          <t>2060</t>
        </is>
      </c>
      <c r="E126" t="inlineStr">
        <is>
          <t>Кредити субʼєктам господарювання (р.20, р.23, 260)</t>
        </is>
      </c>
      <c r="F126" t="inlineStr">
        <is>
          <t>Кошти банків в розрахунках у суб'єктів господарювання</t>
        </is>
      </c>
      <c r="G126" t="inlineStr">
        <is>
          <t>А</t>
        </is>
      </c>
      <c r="H126" t="n">
        <v>18758702.50004</v>
      </c>
      <c r="I126" t="n">
        <v>15305409.53341</v>
      </c>
      <c r="J126" t="n">
        <v>3453292.96663</v>
      </c>
      <c r="K126" t="n">
        <v>18758702.50004</v>
      </c>
      <c r="L126" t="n">
        <v>15305409.53341</v>
      </c>
      <c r="M126" t="n">
        <v>3453292.96663</v>
      </c>
      <c r="N126" t="n">
        <v>0</v>
      </c>
      <c r="O126" t="n">
        <v>0</v>
      </c>
      <c r="P126" t="n">
        <v>0</v>
      </c>
    </row>
    <row r="127">
      <c r="A127" t="inlineStr">
        <is>
          <t>2</t>
        </is>
      </c>
      <c r="B127" t="inlineStr">
        <is>
          <t>АТ "Укрексімбанк"</t>
        </is>
      </c>
      <c r="C127" t="inlineStr">
        <is>
          <t>Державний</t>
        </is>
      </c>
      <c r="D127" t="inlineStr">
        <is>
          <t>2063</t>
        </is>
      </c>
      <c r="E127" t="inlineStr">
        <is>
          <t>(без привʼязки)</t>
        </is>
      </c>
      <c r="F127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27" t="inlineStr">
        <is>
          <t>А</t>
        </is>
      </c>
      <c r="H127" t="n">
        <v>8298276.28865</v>
      </c>
      <c r="I127" t="n">
        <v>4705884.24229</v>
      </c>
      <c r="J127" t="n">
        <v>3592392.04636</v>
      </c>
      <c r="K127" t="n">
        <v>4594583.98386</v>
      </c>
      <c r="L127" t="n">
        <v>1750758.93251</v>
      </c>
      <c r="M127" t="n">
        <v>2843825.05135</v>
      </c>
      <c r="N127" t="n">
        <v>94669919.75606</v>
      </c>
      <c r="O127" t="n">
        <v>42716141.42988</v>
      </c>
      <c r="P127" t="n">
        <v>51953778.32618</v>
      </c>
    </row>
    <row r="128">
      <c r="A128" t="inlineStr">
        <is>
          <t>2</t>
        </is>
      </c>
      <c r="B128" t="inlineStr">
        <is>
          <t>АТ "Укрексімбанк"</t>
        </is>
      </c>
      <c r="C128" t="inlineStr">
        <is>
          <t>Державний</t>
        </is>
      </c>
      <c r="D128" t="inlineStr">
        <is>
          <t>2063</t>
        </is>
      </c>
      <c r="E128" t="inlineStr">
        <is>
          <t>Кредити субʼєктам господарювання (р.20, р.23, 260)</t>
        </is>
      </c>
      <c r="F128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28" t="inlineStr">
        <is>
          <t>А</t>
        </is>
      </c>
      <c r="H128" t="n">
        <v>8298276.28865</v>
      </c>
      <c r="I128" t="n">
        <v>4705884.24229</v>
      </c>
      <c r="J128" t="n">
        <v>3592392.04636</v>
      </c>
      <c r="K128" t="n">
        <v>4594583.98386</v>
      </c>
      <c r="L128" t="n">
        <v>1750758.93251</v>
      </c>
      <c r="M128" t="n">
        <v>2843825.05135</v>
      </c>
      <c r="N128" t="n">
        <v>94669919.75606</v>
      </c>
      <c r="O128" t="n">
        <v>42716141.42988</v>
      </c>
      <c r="P128" t="n">
        <v>51953778.32618</v>
      </c>
    </row>
    <row r="129">
      <c r="A129" t="inlineStr">
        <is>
          <t>2</t>
        </is>
      </c>
      <c r="B129" t="inlineStr">
        <is>
          <t>АТ "Укрексімбанк"</t>
        </is>
      </c>
      <c r="C129" t="inlineStr">
        <is>
          <t>Державний</t>
        </is>
      </c>
      <c r="D129" t="inlineStr">
        <is>
          <t>2066</t>
        </is>
      </c>
      <c r="E129" t="inlineStr">
        <is>
          <t>(без привʼязки)</t>
        </is>
      </c>
      <c r="F129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29" t="inlineStr">
        <is>
          <t>А</t>
        </is>
      </c>
      <c r="H129" t="n">
        <v>32301.76088</v>
      </c>
      <c r="I129" t="n">
        <v>6997.27098</v>
      </c>
      <c r="J129" t="n">
        <v>25304.4899</v>
      </c>
      <c r="K129" t="n">
        <v>213561.7561</v>
      </c>
      <c r="L129" t="n">
        <v>8955.40004</v>
      </c>
      <c r="M129" t="n">
        <v>204606.35606</v>
      </c>
      <c r="N129" t="n">
        <v>15034.76826</v>
      </c>
      <c r="O129" t="n">
        <v>13592.86637</v>
      </c>
      <c r="P129" t="n">
        <v>1441.90189</v>
      </c>
    </row>
    <row r="130">
      <c r="A130" t="inlineStr">
        <is>
          <t>2</t>
        </is>
      </c>
      <c r="B130" t="inlineStr">
        <is>
          <t>АТ "Укрексімбанк"</t>
        </is>
      </c>
      <c r="C130" t="inlineStr">
        <is>
          <t>Державний</t>
        </is>
      </c>
      <c r="D130" t="inlineStr">
        <is>
          <t>2066</t>
        </is>
      </c>
      <c r="E130" t="inlineStr">
        <is>
          <t>Кредити субʼєктам господарювання (р.20, р.23, 260)</t>
        </is>
      </c>
      <c r="F130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0" t="inlineStr">
        <is>
          <t>А</t>
        </is>
      </c>
      <c r="H130" t="n">
        <v>32301.76088</v>
      </c>
      <c r="I130" t="n">
        <v>6997.27098</v>
      </c>
      <c r="J130" t="n">
        <v>25304.4899</v>
      </c>
      <c r="K130" t="n">
        <v>213561.7561</v>
      </c>
      <c r="L130" t="n">
        <v>8955.40004</v>
      </c>
      <c r="M130" t="n">
        <v>204606.35606</v>
      </c>
      <c r="N130" t="n">
        <v>15034.76826</v>
      </c>
      <c r="O130" t="n">
        <v>13592.86637</v>
      </c>
      <c r="P130" t="n">
        <v>1441.90189</v>
      </c>
    </row>
    <row r="131">
      <c r="A131" t="inlineStr">
        <is>
          <t>2</t>
        </is>
      </c>
      <c r="B131" t="inlineStr">
        <is>
          <t>АТ "Укрексімбанк"</t>
        </is>
      </c>
      <c r="C131" t="inlineStr">
        <is>
          <t>Державний</t>
        </is>
      </c>
      <c r="D131" t="inlineStr">
        <is>
          <t>2066</t>
        </is>
      </c>
      <c r="E131" t="inlineStr">
        <is>
          <t>(без привʼязки)</t>
        </is>
      </c>
      <c r="F131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1" t="inlineStr">
        <is>
          <t>П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-481492.86327</v>
      </c>
      <c r="O131" t="n">
        <v>-59903.79748</v>
      </c>
      <c r="P131" t="n">
        <v>-421589.06579</v>
      </c>
    </row>
    <row r="132">
      <c r="A132" t="inlineStr">
        <is>
          <t>2</t>
        </is>
      </c>
      <c r="B132" t="inlineStr">
        <is>
          <t>АТ "Укрексімбанк"</t>
        </is>
      </c>
      <c r="C132" t="inlineStr">
        <is>
          <t>Державний</t>
        </is>
      </c>
      <c r="D132" t="inlineStr">
        <is>
          <t>2066</t>
        </is>
      </c>
      <c r="E132" t="inlineStr">
        <is>
          <t>Кредити субʼєктам господарювання (р.20, р.23, 260)</t>
        </is>
      </c>
      <c r="F132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2" t="inlineStr">
        <is>
          <t>П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-481492.86327</v>
      </c>
      <c r="O132" t="n">
        <v>-59903.79748</v>
      </c>
      <c r="P132" t="n">
        <v>-421589.06579</v>
      </c>
    </row>
    <row r="133">
      <c r="A133" t="inlineStr">
        <is>
          <t>2</t>
        </is>
      </c>
      <c r="B133" t="inlineStr">
        <is>
          <t>АТ "Укрексімбанк"</t>
        </is>
      </c>
      <c r="C133" t="inlineStr">
        <is>
          <t>Державний</t>
        </is>
      </c>
      <c r="D133" t="inlineStr">
        <is>
          <t>2068</t>
        </is>
      </c>
      <c r="E133" t="inlineStr">
        <is>
          <t>(без привʼязки)</t>
        </is>
      </c>
      <c r="F133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33" t="inlineStr">
        <is>
          <t>А</t>
        </is>
      </c>
      <c r="H133" t="n">
        <v>972960.33452</v>
      </c>
      <c r="I133" t="n">
        <v>657652.31014</v>
      </c>
      <c r="J133" t="n">
        <v>315308.02438</v>
      </c>
      <c r="K133" t="n">
        <v>963104.504</v>
      </c>
      <c r="L133" t="n">
        <v>665670.7128100001</v>
      </c>
      <c r="M133" t="n">
        <v>297433.79119</v>
      </c>
      <c r="N133" t="n">
        <v>2864578.71126</v>
      </c>
      <c r="O133" t="n">
        <v>1327307.77602</v>
      </c>
      <c r="P133" t="n">
        <v>1537270.93524</v>
      </c>
    </row>
    <row r="134">
      <c r="A134" t="inlineStr">
        <is>
          <t>2</t>
        </is>
      </c>
      <c r="B134" t="inlineStr">
        <is>
          <t>АТ "Укрексімбанк"</t>
        </is>
      </c>
      <c r="C134" t="inlineStr">
        <is>
          <t>Державний</t>
        </is>
      </c>
      <c r="D134" t="inlineStr">
        <is>
          <t>2068</t>
        </is>
      </c>
      <c r="E134" t="inlineStr">
        <is>
          <t>Кредити субʼєктам господарювання (р.20, р.23, 260)</t>
        </is>
      </c>
      <c r="F13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34" t="inlineStr">
        <is>
          <t>А</t>
        </is>
      </c>
      <c r="H134" t="n">
        <v>972960.33452</v>
      </c>
      <c r="I134" t="n">
        <v>657652.31014</v>
      </c>
      <c r="J134" t="n">
        <v>315308.02438</v>
      </c>
      <c r="K134" t="n">
        <v>963104.504</v>
      </c>
      <c r="L134" t="n">
        <v>665670.7128100001</v>
      </c>
      <c r="M134" t="n">
        <v>297433.79119</v>
      </c>
      <c r="N134" t="n">
        <v>2864578.71126</v>
      </c>
      <c r="O134" t="n">
        <v>1327307.77602</v>
      </c>
      <c r="P134" t="n">
        <v>1537270.93524</v>
      </c>
    </row>
    <row r="135">
      <c r="A135" t="inlineStr">
        <is>
          <t>2</t>
        </is>
      </c>
      <c r="B135" t="inlineStr">
        <is>
          <t>АТ "Укрексімбанк"</t>
        </is>
      </c>
      <c r="C135" t="inlineStr">
        <is>
          <t>Державний</t>
        </is>
      </c>
      <c r="D135" t="inlineStr">
        <is>
          <t>2069</t>
        </is>
      </c>
      <c r="E135" t="inlineStr">
        <is>
          <t>(без привʼязки)</t>
        </is>
      </c>
      <c r="F135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35" t="inlineStr">
        <is>
          <t>П</t>
        </is>
      </c>
      <c r="H135" t="n">
        <v>426058.46899</v>
      </c>
      <c r="I135" t="n">
        <v>28536.54376</v>
      </c>
      <c r="J135" t="n">
        <v>397521.92523</v>
      </c>
      <c r="K135" t="n">
        <v>310359.69009</v>
      </c>
      <c r="L135" t="n">
        <v>32276.24326</v>
      </c>
      <c r="M135" t="n">
        <v>278083.44683</v>
      </c>
      <c r="N135" t="n">
        <v>-13351842.85974</v>
      </c>
      <c r="O135" t="n">
        <v>-1699123.38486</v>
      </c>
      <c r="P135" t="n">
        <v>-11652719.47488</v>
      </c>
    </row>
    <row r="136">
      <c r="A136" t="inlineStr">
        <is>
          <t>2</t>
        </is>
      </c>
      <c r="B136" t="inlineStr">
        <is>
          <t>АТ "Укрексімбанк"</t>
        </is>
      </c>
      <c r="C136" t="inlineStr">
        <is>
          <t>Державний</t>
        </is>
      </c>
      <c r="D136" t="inlineStr">
        <is>
          <t>2069</t>
        </is>
      </c>
      <c r="E136" t="inlineStr">
        <is>
          <t>Кредити субʼєктам господарювання (р.20, р.23, 260)</t>
        </is>
      </c>
      <c r="F136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36" t="inlineStr">
        <is>
          <t>П</t>
        </is>
      </c>
      <c r="H136" t="n">
        <v>426058.46899</v>
      </c>
      <c r="I136" t="n">
        <v>28536.54376</v>
      </c>
      <c r="J136" t="n">
        <v>397521.92523</v>
      </c>
      <c r="K136" t="n">
        <v>310359.69009</v>
      </c>
      <c r="L136" t="n">
        <v>32276.24326</v>
      </c>
      <c r="M136" t="n">
        <v>278083.44683</v>
      </c>
      <c r="N136" t="n">
        <v>-13351842.85974</v>
      </c>
      <c r="O136" t="n">
        <v>-1699123.38486</v>
      </c>
      <c r="P136" t="n">
        <v>-11652719.47488</v>
      </c>
    </row>
    <row r="137">
      <c r="A137" t="inlineStr">
        <is>
          <t>2</t>
        </is>
      </c>
      <c r="B137" t="inlineStr">
        <is>
          <t>АТ "Укрексімбанк"</t>
        </is>
      </c>
      <c r="C137" t="inlineStr">
        <is>
          <t>Державний</t>
        </is>
      </c>
      <c r="D137" t="inlineStr">
        <is>
          <t>2071</t>
        </is>
      </c>
      <c r="E137" t="inlineStr">
        <is>
          <t>(без привʼязки)</t>
        </is>
      </c>
      <c r="F137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37" t="inlineStr">
        <is>
          <t>А</t>
        </is>
      </c>
      <c r="H137" t="n">
        <v>23492.9529</v>
      </c>
      <c r="I137" t="n">
        <v>23492.9529</v>
      </c>
      <c r="J137" t="n">
        <v>0</v>
      </c>
      <c r="K137" t="n">
        <v>65272.25806</v>
      </c>
      <c r="L137" t="n">
        <v>65272.25806</v>
      </c>
      <c r="M137" t="n">
        <v>0</v>
      </c>
      <c r="N137" t="n">
        <v>620112.24625</v>
      </c>
      <c r="O137" t="n">
        <v>620112.24625</v>
      </c>
      <c r="P137" t="n">
        <v>0</v>
      </c>
    </row>
    <row r="138">
      <c r="A138" t="inlineStr">
        <is>
          <t>2</t>
        </is>
      </c>
      <c r="B138" t="inlineStr">
        <is>
          <t>АТ "Укрексімбанк"</t>
        </is>
      </c>
      <c r="C138" t="inlineStr">
        <is>
          <t>Державний</t>
        </is>
      </c>
      <c r="D138" t="inlineStr">
        <is>
          <t>2071</t>
        </is>
      </c>
      <c r="E138" t="inlineStr">
        <is>
          <t>Кредити субʼєктам господарювання (р.20, р.23, 260)</t>
        </is>
      </c>
      <c r="F138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38" t="inlineStr">
        <is>
          <t>А</t>
        </is>
      </c>
      <c r="H138" t="n">
        <v>23492.9529</v>
      </c>
      <c r="I138" t="n">
        <v>23492.9529</v>
      </c>
      <c r="J138" t="n">
        <v>0</v>
      </c>
      <c r="K138" t="n">
        <v>65272.25806</v>
      </c>
      <c r="L138" t="n">
        <v>65272.25806</v>
      </c>
      <c r="M138" t="n">
        <v>0</v>
      </c>
      <c r="N138" t="n">
        <v>620112.24625</v>
      </c>
      <c r="O138" t="n">
        <v>620112.24625</v>
      </c>
      <c r="P138" t="n">
        <v>0</v>
      </c>
    </row>
    <row r="139">
      <c r="A139" t="inlineStr">
        <is>
          <t>2</t>
        </is>
      </c>
      <c r="B139" t="inlineStr">
        <is>
          <t>АТ "Укрексімбанк"</t>
        </is>
      </c>
      <c r="C139" t="inlineStr">
        <is>
          <t>Державний</t>
        </is>
      </c>
      <c r="D139" t="inlineStr">
        <is>
          <t>2076</t>
        </is>
      </c>
      <c r="E139" t="inlineStr">
        <is>
          <t>(без привʼязки)</t>
        </is>
      </c>
      <c r="F139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39" t="inlineStr">
        <is>
          <t>А</t>
        </is>
      </c>
      <c r="H139" t="n">
        <v>1208.33182</v>
      </c>
      <c r="I139" t="n">
        <v>1208.33182</v>
      </c>
      <c r="J139" t="n">
        <v>0</v>
      </c>
      <c r="K139" t="n">
        <v>966.64752</v>
      </c>
      <c r="L139" t="n">
        <v>966.64752</v>
      </c>
      <c r="M139" t="n">
        <v>0</v>
      </c>
      <c r="N139" t="n">
        <v>9559.182629999999</v>
      </c>
      <c r="O139" t="n">
        <v>9559.182629999999</v>
      </c>
      <c r="P139" t="n">
        <v>0</v>
      </c>
    </row>
    <row r="140">
      <c r="A140" t="inlineStr">
        <is>
          <t>2</t>
        </is>
      </c>
      <c r="B140" t="inlineStr">
        <is>
          <t>АТ "Укрексімбанк"</t>
        </is>
      </c>
      <c r="C140" t="inlineStr">
        <is>
          <t>Державний</t>
        </is>
      </c>
      <c r="D140" t="inlineStr">
        <is>
          <t>2076</t>
        </is>
      </c>
      <c r="E140" t="inlineStr">
        <is>
          <t>Кредити субʼєктам господарювання (р.20, р.23, 260)</t>
        </is>
      </c>
      <c r="F140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0" t="inlineStr">
        <is>
          <t>А</t>
        </is>
      </c>
      <c r="H140" t="n">
        <v>1208.33182</v>
      </c>
      <c r="I140" t="n">
        <v>1208.33182</v>
      </c>
      <c r="J140" t="n">
        <v>0</v>
      </c>
      <c r="K140" t="n">
        <v>966.64752</v>
      </c>
      <c r="L140" t="n">
        <v>966.64752</v>
      </c>
      <c r="M140" t="n">
        <v>0</v>
      </c>
      <c r="N140" t="n">
        <v>9559.182629999999</v>
      </c>
      <c r="O140" t="n">
        <v>9559.182629999999</v>
      </c>
      <c r="P140" t="n">
        <v>0</v>
      </c>
    </row>
    <row r="141">
      <c r="A141" t="inlineStr">
        <is>
          <t>2</t>
        </is>
      </c>
      <c r="B141" t="inlineStr">
        <is>
          <t>АТ "Укрексімбанк"</t>
        </is>
      </c>
      <c r="C141" t="inlineStr">
        <is>
          <t>Державний</t>
        </is>
      </c>
      <c r="D141" t="inlineStr">
        <is>
          <t>2076</t>
        </is>
      </c>
      <c r="E141" t="inlineStr">
        <is>
          <t>(без привʼязки)</t>
        </is>
      </c>
      <c r="F141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1" t="inlineStr">
        <is>
          <t>П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-26.1262</v>
      </c>
      <c r="O141" t="n">
        <v>-26.1262</v>
      </c>
      <c r="P141" t="n">
        <v>0</v>
      </c>
    </row>
    <row r="142">
      <c r="A142" t="inlineStr">
        <is>
          <t>2</t>
        </is>
      </c>
      <c r="B142" t="inlineStr">
        <is>
          <t>АТ "Укрексімбанк"</t>
        </is>
      </c>
      <c r="C142" t="inlineStr">
        <is>
          <t>Державний</t>
        </is>
      </c>
      <c r="D142" t="inlineStr">
        <is>
          <t>2076</t>
        </is>
      </c>
      <c r="E142" t="inlineStr">
        <is>
          <t>Кредити субʼєктам господарювання (р.20, р.23, 260)</t>
        </is>
      </c>
      <c r="F142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2" t="inlineStr">
        <is>
          <t>П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-26.1262</v>
      </c>
      <c r="O142" t="n">
        <v>-26.1262</v>
      </c>
      <c r="P142" t="n">
        <v>0</v>
      </c>
    </row>
    <row r="143">
      <c r="A143" t="inlineStr">
        <is>
          <t>2</t>
        </is>
      </c>
      <c r="B143" t="inlineStr">
        <is>
          <t>АТ "Укрексімбанк"</t>
        </is>
      </c>
      <c r="C143" t="inlineStr">
        <is>
          <t>Державний</t>
        </is>
      </c>
      <c r="D143" t="inlineStr">
        <is>
          <t>2078</t>
        </is>
      </c>
      <c r="E143" t="inlineStr">
        <is>
          <t>(без привʼязки)</t>
        </is>
      </c>
      <c r="F143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3" t="inlineStr">
        <is>
          <t>А</t>
        </is>
      </c>
      <c r="H143" t="n">
        <v>12916.62534</v>
      </c>
      <c r="I143" t="n">
        <v>12916.62534</v>
      </c>
      <c r="J143" t="n">
        <v>0</v>
      </c>
      <c r="K143" t="n">
        <v>13835.92087</v>
      </c>
      <c r="L143" t="n">
        <v>13835.92087</v>
      </c>
      <c r="M143" t="n">
        <v>0</v>
      </c>
      <c r="N143" t="n">
        <v>12740.29097</v>
      </c>
      <c r="O143" t="n">
        <v>12740.29097</v>
      </c>
      <c r="P143" t="n">
        <v>0</v>
      </c>
    </row>
    <row r="144">
      <c r="A144" t="inlineStr">
        <is>
          <t>2</t>
        </is>
      </c>
      <c r="B144" t="inlineStr">
        <is>
          <t>АТ "Укрексімбанк"</t>
        </is>
      </c>
      <c r="C144" t="inlineStr">
        <is>
          <t>Державний</t>
        </is>
      </c>
      <c r="D144" t="inlineStr">
        <is>
          <t>2078</t>
        </is>
      </c>
      <c r="E144" t="inlineStr">
        <is>
          <t>Кредити субʼєктам господарювання (р.20, р.23, 260)</t>
        </is>
      </c>
      <c r="F14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4" t="inlineStr">
        <is>
          <t>А</t>
        </is>
      </c>
      <c r="H144" t="n">
        <v>12916.62534</v>
      </c>
      <c r="I144" t="n">
        <v>12916.62534</v>
      </c>
      <c r="J144" t="n">
        <v>0</v>
      </c>
      <c r="K144" t="n">
        <v>13835.92087</v>
      </c>
      <c r="L144" t="n">
        <v>13835.92087</v>
      </c>
      <c r="M144" t="n">
        <v>0</v>
      </c>
      <c r="N144" t="n">
        <v>12740.29097</v>
      </c>
      <c r="O144" t="n">
        <v>12740.29097</v>
      </c>
      <c r="P144" t="n">
        <v>0</v>
      </c>
    </row>
    <row r="145">
      <c r="A145" t="inlineStr">
        <is>
          <t>2</t>
        </is>
      </c>
      <c r="B145" t="inlineStr">
        <is>
          <t>АТ "Укрексімбанк"</t>
        </is>
      </c>
      <c r="C145" t="inlineStr">
        <is>
          <t>Державний</t>
        </is>
      </c>
      <c r="D145" t="inlineStr">
        <is>
          <t>2079</t>
        </is>
      </c>
      <c r="E145" t="inlineStr">
        <is>
          <t>(без привʼязки)</t>
        </is>
      </c>
      <c r="F145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5" t="inlineStr">
        <is>
          <t>П</t>
        </is>
      </c>
      <c r="H145" t="n">
        <v>453.41972</v>
      </c>
      <c r="I145" t="n">
        <v>453.41972</v>
      </c>
      <c r="J145" t="n">
        <v>0</v>
      </c>
      <c r="K145" t="n">
        <v>226.60388</v>
      </c>
      <c r="L145" t="n">
        <v>226.60388</v>
      </c>
      <c r="M145" t="n">
        <v>0</v>
      </c>
      <c r="N145" t="n">
        <v>-4810.81759</v>
      </c>
      <c r="O145" t="n">
        <v>-4810.81759</v>
      </c>
      <c r="P145" t="n">
        <v>0</v>
      </c>
    </row>
    <row r="146">
      <c r="A146" t="inlineStr">
        <is>
          <t>2</t>
        </is>
      </c>
      <c r="B146" t="inlineStr">
        <is>
          <t>АТ "Укрексімбанк"</t>
        </is>
      </c>
      <c r="C146" t="inlineStr">
        <is>
          <t>Державний</t>
        </is>
      </c>
      <c r="D146" t="inlineStr">
        <is>
          <t>2079</t>
        </is>
      </c>
      <c r="E146" t="inlineStr">
        <is>
          <t>Кредити субʼєктам господарювання (р.20, р.23, 260)</t>
        </is>
      </c>
      <c r="F146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6" t="inlineStr">
        <is>
          <t>П</t>
        </is>
      </c>
      <c r="H146" t="n">
        <v>453.41972</v>
      </c>
      <c r="I146" t="n">
        <v>453.41972</v>
      </c>
      <c r="J146" t="n">
        <v>0</v>
      </c>
      <c r="K146" t="n">
        <v>226.60388</v>
      </c>
      <c r="L146" t="n">
        <v>226.60388</v>
      </c>
      <c r="M146" t="n">
        <v>0</v>
      </c>
      <c r="N146" t="n">
        <v>-4810.81759</v>
      </c>
      <c r="O146" t="n">
        <v>-4810.81759</v>
      </c>
      <c r="P146" t="n">
        <v>0</v>
      </c>
    </row>
    <row r="147">
      <c r="A147" t="inlineStr">
        <is>
          <t>2</t>
        </is>
      </c>
      <c r="B147" t="inlineStr">
        <is>
          <t>АТ "Укрексімбанк"</t>
        </is>
      </c>
      <c r="C147" t="inlineStr">
        <is>
          <t>Державний</t>
        </is>
      </c>
      <c r="D147" t="inlineStr">
        <is>
          <t>2083</t>
        </is>
      </c>
      <c r="E147" t="inlineStr">
        <is>
          <t>(без привʼязки)</t>
        </is>
      </c>
      <c r="F147" t="inlineStr">
        <is>
          <t>Іпотечні кредити, що надані суб'єктам господарювання, які обліковуються за амортизованою собівартістю</t>
        </is>
      </c>
      <c r="G147" t="inlineStr">
        <is>
          <t>А</t>
        </is>
      </c>
      <c r="H147" t="n">
        <v>0</v>
      </c>
      <c r="I147" t="n">
        <v>0</v>
      </c>
      <c r="J147" t="n">
        <v>0</v>
      </c>
      <c r="K147" t="n">
        <v>264.921</v>
      </c>
      <c r="L147" t="n">
        <v>264.921</v>
      </c>
      <c r="M147" t="n">
        <v>0</v>
      </c>
      <c r="N147" t="n">
        <v>10534.92235</v>
      </c>
      <c r="O147" t="n">
        <v>10534.92235</v>
      </c>
      <c r="P147" t="n">
        <v>0</v>
      </c>
    </row>
    <row r="148">
      <c r="A148" t="inlineStr">
        <is>
          <t>2</t>
        </is>
      </c>
      <c r="B148" t="inlineStr">
        <is>
          <t>АТ "Укрексімбанк"</t>
        </is>
      </c>
      <c r="C148" t="inlineStr">
        <is>
          <t>Державний</t>
        </is>
      </c>
      <c r="D148" t="inlineStr">
        <is>
          <t>2083</t>
        </is>
      </c>
      <c r="E148" t="inlineStr">
        <is>
          <t>Кредити субʼєктам господарювання (р.20, р.23, 260)</t>
        </is>
      </c>
      <c r="F148" t="inlineStr">
        <is>
          <t>Іпотечні кредити, що надані суб'єктам господарювання, які обліковуються за амортизованою собівартістю</t>
        </is>
      </c>
      <c r="G148" t="inlineStr">
        <is>
          <t>А</t>
        </is>
      </c>
      <c r="H148" t="n">
        <v>0</v>
      </c>
      <c r="I148" t="n">
        <v>0</v>
      </c>
      <c r="J148" t="n">
        <v>0</v>
      </c>
      <c r="K148" t="n">
        <v>264.921</v>
      </c>
      <c r="L148" t="n">
        <v>264.921</v>
      </c>
      <c r="M148" t="n">
        <v>0</v>
      </c>
      <c r="N148" t="n">
        <v>10534.92235</v>
      </c>
      <c r="O148" t="n">
        <v>10534.92235</v>
      </c>
      <c r="P148" t="n">
        <v>0</v>
      </c>
    </row>
    <row r="149">
      <c r="A149" t="inlineStr">
        <is>
          <t>2</t>
        </is>
      </c>
      <c r="B149" t="inlineStr">
        <is>
          <t>АТ "Укрексімбанк"</t>
        </is>
      </c>
      <c r="C149" t="inlineStr">
        <is>
          <t>Державний</t>
        </is>
      </c>
      <c r="D149" t="inlineStr">
        <is>
          <t>2086</t>
        </is>
      </c>
      <c r="E149" t="inlineStr">
        <is>
          <t>(без привʼязки)</t>
        </is>
      </c>
      <c r="F149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49" t="inlineStr">
        <is>
          <t>А</t>
        </is>
      </c>
      <c r="H149" t="n">
        <v>2.11831</v>
      </c>
      <c r="I149" t="n">
        <v>2.11831</v>
      </c>
      <c r="J149" t="n">
        <v>0</v>
      </c>
      <c r="K149" t="n">
        <v>0.01589</v>
      </c>
      <c r="L149" t="n">
        <v>0.01589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2</t>
        </is>
      </c>
      <c r="B150" t="inlineStr">
        <is>
          <t>АТ "Укрексімбанк"</t>
        </is>
      </c>
      <c r="C150" t="inlineStr">
        <is>
          <t>Державний</t>
        </is>
      </c>
      <c r="D150" t="inlineStr">
        <is>
          <t>2086</t>
        </is>
      </c>
      <c r="E150" t="inlineStr">
        <is>
          <t>Кредити субʼєктам господарювання (р.20, р.23, 260)</t>
        </is>
      </c>
      <c r="F150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0" t="inlineStr">
        <is>
          <t>А</t>
        </is>
      </c>
      <c r="H150" t="n">
        <v>2.11831</v>
      </c>
      <c r="I150" t="n">
        <v>2.11831</v>
      </c>
      <c r="J150" t="n">
        <v>0</v>
      </c>
      <c r="K150" t="n">
        <v>0.01589</v>
      </c>
      <c r="L150" t="n">
        <v>0.01589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2</t>
        </is>
      </c>
      <c r="B151" t="inlineStr">
        <is>
          <t>АТ "Укрексімбанк"</t>
        </is>
      </c>
      <c r="C151" t="inlineStr">
        <is>
          <t>Державний</t>
        </is>
      </c>
      <c r="D151" t="inlineStr">
        <is>
          <t>2086</t>
        </is>
      </c>
      <c r="E151" t="inlineStr">
        <is>
          <t>(без привʼязки)</t>
        </is>
      </c>
      <c r="F151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1" t="inlineStr">
        <is>
          <t>П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-47.53721</v>
      </c>
      <c r="O151" t="n">
        <v>-47.53721</v>
      </c>
      <c r="P151" t="n">
        <v>0</v>
      </c>
    </row>
    <row r="152">
      <c r="A152" t="inlineStr">
        <is>
          <t>2</t>
        </is>
      </c>
      <c r="B152" t="inlineStr">
        <is>
          <t>АТ "Укрексімбанк"</t>
        </is>
      </c>
      <c r="C152" t="inlineStr">
        <is>
          <t>Державний</t>
        </is>
      </c>
      <c r="D152" t="inlineStr">
        <is>
          <t>2086</t>
        </is>
      </c>
      <c r="E152" t="inlineStr">
        <is>
          <t>Кредити субʼєктам господарювання (р.20, р.23, 260)</t>
        </is>
      </c>
      <c r="F152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2" t="inlineStr">
        <is>
          <t>П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-47.53721</v>
      </c>
      <c r="O152" t="n">
        <v>-47.53721</v>
      </c>
      <c r="P152" t="n">
        <v>0</v>
      </c>
    </row>
    <row r="153">
      <c r="A153" t="inlineStr">
        <is>
          <t>2</t>
        </is>
      </c>
      <c r="B153" t="inlineStr">
        <is>
          <t>АТ "Укрексімбанк"</t>
        </is>
      </c>
      <c r="C153" t="inlineStr">
        <is>
          <t>Державний</t>
        </is>
      </c>
      <c r="D153" t="inlineStr">
        <is>
          <t>2088</t>
        </is>
      </c>
      <c r="E153" t="inlineStr">
        <is>
          <t>(без привʼязки)</t>
        </is>
      </c>
      <c r="F153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53" t="inlineStr">
        <is>
          <t>А</t>
        </is>
      </c>
      <c r="H153" t="n">
        <v>174.81586</v>
      </c>
      <c r="I153" t="n">
        <v>174.81586</v>
      </c>
      <c r="J153" t="n">
        <v>0</v>
      </c>
      <c r="K153" t="n">
        <v>225.2846</v>
      </c>
      <c r="L153" t="n">
        <v>225.2846</v>
      </c>
      <c r="M153" t="n">
        <v>0</v>
      </c>
      <c r="N153" t="n">
        <v>494.90848</v>
      </c>
      <c r="O153" t="n">
        <v>494.90848</v>
      </c>
      <c r="P153" t="n">
        <v>0</v>
      </c>
    </row>
    <row r="154">
      <c r="A154" t="inlineStr">
        <is>
          <t>2</t>
        </is>
      </c>
      <c r="B154" t="inlineStr">
        <is>
          <t>АТ "Укрексімбанк"</t>
        </is>
      </c>
      <c r="C154" t="inlineStr">
        <is>
          <t>Державний</t>
        </is>
      </c>
      <c r="D154" t="inlineStr">
        <is>
          <t>2088</t>
        </is>
      </c>
      <c r="E154" t="inlineStr">
        <is>
          <t>Кредити субʼєктам господарювання (р.20, р.23, 260)</t>
        </is>
      </c>
      <c r="F15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54" t="inlineStr">
        <is>
          <t>А</t>
        </is>
      </c>
      <c r="H154" t="n">
        <v>174.81586</v>
      </c>
      <c r="I154" t="n">
        <v>174.81586</v>
      </c>
      <c r="J154" t="n">
        <v>0</v>
      </c>
      <c r="K154" t="n">
        <v>225.2846</v>
      </c>
      <c r="L154" t="n">
        <v>225.2846</v>
      </c>
      <c r="M154" t="n">
        <v>0</v>
      </c>
      <c r="N154" t="n">
        <v>494.90848</v>
      </c>
      <c r="O154" t="n">
        <v>494.90848</v>
      </c>
      <c r="P154" t="n">
        <v>0</v>
      </c>
    </row>
    <row r="155">
      <c r="A155" t="inlineStr">
        <is>
          <t>2</t>
        </is>
      </c>
      <c r="B155" t="inlineStr">
        <is>
          <t>АТ "Укрексімбанк"</t>
        </is>
      </c>
      <c r="C155" t="inlineStr">
        <is>
          <t>Державний</t>
        </is>
      </c>
      <c r="D155" t="inlineStr">
        <is>
          <t>2089</t>
        </is>
      </c>
      <c r="E155" t="inlineStr">
        <is>
          <t>(без привʼязки)</t>
        </is>
      </c>
      <c r="F155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55" t="inlineStr">
        <is>
          <t>П</t>
        </is>
      </c>
      <c r="H155" t="n">
        <v>3.43717</v>
      </c>
      <c r="I155" t="n">
        <v>3.43717</v>
      </c>
      <c r="J155" t="n">
        <v>0</v>
      </c>
      <c r="K155" t="n">
        <v>0</v>
      </c>
      <c r="L155" t="n">
        <v>0</v>
      </c>
      <c r="M155" t="n">
        <v>0</v>
      </c>
      <c r="N155" t="n">
        <v>-314.88856</v>
      </c>
      <c r="O155" t="n">
        <v>-314.88856</v>
      </c>
      <c r="P155" t="n">
        <v>0</v>
      </c>
    </row>
    <row r="156">
      <c r="A156" t="inlineStr">
        <is>
          <t>2</t>
        </is>
      </c>
      <c r="B156" t="inlineStr">
        <is>
          <t>АТ "Укрексімбанк"</t>
        </is>
      </c>
      <c r="C156" t="inlineStr">
        <is>
          <t>Державний</t>
        </is>
      </c>
      <c r="D156" t="inlineStr">
        <is>
          <t>2089</t>
        </is>
      </c>
      <c r="E156" t="inlineStr">
        <is>
          <t>Кредити субʼєктам господарювання (р.20, р.23, 260)</t>
        </is>
      </c>
      <c r="F156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56" t="inlineStr">
        <is>
          <t>П</t>
        </is>
      </c>
      <c r="H156" t="n">
        <v>3.43717</v>
      </c>
      <c r="I156" t="n">
        <v>3.43717</v>
      </c>
      <c r="J156" t="n">
        <v>0</v>
      </c>
      <c r="K156" t="n">
        <v>0</v>
      </c>
      <c r="L156" t="n">
        <v>0</v>
      </c>
      <c r="M156" t="n">
        <v>0</v>
      </c>
      <c r="N156" t="n">
        <v>-314.88856</v>
      </c>
      <c r="O156" t="n">
        <v>-314.88856</v>
      </c>
      <c r="P156" t="n">
        <v>0</v>
      </c>
    </row>
    <row r="157">
      <c r="A157" t="inlineStr">
        <is>
          <t>2</t>
        </is>
      </c>
      <c r="B157" t="inlineStr">
        <is>
          <t>АТ "Укрексімбанк"</t>
        </is>
      </c>
      <c r="C157" t="inlineStr">
        <is>
          <t>Державний</t>
        </is>
      </c>
      <c r="D157" t="inlineStr">
        <is>
          <t>2103</t>
        </is>
      </c>
      <c r="E157" t="inlineStr">
        <is>
          <t>(без привʼязки)</t>
        </is>
      </c>
      <c r="F157" t="inlineStr">
        <is>
          <t>Кредити, що надані органам державної влади, які обліковуються за амортизованою собівартістю</t>
        </is>
      </c>
      <c r="G157" t="inlineStr">
        <is>
          <t>А</t>
        </is>
      </c>
      <c r="H157" t="n">
        <v>28556.91673</v>
      </c>
      <c r="I157" t="n">
        <v>0</v>
      </c>
      <c r="J157" t="n">
        <v>28556.91673</v>
      </c>
      <c r="K157" t="n">
        <v>239511.27768</v>
      </c>
      <c r="L157" t="n">
        <v>27777.77778</v>
      </c>
      <c r="M157" t="n">
        <v>211733.4999</v>
      </c>
      <c r="N157" t="n">
        <v>1768230.7815</v>
      </c>
      <c r="O157" t="n">
        <v>27777.7777</v>
      </c>
      <c r="P157" t="n">
        <v>1740453.0038</v>
      </c>
    </row>
    <row r="158">
      <c r="A158" t="inlineStr">
        <is>
          <t>2</t>
        </is>
      </c>
      <c r="B158" t="inlineStr">
        <is>
          <t>АТ "Укрексімбанк"</t>
        </is>
      </c>
      <c r="C158" t="inlineStr">
        <is>
          <t>Державний</t>
        </is>
      </c>
      <c r="D158" t="inlineStr">
        <is>
          <t>2103</t>
        </is>
      </c>
      <c r="E158" t="inlineStr">
        <is>
          <t>Кредити ЗДУ (р.21)</t>
        </is>
      </c>
      <c r="F158" t="inlineStr">
        <is>
          <t>Кредити, що надані органам державної влади, які обліковуються за амортизованою собівартістю</t>
        </is>
      </c>
      <c r="G158" t="inlineStr">
        <is>
          <t>А</t>
        </is>
      </c>
      <c r="H158" t="n">
        <v>28556.91673</v>
      </c>
      <c r="I158" t="n">
        <v>0</v>
      </c>
      <c r="J158" t="n">
        <v>28556.91673</v>
      </c>
      <c r="K158" t="n">
        <v>239511.27768</v>
      </c>
      <c r="L158" t="n">
        <v>27777.77778</v>
      </c>
      <c r="M158" t="n">
        <v>211733.4999</v>
      </c>
      <c r="N158" t="n">
        <v>1768230.7815</v>
      </c>
      <c r="O158" t="n">
        <v>27777.7777</v>
      </c>
      <c r="P158" t="n">
        <v>1740453.0038</v>
      </c>
    </row>
    <row r="159">
      <c r="A159" t="inlineStr">
        <is>
          <t>2</t>
        </is>
      </c>
      <c r="B159" t="inlineStr">
        <is>
          <t>АТ "Укрексімбанк"</t>
        </is>
      </c>
      <c r="C159" t="inlineStr">
        <is>
          <t>Державний</t>
        </is>
      </c>
      <c r="D159" t="inlineStr">
        <is>
          <t>2106</t>
        </is>
      </c>
      <c r="E159" t="inlineStr">
        <is>
          <t>(без привʼязки)</t>
        </is>
      </c>
      <c r="F159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59" t="inlineStr">
        <is>
          <t>А</t>
        </is>
      </c>
      <c r="H159" t="n">
        <v>160.84783</v>
      </c>
      <c r="I159" t="n">
        <v>2.24768</v>
      </c>
      <c r="J159" t="n">
        <v>158.60015</v>
      </c>
      <c r="K159" t="n">
        <v>13.99129</v>
      </c>
      <c r="L159" t="n">
        <v>0.91211</v>
      </c>
      <c r="M159" t="n">
        <v>13.07918</v>
      </c>
      <c r="N159" t="n">
        <v>0.29191</v>
      </c>
      <c r="O159" t="n">
        <v>0.29191</v>
      </c>
      <c r="P159" t="n">
        <v>0</v>
      </c>
    </row>
    <row r="160">
      <c r="A160" t="inlineStr">
        <is>
          <t>2</t>
        </is>
      </c>
      <c r="B160" t="inlineStr">
        <is>
          <t>АТ "Укрексімбанк"</t>
        </is>
      </c>
      <c r="C160" t="inlineStr">
        <is>
          <t>Державний</t>
        </is>
      </c>
      <c r="D160" t="inlineStr">
        <is>
          <t>2106</t>
        </is>
      </c>
      <c r="E160" t="inlineStr">
        <is>
          <t>Кредити ЗДУ (р.21)</t>
        </is>
      </c>
      <c r="F160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0" t="inlineStr">
        <is>
          <t>А</t>
        </is>
      </c>
      <c r="H160" t="n">
        <v>160.84783</v>
      </c>
      <c r="I160" t="n">
        <v>2.24768</v>
      </c>
      <c r="J160" t="n">
        <v>158.60015</v>
      </c>
      <c r="K160" t="n">
        <v>13.99129</v>
      </c>
      <c r="L160" t="n">
        <v>0.91211</v>
      </c>
      <c r="M160" t="n">
        <v>13.07918</v>
      </c>
      <c r="N160" t="n">
        <v>0.29191</v>
      </c>
      <c r="O160" t="n">
        <v>0.29191</v>
      </c>
      <c r="P160" t="n">
        <v>0</v>
      </c>
    </row>
    <row r="161">
      <c r="A161" t="inlineStr">
        <is>
          <t>2</t>
        </is>
      </c>
      <c r="B161" t="inlineStr">
        <is>
          <t>АТ "Укрексімбанк"</t>
        </is>
      </c>
      <c r="C161" t="inlineStr">
        <is>
          <t>Державний</t>
        </is>
      </c>
      <c r="D161" t="inlineStr">
        <is>
          <t>2106</t>
        </is>
      </c>
      <c r="E161" t="inlineStr">
        <is>
          <t>(без привʼязки)</t>
        </is>
      </c>
      <c r="F161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1" t="inlineStr">
        <is>
          <t>П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-685.72498</v>
      </c>
      <c r="O161" t="n">
        <v>0</v>
      </c>
      <c r="P161" t="n">
        <v>-685.72498</v>
      </c>
    </row>
    <row r="162">
      <c r="A162" t="inlineStr">
        <is>
          <t>2</t>
        </is>
      </c>
      <c r="B162" t="inlineStr">
        <is>
          <t>АТ "Укрексімбанк"</t>
        </is>
      </c>
      <c r="C162" t="inlineStr">
        <is>
          <t>Державний</t>
        </is>
      </c>
      <c r="D162" t="inlineStr">
        <is>
          <t>2106</t>
        </is>
      </c>
      <c r="E162" t="inlineStr">
        <is>
          <t>Кредити ЗДУ (р.21)</t>
        </is>
      </c>
      <c r="F162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2" t="inlineStr">
        <is>
          <t>П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-685.72498</v>
      </c>
      <c r="O162" t="n">
        <v>0</v>
      </c>
      <c r="P162" t="n">
        <v>-685.72498</v>
      </c>
    </row>
    <row r="163">
      <c r="A163" t="inlineStr">
        <is>
          <t>2</t>
        </is>
      </c>
      <c r="B163" t="inlineStr">
        <is>
          <t>АТ "Укрексімбанк"</t>
        </is>
      </c>
      <c r="C163" t="inlineStr">
        <is>
          <t>Державний</t>
        </is>
      </c>
      <c r="D163" t="inlineStr">
        <is>
          <t>2108</t>
        </is>
      </c>
      <c r="E163" t="inlineStr">
        <is>
          <t>(без привʼязки)</t>
        </is>
      </c>
      <c r="F163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63" t="inlineStr">
        <is>
          <t>А</t>
        </is>
      </c>
      <c r="H163" t="n">
        <v>8773.93296</v>
      </c>
      <c r="I163" t="n">
        <v>550.92592</v>
      </c>
      <c r="J163" t="n">
        <v>8223.00704</v>
      </c>
      <c r="K163" t="n">
        <v>10455.59839</v>
      </c>
      <c r="L163" t="n">
        <v>1037.03704</v>
      </c>
      <c r="M163" t="n">
        <v>9418.56135</v>
      </c>
      <c r="N163" t="n">
        <v>8717.14237</v>
      </c>
      <c r="O163" t="n">
        <v>550.92592</v>
      </c>
      <c r="P163" t="n">
        <v>8166.21645</v>
      </c>
    </row>
    <row r="164">
      <c r="A164" t="inlineStr">
        <is>
          <t>2</t>
        </is>
      </c>
      <c r="B164" t="inlineStr">
        <is>
          <t>АТ "Укрексімбанк"</t>
        </is>
      </c>
      <c r="C164" t="inlineStr">
        <is>
          <t>Державний</t>
        </is>
      </c>
      <c r="D164" t="inlineStr">
        <is>
          <t>2108</t>
        </is>
      </c>
      <c r="E164" t="inlineStr">
        <is>
          <t>Кредити ЗДУ (р.21)</t>
        </is>
      </c>
      <c r="F16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64" t="inlineStr">
        <is>
          <t>А</t>
        </is>
      </c>
      <c r="H164" t="n">
        <v>8773.93296</v>
      </c>
      <c r="I164" t="n">
        <v>550.92592</v>
      </c>
      <c r="J164" t="n">
        <v>8223.00704</v>
      </c>
      <c r="K164" t="n">
        <v>10455.59839</v>
      </c>
      <c r="L164" t="n">
        <v>1037.03704</v>
      </c>
      <c r="M164" t="n">
        <v>9418.56135</v>
      </c>
      <c r="N164" t="n">
        <v>8717.14237</v>
      </c>
      <c r="O164" t="n">
        <v>550.92592</v>
      </c>
      <c r="P164" t="n">
        <v>8166.21645</v>
      </c>
    </row>
    <row r="165">
      <c r="A165" t="inlineStr">
        <is>
          <t>2</t>
        </is>
      </c>
      <c r="B165" t="inlineStr">
        <is>
          <t>АТ "Укрексімбанк"</t>
        </is>
      </c>
      <c r="C165" t="inlineStr">
        <is>
          <t>Державний</t>
        </is>
      </c>
      <c r="D165" t="inlineStr">
        <is>
          <t>2109</t>
        </is>
      </c>
      <c r="E165" t="inlineStr">
        <is>
          <t>(без привʼязки)</t>
        </is>
      </c>
      <c r="F165" t="inlineStr">
        <is>
          <t>Резерв за кредитами, що надані органам державної влади, які обліковуються за амортизованою собівартістю</t>
        </is>
      </c>
      <c r="G165" t="inlineStr">
        <is>
          <t>П</t>
        </is>
      </c>
      <c r="H165" t="n">
        <v>3544.46799</v>
      </c>
      <c r="I165" t="n">
        <v>200.14429</v>
      </c>
      <c r="J165" t="n">
        <v>3344.3237</v>
      </c>
      <c r="K165" t="n">
        <v>1784.79037</v>
      </c>
      <c r="L165" t="n">
        <v>0</v>
      </c>
      <c r="M165" t="n">
        <v>1784.79037</v>
      </c>
      <c r="N165" t="n">
        <v>-95624.33435</v>
      </c>
      <c r="O165" t="n">
        <v>-101.51696</v>
      </c>
      <c r="P165" t="n">
        <v>-95522.81739</v>
      </c>
    </row>
    <row r="166">
      <c r="A166" t="inlineStr">
        <is>
          <t>2</t>
        </is>
      </c>
      <c r="B166" t="inlineStr">
        <is>
          <t>АТ "Укрексімбанк"</t>
        </is>
      </c>
      <c r="C166" t="inlineStr">
        <is>
          <t>Державний</t>
        </is>
      </c>
      <c r="D166" t="inlineStr">
        <is>
          <t>2109</t>
        </is>
      </c>
      <c r="E166" t="inlineStr">
        <is>
          <t>Кредити ЗДУ (р.21)</t>
        </is>
      </c>
      <c r="F166" t="inlineStr">
        <is>
          <t>Резерв за кредитами, що надані органам державної влади, які обліковуються за амортизованою собівартістю</t>
        </is>
      </c>
      <c r="G166" t="inlineStr">
        <is>
          <t>П</t>
        </is>
      </c>
      <c r="H166" t="n">
        <v>3544.46799</v>
      </c>
      <c r="I166" t="n">
        <v>200.14429</v>
      </c>
      <c r="J166" t="n">
        <v>3344.3237</v>
      </c>
      <c r="K166" t="n">
        <v>1784.79037</v>
      </c>
      <c r="L166" t="n">
        <v>0</v>
      </c>
      <c r="M166" t="n">
        <v>1784.79037</v>
      </c>
      <c r="N166" t="n">
        <v>-95624.33435</v>
      </c>
      <c r="O166" t="n">
        <v>-101.51696</v>
      </c>
      <c r="P166" t="n">
        <v>-95522.81739</v>
      </c>
    </row>
    <row r="167">
      <c r="A167" t="inlineStr">
        <is>
          <t>2</t>
        </is>
      </c>
      <c r="B167" t="inlineStr">
        <is>
          <t>АТ "Укрексімбанк"</t>
        </is>
      </c>
      <c r="C167" t="inlineStr">
        <is>
          <t>Державний</t>
        </is>
      </c>
      <c r="D167" t="inlineStr">
        <is>
          <t>2113</t>
        </is>
      </c>
      <c r="E167" t="inlineStr">
        <is>
          <t>(без привʼязки)</t>
        </is>
      </c>
      <c r="F167" t="inlineStr">
        <is>
          <t>Кредити, що надані органам місцевого самоврядування, які обліковуються за амортизованою собівартістю</t>
        </is>
      </c>
      <c r="G167" t="inlineStr">
        <is>
          <t>А</t>
        </is>
      </c>
      <c r="H167" t="n">
        <v>134945.36301</v>
      </c>
      <c r="I167" t="n">
        <v>118059.00479</v>
      </c>
      <c r="J167" t="n">
        <v>16886.35822</v>
      </c>
      <c r="K167" t="n">
        <v>189652.8194</v>
      </c>
      <c r="L167" t="n">
        <v>86463.45772000001</v>
      </c>
      <c r="M167" t="n">
        <v>103189.36168</v>
      </c>
      <c r="N167" t="n">
        <v>898507.29985</v>
      </c>
      <c r="O167" t="n">
        <v>254480.20364</v>
      </c>
      <c r="P167" t="n">
        <v>644027.09621</v>
      </c>
    </row>
    <row r="168">
      <c r="A168" t="inlineStr">
        <is>
          <t>2</t>
        </is>
      </c>
      <c r="B168" t="inlineStr">
        <is>
          <t>АТ "Укрексімбанк"</t>
        </is>
      </c>
      <c r="C168" t="inlineStr">
        <is>
          <t>Державний</t>
        </is>
      </c>
      <c r="D168" t="inlineStr">
        <is>
          <t>2113</t>
        </is>
      </c>
      <c r="E168" t="inlineStr">
        <is>
          <t>Кредити ЗДУ (р.21)</t>
        </is>
      </c>
      <c r="F168" t="inlineStr">
        <is>
          <t>Кредити, що надані органам місцевого самоврядування, які обліковуються за амортизованою собівартістю</t>
        </is>
      </c>
      <c r="G168" t="inlineStr">
        <is>
          <t>А</t>
        </is>
      </c>
      <c r="H168" t="n">
        <v>134945.36301</v>
      </c>
      <c r="I168" t="n">
        <v>118059.00479</v>
      </c>
      <c r="J168" t="n">
        <v>16886.35822</v>
      </c>
      <c r="K168" t="n">
        <v>189652.8194</v>
      </c>
      <c r="L168" t="n">
        <v>86463.45772000001</v>
      </c>
      <c r="M168" t="n">
        <v>103189.36168</v>
      </c>
      <c r="N168" t="n">
        <v>898507.29985</v>
      </c>
      <c r="O168" t="n">
        <v>254480.20364</v>
      </c>
      <c r="P168" t="n">
        <v>644027.09621</v>
      </c>
    </row>
    <row r="169">
      <c r="A169" t="inlineStr">
        <is>
          <t>2</t>
        </is>
      </c>
      <c r="B169" t="inlineStr">
        <is>
          <t>АТ "Укрексімбанк"</t>
        </is>
      </c>
      <c r="C169" t="inlineStr">
        <is>
          <t>Державний</t>
        </is>
      </c>
      <c r="D169" t="inlineStr">
        <is>
          <t>2116</t>
        </is>
      </c>
      <c r="E169" t="inlineStr">
        <is>
          <t>(без привʼязки)</t>
        </is>
      </c>
      <c r="F169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69" t="inlineStr">
        <is>
          <t>А</t>
        </is>
      </c>
      <c r="H169" t="n">
        <v>15.0306</v>
      </c>
      <c r="I169" t="n">
        <v>9.71166</v>
      </c>
      <c r="J169" t="n">
        <v>5.31894</v>
      </c>
      <c r="K169" t="n">
        <v>12.80543</v>
      </c>
      <c r="L169" t="n">
        <v>11.22218</v>
      </c>
      <c r="M169" t="n">
        <v>1.58325</v>
      </c>
      <c r="N169" t="n">
        <v>11.11389</v>
      </c>
      <c r="O169" t="n">
        <v>11.00637</v>
      </c>
      <c r="P169" t="n">
        <v>0.10752</v>
      </c>
    </row>
    <row r="170">
      <c r="A170" t="inlineStr">
        <is>
          <t>2</t>
        </is>
      </c>
      <c r="B170" t="inlineStr">
        <is>
          <t>АТ "Укрексімбанк"</t>
        </is>
      </c>
      <c r="C170" t="inlineStr">
        <is>
          <t>Державний</t>
        </is>
      </c>
      <c r="D170" t="inlineStr">
        <is>
          <t>2116</t>
        </is>
      </c>
      <c r="E170" t="inlineStr">
        <is>
          <t>Кредити ЗДУ (р.21)</t>
        </is>
      </c>
      <c r="F170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0" t="inlineStr">
        <is>
          <t>А</t>
        </is>
      </c>
      <c r="H170" t="n">
        <v>15.0306</v>
      </c>
      <c r="I170" t="n">
        <v>9.71166</v>
      </c>
      <c r="J170" t="n">
        <v>5.31894</v>
      </c>
      <c r="K170" t="n">
        <v>12.80543</v>
      </c>
      <c r="L170" t="n">
        <v>11.22218</v>
      </c>
      <c r="M170" t="n">
        <v>1.58325</v>
      </c>
      <c r="N170" t="n">
        <v>11.11389</v>
      </c>
      <c r="O170" t="n">
        <v>11.00637</v>
      </c>
      <c r="P170" t="n">
        <v>0.10752</v>
      </c>
    </row>
    <row r="171">
      <c r="A171" t="inlineStr">
        <is>
          <t>2</t>
        </is>
      </c>
      <c r="B171" t="inlineStr">
        <is>
          <t>АТ "Укрексімбанк"</t>
        </is>
      </c>
      <c r="C171" t="inlineStr">
        <is>
          <t>Державний</t>
        </is>
      </c>
      <c r="D171" t="inlineStr">
        <is>
          <t>2116</t>
        </is>
      </c>
      <c r="E171" t="inlineStr">
        <is>
          <t>(без привʼязки)</t>
        </is>
      </c>
      <c r="F171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1" t="inlineStr">
        <is>
          <t>П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-43.80282</v>
      </c>
      <c r="O171" t="n">
        <v>-16.28794</v>
      </c>
      <c r="P171" t="n">
        <v>-27.51488</v>
      </c>
    </row>
    <row r="172">
      <c r="A172" t="inlineStr">
        <is>
          <t>2</t>
        </is>
      </c>
      <c r="B172" t="inlineStr">
        <is>
          <t>АТ "Укрексімбанк"</t>
        </is>
      </c>
      <c r="C172" t="inlineStr">
        <is>
          <t>Державний</t>
        </is>
      </c>
      <c r="D172" t="inlineStr">
        <is>
          <t>2116</t>
        </is>
      </c>
      <c r="E172" t="inlineStr">
        <is>
          <t>Кредити ЗДУ (р.21)</t>
        </is>
      </c>
      <c r="F172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2" t="inlineStr">
        <is>
          <t>П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-43.80282</v>
      </c>
      <c r="O172" t="n">
        <v>-16.28794</v>
      </c>
      <c r="P172" t="n">
        <v>-27.51488</v>
      </c>
    </row>
    <row r="173">
      <c r="A173" t="inlineStr">
        <is>
          <t>2</t>
        </is>
      </c>
      <c r="B173" t="inlineStr">
        <is>
          <t>АТ "Укрексімбанк"</t>
        </is>
      </c>
      <c r="C173" t="inlineStr">
        <is>
          <t>Державний</t>
        </is>
      </c>
      <c r="D173" t="inlineStr">
        <is>
          <t>2118</t>
        </is>
      </c>
      <c r="E173" t="inlineStr">
        <is>
          <t>(без привʼязки)</t>
        </is>
      </c>
      <c r="F173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73" t="inlineStr">
        <is>
          <t>А</t>
        </is>
      </c>
      <c r="H173" t="n">
        <v>6669.12381</v>
      </c>
      <c r="I173" t="n">
        <v>3765.77657</v>
      </c>
      <c r="J173" t="n">
        <v>2903.34724</v>
      </c>
      <c r="K173" t="n">
        <v>5688.5269</v>
      </c>
      <c r="L173" t="n">
        <v>2676.52436</v>
      </c>
      <c r="M173" t="n">
        <v>3012.00254</v>
      </c>
      <c r="N173" t="n">
        <v>6644.63204</v>
      </c>
      <c r="O173" t="n">
        <v>3765.77657</v>
      </c>
      <c r="P173" t="n">
        <v>2878.85547</v>
      </c>
    </row>
    <row r="174">
      <c r="A174" t="inlineStr">
        <is>
          <t>2</t>
        </is>
      </c>
      <c r="B174" t="inlineStr">
        <is>
          <t>АТ "Укрексімбанк"</t>
        </is>
      </c>
      <c r="C174" t="inlineStr">
        <is>
          <t>Державний</t>
        </is>
      </c>
      <c r="D174" t="inlineStr">
        <is>
          <t>2118</t>
        </is>
      </c>
      <c r="E174" t="inlineStr">
        <is>
          <t>Кредити ЗДУ (р.21)</t>
        </is>
      </c>
      <c r="F17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74" t="inlineStr">
        <is>
          <t>А</t>
        </is>
      </c>
      <c r="H174" t="n">
        <v>6669.12381</v>
      </c>
      <c r="I174" t="n">
        <v>3765.77657</v>
      </c>
      <c r="J174" t="n">
        <v>2903.34724</v>
      </c>
      <c r="K174" t="n">
        <v>5688.5269</v>
      </c>
      <c r="L174" t="n">
        <v>2676.52436</v>
      </c>
      <c r="M174" t="n">
        <v>3012.00254</v>
      </c>
      <c r="N174" t="n">
        <v>6644.63204</v>
      </c>
      <c r="O174" t="n">
        <v>3765.77657</v>
      </c>
      <c r="P174" t="n">
        <v>2878.85547</v>
      </c>
    </row>
    <row r="175">
      <c r="A175" t="inlineStr">
        <is>
          <t>2</t>
        </is>
      </c>
      <c r="B175" t="inlineStr">
        <is>
          <t>АТ "Укрексімбанк"</t>
        </is>
      </c>
      <c r="C175" t="inlineStr">
        <is>
          <t>Державний</t>
        </is>
      </c>
      <c r="D175" t="inlineStr">
        <is>
          <t>2119</t>
        </is>
      </c>
      <c r="E175" t="inlineStr">
        <is>
          <t>(без привʼязки)</t>
        </is>
      </c>
      <c r="F175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75" t="inlineStr">
        <is>
          <t>П</t>
        </is>
      </c>
      <c r="H175" t="n">
        <v>6340.15648</v>
      </c>
      <c r="I175" t="n">
        <v>2202.94782</v>
      </c>
      <c r="J175" t="n">
        <v>4137.20866</v>
      </c>
      <c r="K175" t="n">
        <v>4189.0341</v>
      </c>
      <c r="L175" t="n">
        <v>3506.30591</v>
      </c>
      <c r="M175" t="n">
        <v>682.72819</v>
      </c>
      <c r="N175" t="n">
        <v>-41568.60112</v>
      </c>
      <c r="O175" t="n">
        <v>-15707.20539</v>
      </c>
      <c r="P175" t="n">
        <v>-25861.39573</v>
      </c>
    </row>
    <row r="176">
      <c r="A176" t="inlineStr">
        <is>
          <t>2</t>
        </is>
      </c>
      <c r="B176" t="inlineStr">
        <is>
          <t>АТ "Укрексімбанк"</t>
        </is>
      </c>
      <c r="C176" t="inlineStr">
        <is>
          <t>Державний</t>
        </is>
      </c>
      <c r="D176" t="inlineStr">
        <is>
          <t>2119</t>
        </is>
      </c>
      <c r="E176" t="inlineStr">
        <is>
          <t>Кредити ЗДУ (р.21)</t>
        </is>
      </c>
      <c r="F176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76" t="inlineStr">
        <is>
          <t>П</t>
        </is>
      </c>
      <c r="H176" t="n">
        <v>6340.15648</v>
      </c>
      <c r="I176" t="n">
        <v>2202.94782</v>
      </c>
      <c r="J176" t="n">
        <v>4137.20866</v>
      </c>
      <c r="K176" t="n">
        <v>4189.0341</v>
      </c>
      <c r="L176" t="n">
        <v>3506.30591</v>
      </c>
      <c r="M176" t="n">
        <v>682.72819</v>
      </c>
      <c r="N176" t="n">
        <v>-41568.60112</v>
      </c>
      <c r="O176" t="n">
        <v>-15707.20539</v>
      </c>
      <c r="P176" t="n">
        <v>-25861.39573</v>
      </c>
    </row>
    <row r="177">
      <c r="A177" t="inlineStr">
        <is>
          <t>2</t>
        </is>
      </c>
      <c r="B177" t="inlineStr">
        <is>
          <t>АТ "Укрексімбанк"</t>
        </is>
      </c>
      <c r="C177" t="inlineStr">
        <is>
          <t>Державний</t>
        </is>
      </c>
      <c r="D177" t="inlineStr">
        <is>
          <t>2146</t>
        </is>
      </c>
      <c r="E177" t="inlineStr">
        <is>
          <t>(без привʼязки)</t>
        </is>
      </c>
      <c r="F177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77" t="inlineStr">
        <is>
          <t>П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-6953.9931</v>
      </c>
      <c r="O177" t="n">
        <v>-6953.9931</v>
      </c>
      <c r="P177" t="n">
        <v>0</v>
      </c>
    </row>
    <row r="178">
      <c r="A178" t="inlineStr">
        <is>
          <t>2</t>
        </is>
      </c>
      <c r="B178" t="inlineStr">
        <is>
          <t>АТ "Укрексімбанк"</t>
        </is>
      </c>
      <c r="C178" t="inlineStr">
        <is>
          <t>Державний</t>
        </is>
      </c>
      <c r="D178" t="inlineStr">
        <is>
          <t>2146</t>
        </is>
      </c>
      <c r="E178" t="inlineStr">
        <is>
          <t>Кредити ЗДУ (р.21)</t>
        </is>
      </c>
      <c r="F178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78" t="inlineStr">
        <is>
          <t>П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-6953.9931</v>
      </c>
      <c r="O178" t="n">
        <v>-6953.9931</v>
      </c>
      <c r="P178" t="n">
        <v>0</v>
      </c>
    </row>
    <row r="179">
      <c r="A179" t="inlineStr">
        <is>
          <t>2</t>
        </is>
      </c>
      <c r="B179" t="inlineStr">
        <is>
          <t>АТ "Укрексімбанк"</t>
        </is>
      </c>
      <c r="C179" t="inlineStr">
        <is>
          <t>Державний</t>
        </is>
      </c>
      <c r="D179" t="inlineStr">
        <is>
          <t>2148</t>
        </is>
      </c>
      <c r="E179" t="inlineStr">
        <is>
          <t>(без привʼязки)</t>
        </is>
      </c>
      <c r="F179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79" t="inlineStr">
        <is>
          <t>А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6953.9931</v>
      </c>
      <c r="O179" t="n">
        <v>6953.9931</v>
      </c>
      <c r="P179" t="n">
        <v>0</v>
      </c>
    </row>
    <row r="180">
      <c r="A180" t="inlineStr">
        <is>
          <t>2</t>
        </is>
      </c>
      <c r="B180" t="inlineStr">
        <is>
          <t>АТ "Укрексімбанк"</t>
        </is>
      </c>
      <c r="C180" t="inlineStr">
        <is>
          <t>Державний</t>
        </is>
      </c>
      <c r="D180" t="inlineStr">
        <is>
          <t>2148</t>
        </is>
      </c>
      <c r="E180" t="inlineStr">
        <is>
          <t>Кредити ЗДУ (р.21)</t>
        </is>
      </c>
      <c r="F180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0" t="inlineStr">
        <is>
          <t>А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6953.9931</v>
      </c>
      <c r="O180" t="n">
        <v>6953.9931</v>
      </c>
      <c r="P180" t="n">
        <v>0</v>
      </c>
    </row>
    <row r="181">
      <c r="A181" t="inlineStr">
        <is>
          <t>2</t>
        </is>
      </c>
      <c r="B181" t="inlineStr">
        <is>
          <t>АТ "Укрексімбанк"</t>
        </is>
      </c>
      <c r="C181" t="inlineStr">
        <is>
          <t>Державний</t>
        </is>
      </c>
      <c r="D181" t="inlineStr">
        <is>
          <t>2149</t>
        </is>
      </c>
      <c r="E181" t="inlineStr">
        <is>
          <t>(без привʼязки)</t>
        </is>
      </c>
      <c r="F181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1" t="inlineStr">
        <is>
          <t>А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0.02984</v>
      </c>
      <c r="O181" t="n">
        <v>0.02984</v>
      </c>
      <c r="P181" t="n">
        <v>0</v>
      </c>
    </row>
    <row r="182">
      <c r="A182" t="inlineStr">
        <is>
          <t>2</t>
        </is>
      </c>
      <c r="B182" t="inlineStr">
        <is>
          <t>АТ "Укрексімбанк"</t>
        </is>
      </c>
      <c r="C182" t="inlineStr">
        <is>
          <t>Державний</t>
        </is>
      </c>
      <c r="D182" t="inlineStr">
        <is>
          <t>2149</t>
        </is>
      </c>
      <c r="E182" t="inlineStr">
        <is>
          <t>Кредити ЗДУ (р.21)</t>
        </is>
      </c>
      <c r="F182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2" t="inlineStr">
        <is>
          <t>А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0.02984</v>
      </c>
      <c r="O182" t="n">
        <v>0.02984</v>
      </c>
      <c r="P182" t="n">
        <v>0</v>
      </c>
    </row>
    <row r="183">
      <c r="A183" t="inlineStr">
        <is>
          <t>2</t>
        </is>
      </c>
      <c r="B183" t="inlineStr">
        <is>
          <t>АТ "Укрексімбанк"</t>
        </is>
      </c>
      <c r="C183" t="inlineStr">
        <is>
          <t>Державний</t>
        </is>
      </c>
      <c r="D183" t="inlineStr">
        <is>
          <t>2149</t>
        </is>
      </c>
      <c r="E183" t="inlineStr">
        <is>
          <t>(без привʼязки)</t>
        </is>
      </c>
      <c r="F183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3" t="inlineStr">
        <is>
          <t>П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-0.02984</v>
      </c>
      <c r="O183" t="n">
        <v>-0.02984</v>
      </c>
      <c r="P183" t="n">
        <v>0</v>
      </c>
    </row>
    <row r="184">
      <c r="A184" t="inlineStr">
        <is>
          <t>2</t>
        </is>
      </c>
      <c r="B184" t="inlineStr">
        <is>
          <t>АТ "Укрексімбанк"</t>
        </is>
      </c>
      <c r="C184" t="inlineStr">
        <is>
          <t>Державний</t>
        </is>
      </c>
      <c r="D184" t="inlineStr">
        <is>
          <t>2149</t>
        </is>
      </c>
      <c r="E184" t="inlineStr">
        <is>
          <t>Кредити ЗДУ (р.21)</t>
        </is>
      </c>
      <c r="F18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4" t="inlineStr">
        <is>
          <t>П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-0.02984</v>
      </c>
      <c r="O184" t="n">
        <v>-0.02984</v>
      </c>
      <c r="P184" t="n">
        <v>0</v>
      </c>
    </row>
    <row r="185">
      <c r="A185" t="inlineStr">
        <is>
          <t>2</t>
        </is>
      </c>
      <c r="B185" t="inlineStr">
        <is>
          <t>АТ "Укрексімбанк"</t>
        </is>
      </c>
      <c r="C185" t="inlineStr">
        <is>
          <t>Державний</t>
        </is>
      </c>
      <c r="D185" t="inlineStr">
        <is>
          <t>2203</t>
        </is>
      </c>
      <c r="E185" t="inlineStr">
        <is>
          <t>(без привʼязки)</t>
        </is>
      </c>
      <c r="F185" t="inlineStr">
        <is>
          <t>Кредити на поточні потреби, що надані фізичним особам, які обліковуються за амортизованою собівартістю</t>
        </is>
      </c>
      <c r="G185" t="inlineStr">
        <is>
          <t>А</t>
        </is>
      </c>
      <c r="H185" t="n">
        <v>5300.86301</v>
      </c>
      <c r="I185" t="n">
        <v>4432.55781</v>
      </c>
      <c r="J185" t="n">
        <v>868.3052</v>
      </c>
      <c r="K185" t="n">
        <v>8233.19601</v>
      </c>
      <c r="L185" t="n">
        <v>7161.72121</v>
      </c>
      <c r="M185" t="n">
        <v>1071.4748</v>
      </c>
      <c r="N185" t="n">
        <v>108464.95675</v>
      </c>
      <c r="O185" t="n">
        <v>80145.88697000001</v>
      </c>
      <c r="P185" t="n">
        <v>28319.06978</v>
      </c>
    </row>
    <row r="186">
      <c r="A186" t="inlineStr">
        <is>
          <t>2</t>
        </is>
      </c>
      <c r="B186" t="inlineStr">
        <is>
          <t>АТ "Укрексімбанк"</t>
        </is>
      </c>
      <c r="C186" t="inlineStr">
        <is>
          <t>Державний</t>
        </is>
      </c>
      <c r="D186" t="inlineStr">
        <is>
          <t>2203</t>
        </is>
      </c>
      <c r="E186" t="inlineStr">
        <is>
          <t>Кредити фізичним особам (р. 22, 24, 262)</t>
        </is>
      </c>
      <c r="F186" t="inlineStr">
        <is>
          <t>Кредити на поточні потреби, що надані фізичним особам, які обліковуються за амортизованою собівартістю</t>
        </is>
      </c>
      <c r="G186" t="inlineStr">
        <is>
          <t>А</t>
        </is>
      </c>
      <c r="H186" t="n">
        <v>5300.86301</v>
      </c>
      <c r="I186" t="n">
        <v>4432.55781</v>
      </c>
      <c r="J186" t="n">
        <v>868.3052</v>
      </c>
      <c r="K186" t="n">
        <v>8233.19601</v>
      </c>
      <c r="L186" t="n">
        <v>7161.72121</v>
      </c>
      <c r="M186" t="n">
        <v>1071.4748</v>
      </c>
      <c r="N186" t="n">
        <v>108464.95675</v>
      </c>
      <c r="O186" t="n">
        <v>80145.88697000001</v>
      </c>
      <c r="P186" t="n">
        <v>28319.06978</v>
      </c>
    </row>
    <row r="187">
      <c r="A187" t="inlineStr">
        <is>
          <t>2</t>
        </is>
      </c>
      <c r="B187" t="inlineStr">
        <is>
          <t>АТ "Укрексімбанк"</t>
        </is>
      </c>
      <c r="C187" t="inlineStr">
        <is>
          <t>Державний</t>
        </is>
      </c>
      <c r="D187" t="inlineStr">
        <is>
          <t>2206</t>
        </is>
      </c>
      <c r="E187" t="inlineStr">
        <is>
          <t>(без привʼязки)</t>
        </is>
      </c>
      <c r="F18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7" t="inlineStr">
        <is>
          <t>А</t>
        </is>
      </c>
      <c r="H187" t="n">
        <v>0.04938</v>
      </c>
      <c r="I187" t="n">
        <v>0</v>
      </c>
      <c r="J187" t="n">
        <v>0.04938</v>
      </c>
      <c r="K187" t="n">
        <v>0.01649</v>
      </c>
      <c r="L187" t="n">
        <v>0</v>
      </c>
      <c r="M187" t="n">
        <v>0.01649</v>
      </c>
      <c r="N187" t="n">
        <v>0</v>
      </c>
      <c r="O187" t="n">
        <v>0</v>
      </c>
      <c r="P187" t="n">
        <v>0</v>
      </c>
    </row>
    <row r="188">
      <c r="A188" t="inlineStr">
        <is>
          <t>2</t>
        </is>
      </c>
      <c r="B188" t="inlineStr">
        <is>
          <t>АТ "Укрексімбанк"</t>
        </is>
      </c>
      <c r="C188" t="inlineStr">
        <is>
          <t>Державний</t>
        </is>
      </c>
      <c r="D188" t="inlineStr">
        <is>
          <t>2206</t>
        </is>
      </c>
      <c r="E188" t="inlineStr">
        <is>
          <t>Кредити фізичним особам (р. 22, 24, 262)</t>
        </is>
      </c>
      <c r="F188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8" t="inlineStr">
        <is>
          <t>А</t>
        </is>
      </c>
      <c r="H188" t="n">
        <v>0.04938</v>
      </c>
      <c r="I188" t="n">
        <v>0</v>
      </c>
      <c r="J188" t="n">
        <v>0.04938</v>
      </c>
      <c r="K188" t="n">
        <v>0.01649</v>
      </c>
      <c r="L188" t="n">
        <v>0</v>
      </c>
      <c r="M188" t="n">
        <v>0.01649</v>
      </c>
      <c r="N188" t="n">
        <v>0</v>
      </c>
      <c r="O188" t="n">
        <v>0</v>
      </c>
      <c r="P188" t="n">
        <v>0</v>
      </c>
    </row>
    <row r="189">
      <c r="A189" t="inlineStr">
        <is>
          <t>2</t>
        </is>
      </c>
      <c r="B189" t="inlineStr">
        <is>
          <t>АТ "Укрексімбанк"</t>
        </is>
      </c>
      <c r="C189" t="inlineStr">
        <is>
          <t>Державний</t>
        </is>
      </c>
      <c r="D189" t="inlineStr">
        <is>
          <t>2206</t>
        </is>
      </c>
      <c r="E189" t="inlineStr">
        <is>
          <t>(без привʼязки)</t>
        </is>
      </c>
      <c r="F189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9" t="inlineStr">
        <is>
          <t>П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-0.48847</v>
      </c>
      <c r="O189" t="n">
        <v>0</v>
      </c>
      <c r="P189" t="n">
        <v>-0.48847</v>
      </c>
    </row>
    <row r="190">
      <c r="A190" t="inlineStr">
        <is>
          <t>2</t>
        </is>
      </c>
      <c r="B190" t="inlineStr">
        <is>
          <t>АТ "Укрексімбанк"</t>
        </is>
      </c>
      <c r="C190" t="inlineStr">
        <is>
          <t>Державний</t>
        </is>
      </c>
      <c r="D190" t="inlineStr">
        <is>
          <t>2206</t>
        </is>
      </c>
      <c r="E190" t="inlineStr">
        <is>
          <t>Кредити фізичним особам (р. 22, 24, 262)</t>
        </is>
      </c>
      <c r="F190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90" t="inlineStr">
        <is>
          <t>П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-0.48847</v>
      </c>
      <c r="O190" t="n">
        <v>0</v>
      </c>
      <c r="P190" t="n">
        <v>-0.48847</v>
      </c>
    </row>
    <row r="191">
      <c r="A191" t="inlineStr">
        <is>
          <t>2</t>
        </is>
      </c>
      <c r="B191" t="inlineStr">
        <is>
          <t>АТ "Укрексімбанк"</t>
        </is>
      </c>
      <c r="C191" t="inlineStr">
        <is>
          <t>Державний</t>
        </is>
      </c>
      <c r="D191" t="inlineStr">
        <is>
          <t>2208</t>
        </is>
      </c>
      <c r="E191" t="inlineStr">
        <is>
          <t>(без привʼязки)</t>
        </is>
      </c>
      <c r="F191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91" t="inlineStr">
        <is>
          <t>А</t>
        </is>
      </c>
      <c r="H191" t="n">
        <v>2167.99504</v>
      </c>
      <c r="I191" t="n">
        <v>1439.60273</v>
      </c>
      <c r="J191" t="n">
        <v>728.39231</v>
      </c>
      <c r="K191" t="n">
        <v>1844.05246</v>
      </c>
      <c r="L191" t="n">
        <v>1147.254</v>
      </c>
      <c r="M191" t="n">
        <v>696.79846</v>
      </c>
      <c r="N191" t="n">
        <v>89437.50263</v>
      </c>
      <c r="O191" t="n">
        <v>65943.76041</v>
      </c>
      <c r="P191" t="n">
        <v>23493.74222</v>
      </c>
    </row>
    <row r="192">
      <c r="A192" t="inlineStr">
        <is>
          <t>2</t>
        </is>
      </c>
      <c r="B192" t="inlineStr">
        <is>
          <t>АТ "Укрексімбанк"</t>
        </is>
      </c>
      <c r="C192" t="inlineStr">
        <is>
          <t>Державний</t>
        </is>
      </c>
      <c r="D192" t="inlineStr">
        <is>
          <t>2208</t>
        </is>
      </c>
      <c r="E192" t="inlineStr">
        <is>
          <t>Кредити фізичним особам (р. 22, 24, 262)</t>
        </is>
      </c>
      <c r="F192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92" t="inlineStr">
        <is>
          <t>А</t>
        </is>
      </c>
      <c r="H192" t="n">
        <v>2167.99504</v>
      </c>
      <c r="I192" t="n">
        <v>1439.60273</v>
      </c>
      <c r="J192" t="n">
        <v>728.39231</v>
      </c>
      <c r="K192" t="n">
        <v>1844.05246</v>
      </c>
      <c r="L192" t="n">
        <v>1147.254</v>
      </c>
      <c r="M192" t="n">
        <v>696.79846</v>
      </c>
      <c r="N192" t="n">
        <v>89437.50263</v>
      </c>
      <c r="O192" t="n">
        <v>65943.76041</v>
      </c>
      <c r="P192" t="n">
        <v>23493.74222</v>
      </c>
    </row>
    <row r="193">
      <c r="A193" t="inlineStr">
        <is>
          <t>2</t>
        </is>
      </c>
      <c r="B193" t="inlineStr">
        <is>
          <t>АТ "Укрексімбанк"</t>
        </is>
      </c>
      <c r="C193" t="inlineStr">
        <is>
          <t>Державний</t>
        </is>
      </c>
      <c r="D193" t="inlineStr">
        <is>
          <t>2209</t>
        </is>
      </c>
      <c r="E193" t="inlineStr">
        <is>
          <t>(без привʼязки)</t>
        </is>
      </c>
      <c r="F193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93" t="inlineStr">
        <is>
          <t>П</t>
        </is>
      </c>
      <c r="H193" t="n">
        <v>24727.42417</v>
      </c>
      <c r="I193" t="n">
        <v>425.18765</v>
      </c>
      <c r="J193" t="n">
        <v>24302.23652</v>
      </c>
      <c r="K193" t="n">
        <v>24964.0892</v>
      </c>
      <c r="L193" t="n">
        <v>831.41847</v>
      </c>
      <c r="M193" t="n">
        <v>24132.67073</v>
      </c>
      <c r="N193" t="n">
        <v>-182149.71228</v>
      </c>
      <c r="O193" t="n">
        <v>-130403.07373</v>
      </c>
      <c r="P193" t="n">
        <v>-51746.63855</v>
      </c>
    </row>
    <row r="194">
      <c r="A194" t="inlineStr">
        <is>
          <t>2</t>
        </is>
      </c>
      <c r="B194" t="inlineStr">
        <is>
          <t>АТ "Укрексімбанк"</t>
        </is>
      </c>
      <c r="C194" t="inlineStr">
        <is>
          <t>Державний</t>
        </is>
      </c>
      <c r="D194" t="inlineStr">
        <is>
          <t>2209</t>
        </is>
      </c>
      <c r="E194" t="inlineStr">
        <is>
          <t>Кредити фізичним особам (р. 22, 24, 262)</t>
        </is>
      </c>
      <c r="F19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94" t="inlineStr">
        <is>
          <t>П</t>
        </is>
      </c>
      <c r="H194" t="n">
        <v>24727.42417</v>
      </c>
      <c r="I194" t="n">
        <v>425.18765</v>
      </c>
      <c r="J194" t="n">
        <v>24302.23652</v>
      </c>
      <c r="K194" t="n">
        <v>24964.0892</v>
      </c>
      <c r="L194" t="n">
        <v>831.41847</v>
      </c>
      <c r="M194" t="n">
        <v>24132.67073</v>
      </c>
      <c r="N194" t="n">
        <v>-182149.71228</v>
      </c>
      <c r="O194" t="n">
        <v>-130403.07373</v>
      </c>
      <c r="P194" t="n">
        <v>-51746.63855</v>
      </c>
    </row>
    <row r="195">
      <c r="A195" t="inlineStr">
        <is>
          <t>2</t>
        </is>
      </c>
      <c r="B195" t="inlineStr">
        <is>
          <t>АТ "Укрексімбанк"</t>
        </is>
      </c>
      <c r="C195" t="inlineStr">
        <is>
          <t>Державний</t>
        </is>
      </c>
      <c r="D195" t="inlineStr">
        <is>
          <t>2211</t>
        </is>
      </c>
      <c r="E195" t="inlineStr">
        <is>
          <t>(без привʼязки)</t>
        </is>
      </c>
      <c r="F195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95" t="inlineStr">
        <is>
          <t>А</t>
        </is>
      </c>
      <c r="H195" t="n">
        <v>0</v>
      </c>
      <c r="I195" t="n">
        <v>0</v>
      </c>
      <c r="J195" t="n">
        <v>0</v>
      </c>
      <c r="K195" t="n">
        <v>64.71756000000001</v>
      </c>
      <c r="L195" t="n">
        <v>64.71756000000001</v>
      </c>
      <c r="M195" t="n">
        <v>0</v>
      </c>
      <c r="N195" t="n">
        <v>2523.9846</v>
      </c>
      <c r="O195" t="n">
        <v>2523.9846</v>
      </c>
      <c r="P195" t="n">
        <v>0</v>
      </c>
    </row>
    <row r="196">
      <c r="A196" t="inlineStr">
        <is>
          <t>2</t>
        </is>
      </c>
      <c r="B196" t="inlineStr">
        <is>
          <t>АТ "Укрексімбанк"</t>
        </is>
      </c>
      <c r="C196" t="inlineStr">
        <is>
          <t>Державний</t>
        </is>
      </c>
      <c r="D196" t="inlineStr">
        <is>
          <t>2211</t>
        </is>
      </c>
      <c r="E196" t="inlineStr">
        <is>
          <t>Кредити фізичним особам (р. 22, 24, 262)</t>
        </is>
      </c>
      <c r="F196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96" t="inlineStr">
        <is>
          <t>А</t>
        </is>
      </c>
      <c r="H196" t="n">
        <v>0</v>
      </c>
      <c r="I196" t="n">
        <v>0</v>
      </c>
      <c r="J196" t="n">
        <v>0</v>
      </c>
      <c r="K196" t="n">
        <v>64.71756000000001</v>
      </c>
      <c r="L196" t="n">
        <v>64.71756000000001</v>
      </c>
      <c r="M196" t="n">
        <v>0</v>
      </c>
      <c r="N196" t="n">
        <v>2523.9846</v>
      </c>
      <c r="O196" t="n">
        <v>2523.9846</v>
      </c>
      <c r="P196" t="n">
        <v>0</v>
      </c>
    </row>
    <row r="197">
      <c r="A197" t="inlineStr">
        <is>
          <t>2</t>
        </is>
      </c>
      <c r="B197" t="inlineStr">
        <is>
          <t>АТ "Укрексімбанк"</t>
        </is>
      </c>
      <c r="C197" t="inlineStr">
        <is>
          <t>Державний</t>
        </is>
      </c>
      <c r="D197" t="inlineStr">
        <is>
          <t>2216</t>
        </is>
      </c>
      <c r="E197" t="inlineStr">
        <is>
          <t>(без привʼязки)</t>
        </is>
      </c>
      <c r="F19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7" t="inlineStr">
        <is>
          <t>А</t>
        </is>
      </c>
      <c r="H197" t="n">
        <v>0.56563</v>
      </c>
      <c r="I197" t="n">
        <v>0.56563</v>
      </c>
      <c r="J197" t="n">
        <v>0</v>
      </c>
      <c r="K197" t="n">
        <v>0.06532</v>
      </c>
      <c r="L197" t="n">
        <v>0.06532</v>
      </c>
      <c r="M197" t="n">
        <v>0</v>
      </c>
      <c r="N197" t="n">
        <v>529.86792</v>
      </c>
      <c r="O197" t="n">
        <v>529.86792</v>
      </c>
      <c r="P197" t="n">
        <v>0</v>
      </c>
    </row>
    <row r="198">
      <c r="A198" t="inlineStr">
        <is>
          <t>2</t>
        </is>
      </c>
      <c r="B198" t="inlineStr">
        <is>
          <t>АТ "Укрексімбанк"</t>
        </is>
      </c>
      <c r="C198" t="inlineStr">
        <is>
          <t>Державний</t>
        </is>
      </c>
      <c r="D198" t="inlineStr">
        <is>
          <t>2216</t>
        </is>
      </c>
      <c r="E198" t="inlineStr">
        <is>
          <t>Кредити фізичним особам (р. 22, 24, 262)</t>
        </is>
      </c>
      <c r="F198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8" t="inlineStr">
        <is>
          <t>А</t>
        </is>
      </c>
      <c r="H198" t="n">
        <v>0.56563</v>
      </c>
      <c r="I198" t="n">
        <v>0.56563</v>
      </c>
      <c r="J198" t="n">
        <v>0</v>
      </c>
      <c r="K198" t="n">
        <v>0.06532</v>
      </c>
      <c r="L198" t="n">
        <v>0.06532</v>
      </c>
      <c r="M198" t="n">
        <v>0</v>
      </c>
      <c r="N198" t="n">
        <v>529.86792</v>
      </c>
      <c r="O198" t="n">
        <v>529.86792</v>
      </c>
      <c r="P198" t="n">
        <v>0</v>
      </c>
    </row>
    <row r="199">
      <c r="A199" t="inlineStr">
        <is>
          <t>2</t>
        </is>
      </c>
      <c r="B199" t="inlineStr">
        <is>
          <t>АТ "Укрексімбанк"</t>
        </is>
      </c>
      <c r="C199" t="inlineStr">
        <is>
          <t>Державний</t>
        </is>
      </c>
      <c r="D199" t="inlineStr">
        <is>
          <t>2216</t>
        </is>
      </c>
      <c r="E199" t="inlineStr">
        <is>
          <t>(без привʼязки)</t>
        </is>
      </c>
      <c r="F199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9" t="inlineStr">
        <is>
          <t>П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2</t>
        </is>
      </c>
      <c r="B200" t="inlineStr">
        <is>
          <t>АТ "Укрексімбанк"</t>
        </is>
      </c>
      <c r="C200" t="inlineStr">
        <is>
          <t>Державний</t>
        </is>
      </c>
      <c r="D200" t="inlineStr">
        <is>
          <t>2216</t>
        </is>
      </c>
      <c r="E200" t="inlineStr">
        <is>
          <t>Кредити фізичним особам (р. 22, 24, 262)</t>
        </is>
      </c>
      <c r="F200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200" t="inlineStr">
        <is>
          <t>П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2</t>
        </is>
      </c>
      <c r="B201" t="inlineStr">
        <is>
          <t>АТ "Укрексімбанк"</t>
        </is>
      </c>
      <c r="C201" t="inlineStr">
        <is>
          <t>Державний</t>
        </is>
      </c>
      <c r="D201" t="inlineStr">
        <is>
          <t>2218</t>
        </is>
      </c>
      <c r="E201" t="inlineStr">
        <is>
          <t>(без привʼязки)</t>
        </is>
      </c>
      <c r="F201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01" t="inlineStr">
        <is>
          <t>А</t>
        </is>
      </c>
      <c r="H201" t="n">
        <v>65.19141999999999</v>
      </c>
      <c r="I201" t="n">
        <v>65.19141999999999</v>
      </c>
      <c r="J201" t="n">
        <v>0</v>
      </c>
      <c r="K201" t="n">
        <v>67.30574</v>
      </c>
      <c r="L201" t="n">
        <v>67.30574</v>
      </c>
      <c r="M201" t="n">
        <v>0</v>
      </c>
      <c r="N201" t="n">
        <v>65.19141999999999</v>
      </c>
      <c r="O201" t="n">
        <v>65.19141999999999</v>
      </c>
      <c r="P201" t="n">
        <v>0</v>
      </c>
    </row>
    <row r="202">
      <c r="A202" t="inlineStr">
        <is>
          <t>2</t>
        </is>
      </c>
      <c r="B202" t="inlineStr">
        <is>
          <t>АТ "Укрексімбанк"</t>
        </is>
      </c>
      <c r="C202" t="inlineStr">
        <is>
          <t>Державний</t>
        </is>
      </c>
      <c r="D202" t="inlineStr">
        <is>
          <t>2218</t>
        </is>
      </c>
      <c r="E202" t="inlineStr">
        <is>
          <t>Кредити фізичним особам (р. 22, 24, 262)</t>
        </is>
      </c>
      <c r="F202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02" t="inlineStr">
        <is>
          <t>А</t>
        </is>
      </c>
      <c r="H202" t="n">
        <v>65.19141999999999</v>
      </c>
      <c r="I202" t="n">
        <v>65.19141999999999</v>
      </c>
      <c r="J202" t="n">
        <v>0</v>
      </c>
      <c r="K202" t="n">
        <v>67.30574</v>
      </c>
      <c r="L202" t="n">
        <v>67.30574</v>
      </c>
      <c r="M202" t="n">
        <v>0</v>
      </c>
      <c r="N202" t="n">
        <v>65.19141999999999</v>
      </c>
      <c r="O202" t="n">
        <v>65.19141999999999</v>
      </c>
      <c r="P202" t="n">
        <v>0</v>
      </c>
    </row>
    <row r="203">
      <c r="A203" t="inlineStr">
        <is>
          <t>2</t>
        </is>
      </c>
      <c r="B203" t="inlineStr">
        <is>
          <t>АТ "Укрексімбанк"</t>
        </is>
      </c>
      <c r="C203" t="inlineStr">
        <is>
          <t>Державний</t>
        </is>
      </c>
      <c r="D203" t="inlineStr">
        <is>
          <t>2219</t>
        </is>
      </c>
      <c r="E203" t="inlineStr">
        <is>
          <t>(без привʼязки)</t>
        </is>
      </c>
      <c r="F203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03" t="inlineStr">
        <is>
          <t>П</t>
        </is>
      </c>
      <c r="H203" t="n">
        <v>0.5870300000000001</v>
      </c>
      <c r="I203" t="n">
        <v>0.5870300000000001</v>
      </c>
      <c r="J203" t="n">
        <v>0</v>
      </c>
      <c r="K203" t="n">
        <v>0</v>
      </c>
      <c r="L203" t="n">
        <v>0</v>
      </c>
      <c r="M203" t="n">
        <v>0</v>
      </c>
      <c r="N203" t="n">
        <v>-27.60354</v>
      </c>
      <c r="O203" t="n">
        <v>-27.60354</v>
      </c>
      <c r="P203" t="n">
        <v>0</v>
      </c>
    </row>
    <row r="204">
      <c r="A204" t="inlineStr">
        <is>
          <t>2</t>
        </is>
      </c>
      <c r="B204" t="inlineStr">
        <is>
          <t>АТ "Укрексімбанк"</t>
        </is>
      </c>
      <c r="C204" t="inlineStr">
        <is>
          <t>Державний</t>
        </is>
      </c>
      <c r="D204" t="inlineStr">
        <is>
          <t>2219</t>
        </is>
      </c>
      <c r="E204" t="inlineStr">
        <is>
          <t>Кредити фізичним особам (р. 22, 24, 262)</t>
        </is>
      </c>
      <c r="F20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04" t="inlineStr">
        <is>
          <t>П</t>
        </is>
      </c>
      <c r="H204" t="n">
        <v>0.5870300000000001</v>
      </c>
      <c r="I204" t="n">
        <v>0.5870300000000001</v>
      </c>
      <c r="J204" t="n">
        <v>0</v>
      </c>
      <c r="K204" t="n">
        <v>0</v>
      </c>
      <c r="L204" t="n">
        <v>0</v>
      </c>
      <c r="M204" t="n">
        <v>0</v>
      </c>
      <c r="N204" t="n">
        <v>-27.60354</v>
      </c>
      <c r="O204" t="n">
        <v>-27.60354</v>
      </c>
      <c r="P204" t="n">
        <v>0</v>
      </c>
    </row>
    <row r="205">
      <c r="A205" t="inlineStr">
        <is>
          <t>2</t>
        </is>
      </c>
      <c r="B205" t="inlineStr">
        <is>
          <t>АТ "Укрексімбанк"</t>
        </is>
      </c>
      <c r="C205" t="inlineStr">
        <is>
          <t>Державний</t>
        </is>
      </c>
      <c r="D205" t="inlineStr">
        <is>
          <t>2233</t>
        </is>
      </c>
      <c r="E205" t="inlineStr">
        <is>
          <t>(без привʼязки)</t>
        </is>
      </c>
      <c r="F205" t="inlineStr">
        <is>
          <t>Іпотечні кредити, що надані фізичним особам, які обліковуються за амортизованою собівартістю</t>
        </is>
      </c>
      <c r="G205" t="inlineStr">
        <is>
          <t>А</t>
        </is>
      </c>
      <c r="H205" t="n">
        <v>242.11594</v>
      </c>
      <c r="I205" t="n">
        <v>36.51041</v>
      </c>
      <c r="J205" t="n">
        <v>205.60553</v>
      </c>
      <c r="K205" t="n">
        <v>1273.95157</v>
      </c>
      <c r="L205" t="n">
        <v>1008.2214</v>
      </c>
      <c r="M205" t="n">
        <v>265.73017</v>
      </c>
      <c r="N205" t="n">
        <v>132534.70981</v>
      </c>
      <c r="O205" t="n">
        <v>124531.30832</v>
      </c>
      <c r="P205" t="n">
        <v>8003.40149</v>
      </c>
    </row>
    <row r="206">
      <c r="A206" t="inlineStr">
        <is>
          <t>2</t>
        </is>
      </c>
      <c r="B206" t="inlineStr">
        <is>
          <t>АТ "Укрексімбанк"</t>
        </is>
      </c>
      <c r="C206" t="inlineStr">
        <is>
          <t>Державний</t>
        </is>
      </c>
      <c r="D206" t="inlineStr">
        <is>
          <t>2233</t>
        </is>
      </c>
      <c r="E206" t="inlineStr">
        <is>
          <t>Кредити фізичним особам (р. 22, 24, 262)</t>
        </is>
      </c>
      <c r="F206" t="inlineStr">
        <is>
          <t>Іпотечні кредити, що надані фізичним особам, які обліковуються за амортизованою собівартістю</t>
        </is>
      </c>
      <c r="G206" t="inlineStr">
        <is>
          <t>А</t>
        </is>
      </c>
      <c r="H206" t="n">
        <v>242.11594</v>
      </c>
      <c r="I206" t="n">
        <v>36.51041</v>
      </c>
      <c r="J206" t="n">
        <v>205.60553</v>
      </c>
      <c r="K206" t="n">
        <v>1273.95157</v>
      </c>
      <c r="L206" t="n">
        <v>1008.2214</v>
      </c>
      <c r="M206" t="n">
        <v>265.73017</v>
      </c>
      <c r="N206" t="n">
        <v>132534.70981</v>
      </c>
      <c r="O206" t="n">
        <v>124531.30832</v>
      </c>
      <c r="P206" t="n">
        <v>8003.40149</v>
      </c>
    </row>
    <row r="207">
      <c r="A207" t="inlineStr">
        <is>
          <t>2</t>
        </is>
      </c>
      <c r="B207" t="inlineStr">
        <is>
          <t>АТ "Укрексімбанк"</t>
        </is>
      </c>
      <c r="C207" t="inlineStr">
        <is>
          <t>Державний</t>
        </is>
      </c>
      <c r="D207" t="inlineStr">
        <is>
          <t>2236</t>
        </is>
      </c>
      <c r="E207" t="inlineStr">
        <is>
          <t>(без привʼязки)</t>
        </is>
      </c>
      <c r="F20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7" t="inlineStr">
        <is>
          <t>А</t>
        </is>
      </c>
      <c r="H207" t="n">
        <v>46.44233</v>
      </c>
      <c r="I207" t="n">
        <v>45.95105</v>
      </c>
      <c r="J207" t="n">
        <v>0.49128</v>
      </c>
      <c r="K207" t="n">
        <v>0.29449</v>
      </c>
      <c r="L207" t="n">
        <v>0.08866</v>
      </c>
      <c r="M207" t="n">
        <v>0.20583</v>
      </c>
      <c r="N207" t="n">
        <v>4.28783</v>
      </c>
      <c r="O207" t="n">
        <v>2.04278</v>
      </c>
      <c r="P207" t="n">
        <v>2.24505</v>
      </c>
    </row>
    <row r="208">
      <c r="A208" t="inlineStr">
        <is>
          <t>2</t>
        </is>
      </c>
      <c r="B208" t="inlineStr">
        <is>
          <t>АТ "Укрексімбанк"</t>
        </is>
      </c>
      <c r="C208" t="inlineStr">
        <is>
          <t>Державний</t>
        </is>
      </c>
      <c r="D208" t="inlineStr">
        <is>
          <t>2236</t>
        </is>
      </c>
      <c r="E208" t="inlineStr">
        <is>
          <t>Кредити фізичним особам (р. 22, 24, 262)</t>
        </is>
      </c>
      <c r="F208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8" t="inlineStr">
        <is>
          <t>А</t>
        </is>
      </c>
      <c r="H208" t="n">
        <v>46.44233</v>
      </c>
      <c r="I208" t="n">
        <v>45.95105</v>
      </c>
      <c r="J208" t="n">
        <v>0.49128</v>
      </c>
      <c r="K208" t="n">
        <v>0.29449</v>
      </c>
      <c r="L208" t="n">
        <v>0.08866</v>
      </c>
      <c r="M208" t="n">
        <v>0.20583</v>
      </c>
      <c r="N208" t="n">
        <v>4.28783</v>
      </c>
      <c r="O208" t="n">
        <v>2.04278</v>
      </c>
      <c r="P208" t="n">
        <v>2.24505</v>
      </c>
    </row>
    <row r="209">
      <c r="A209" t="inlineStr">
        <is>
          <t>2</t>
        </is>
      </c>
      <c r="B209" t="inlineStr">
        <is>
          <t>АТ "Укрексімбанк"</t>
        </is>
      </c>
      <c r="C209" t="inlineStr">
        <is>
          <t>Державний</t>
        </is>
      </c>
      <c r="D209" t="inlineStr">
        <is>
          <t>2236</t>
        </is>
      </c>
      <c r="E209" t="inlineStr">
        <is>
          <t>(без привʼязки)</t>
        </is>
      </c>
      <c r="F209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9" t="inlineStr">
        <is>
          <t>П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-1980.67218</v>
      </c>
      <c r="O209" t="n">
        <v>-1972.69142</v>
      </c>
      <c r="P209" t="n">
        <v>-7.98076</v>
      </c>
    </row>
    <row r="210">
      <c r="A210" t="inlineStr">
        <is>
          <t>2</t>
        </is>
      </c>
      <c r="B210" t="inlineStr">
        <is>
          <t>АТ "Укрексімбанк"</t>
        </is>
      </c>
      <c r="C210" t="inlineStr">
        <is>
          <t>Державний</t>
        </is>
      </c>
      <c r="D210" t="inlineStr">
        <is>
          <t>2236</t>
        </is>
      </c>
      <c r="E210" t="inlineStr">
        <is>
          <t>Кредити фізичним особам (р. 22, 24, 262)</t>
        </is>
      </c>
      <c r="F210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10" t="inlineStr">
        <is>
          <t>П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-1980.67218</v>
      </c>
      <c r="O210" t="n">
        <v>-1972.69142</v>
      </c>
      <c r="P210" t="n">
        <v>-7.98076</v>
      </c>
    </row>
    <row r="211">
      <c r="A211" t="inlineStr">
        <is>
          <t>2</t>
        </is>
      </c>
      <c r="B211" t="inlineStr">
        <is>
          <t>АТ "Укрексімбанк"</t>
        </is>
      </c>
      <c r="C211" t="inlineStr">
        <is>
          <t>Державний</t>
        </is>
      </c>
      <c r="D211" t="inlineStr">
        <is>
          <t>2238</t>
        </is>
      </c>
      <c r="E211" t="inlineStr">
        <is>
          <t>(без привʼязки)</t>
        </is>
      </c>
      <c r="F211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11" t="inlineStr">
        <is>
          <t>А</t>
        </is>
      </c>
      <c r="H211" t="n">
        <v>858.84387</v>
      </c>
      <c r="I211" t="n">
        <v>782.34523</v>
      </c>
      <c r="J211" t="n">
        <v>76.49863999999999</v>
      </c>
      <c r="K211" t="n">
        <v>932.62272</v>
      </c>
      <c r="L211" t="n">
        <v>874.08467</v>
      </c>
      <c r="M211" t="n">
        <v>58.53805</v>
      </c>
      <c r="N211" t="n">
        <v>3811.83279</v>
      </c>
      <c r="O211" t="n">
        <v>3152.61571</v>
      </c>
      <c r="P211" t="n">
        <v>659.21708</v>
      </c>
    </row>
    <row r="212">
      <c r="A212" t="inlineStr">
        <is>
          <t>2</t>
        </is>
      </c>
      <c r="B212" t="inlineStr">
        <is>
          <t>АТ "Укрексімбанк"</t>
        </is>
      </c>
      <c r="C212" t="inlineStr">
        <is>
          <t>Державний</t>
        </is>
      </c>
      <c r="D212" t="inlineStr">
        <is>
          <t>2238</t>
        </is>
      </c>
      <c r="E212" t="inlineStr">
        <is>
          <t>Кредити фізичним особам (р. 22, 24, 262)</t>
        </is>
      </c>
      <c r="F212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12" t="inlineStr">
        <is>
          <t>А</t>
        </is>
      </c>
      <c r="H212" t="n">
        <v>858.84387</v>
      </c>
      <c r="I212" t="n">
        <v>782.34523</v>
      </c>
      <c r="J212" t="n">
        <v>76.49863999999999</v>
      </c>
      <c r="K212" t="n">
        <v>932.62272</v>
      </c>
      <c r="L212" t="n">
        <v>874.08467</v>
      </c>
      <c r="M212" t="n">
        <v>58.53805</v>
      </c>
      <c r="N212" t="n">
        <v>3811.83279</v>
      </c>
      <c r="O212" t="n">
        <v>3152.61571</v>
      </c>
      <c r="P212" t="n">
        <v>659.21708</v>
      </c>
    </row>
    <row r="213">
      <c r="A213" t="inlineStr">
        <is>
          <t>2</t>
        </is>
      </c>
      <c r="B213" t="inlineStr">
        <is>
          <t>АТ "Укрексімбанк"</t>
        </is>
      </c>
      <c r="C213" t="inlineStr">
        <is>
          <t>Державний</t>
        </is>
      </c>
      <c r="D213" t="inlineStr">
        <is>
          <t>2239</t>
        </is>
      </c>
      <c r="E213" t="inlineStr">
        <is>
          <t>(без привʼязки)</t>
        </is>
      </c>
      <c r="F213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13" t="inlineStr">
        <is>
          <t>П</t>
        </is>
      </c>
      <c r="H213" t="n">
        <v>201.75765</v>
      </c>
      <c r="I213" t="n">
        <v>28.57177</v>
      </c>
      <c r="J213" t="n">
        <v>173.18588</v>
      </c>
      <c r="K213" t="n">
        <v>212.34317</v>
      </c>
      <c r="L213" t="n">
        <v>27.07826</v>
      </c>
      <c r="M213" t="n">
        <v>185.26491</v>
      </c>
      <c r="N213" t="n">
        <v>-10071.18744</v>
      </c>
      <c r="O213" t="n">
        <v>-2424.22215</v>
      </c>
      <c r="P213" t="n">
        <v>-7646.96529</v>
      </c>
    </row>
    <row r="214">
      <c r="A214" t="inlineStr">
        <is>
          <t>2</t>
        </is>
      </c>
      <c r="B214" t="inlineStr">
        <is>
          <t>АТ "Укрексімбанк"</t>
        </is>
      </c>
      <c r="C214" t="inlineStr">
        <is>
          <t>Державний</t>
        </is>
      </c>
      <c r="D214" t="inlineStr">
        <is>
          <t>2239</t>
        </is>
      </c>
      <c r="E214" t="inlineStr">
        <is>
          <t>Кредити фізичним особам (р. 22, 24, 262)</t>
        </is>
      </c>
      <c r="F2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14" t="inlineStr">
        <is>
          <t>П</t>
        </is>
      </c>
      <c r="H214" t="n">
        <v>201.75765</v>
      </c>
      <c r="I214" t="n">
        <v>28.57177</v>
      </c>
      <c r="J214" t="n">
        <v>173.18588</v>
      </c>
      <c r="K214" t="n">
        <v>212.34317</v>
      </c>
      <c r="L214" t="n">
        <v>27.07826</v>
      </c>
      <c r="M214" t="n">
        <v>185.26491</v>
      </c>
      <c r="N214" t="n">
        <v>-10071.18744</v>
      </c>
      <c r="O214" t="n">
        <v>-2424.22215</v>
      </c>
      <c r="P214" t="n">
        <v>-7646.96529</v>
      </c>
    </row>
    <row r="215">
      <c r="A215" t="inlineStr">
        <is>
          <t>2</t>
        </is>
      </c>
      <c r="B215" t="inlineStr">
        <is>
          <t>АТ "Укрексімбанк"</t>
        </is>
      </c>
      <c r="C215" t="inlineStr">
        <is>
          <t>Державний</t>
        </is>
      </c>
      <c r="D215" t="inlineStr">
        <is>
          <t>2240</t>
        </is>
      </c>
      <c r="E215" t="inlineStr">
        <is>
          <t>(без привʼязки)</t>
        </is>
      </c>
      <c r="F215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15" t="inlineStr">
        <is>
          <t>А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2</t>
        </is>
      </c>
      <c r="B216" t="inlineStr">
        <is>
          <t>АТ "Укрексімбанк"</t>
        </is>
      </c>
      <c r="C216" t="inlineStr">
        <is>
          <t>Державний</t>
        </is>
      </c>
      <c r="D216" t="inlineStr">
        <is>
          <t>2240</t>
        </is>
      </c>
      <c r="E216" t="inlineStr">
        <is>
          <t>Кредити фізичним особам (р. 22, 24, 262)</t>
        </is>
      </c>
      <c r="F216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16" t="inlineStr">
        <is>
          <t>А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</t>
        </is>
      </c>
      <c r="B217" t="inlineStr">
        <is>
          <t>АТ "Укрексімбанк"</t>
        </is>
      </c>
      <c r="C217" t="inlineStr">
        <is>
          <t>Державний</t>
        </is>
      </c>
      <c r="D217" t="inlineStr">
        <is>
          <t>2241</t>
        </is>
      </c>
      <c r="E217" t="inlineStr">
        <is>
          <t>(без привʼязки)</t>
        </is>
      </c>
      <c r="F217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17" t="inlineStr">
        <is>
          <t>А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</t>
        </is>
      </c>
      <c r="B218" t="inlineStr">
        <is>
          <t>АТ "Укрексімбанк"</t>
        </is>
      </c>
      <c r="C218" t="inlineStr">
        <is>
          <t>Державний</t>
        </is>
      </c>
      <c r="D218" t="inlineStr">
        <is>
          <t>2241</t>
        </is>
      </c>
      <c r="E218" t="inlineStr">
        <is>
          <t>Кредити фізичним особам (р. 22, 24, 262)</t>
        </is>
      </c>
      <c r="F218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18" t="inlineStr">
        <is>
          <t>А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</t>
        </is>
      </c>
      <c r="B219" t="inlineStr">
        <is>
          <t>АТ "Укрексімбанк"</t>
        </is>
      </c>
      <c r="C219" t="inlineStr">
        <is>
          <t>Державний</t>
        </is>
      </c>
      <c r="D219" t="inlineStr">
        <is>
          <t>2243</t>
        </is>
      </c>
      <c r="E219" t="inlineStr">
        <is>
          <t>(без привʼязки)</t>
        </is>
      </c>
      <c r="F21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19" t="inlineStr">
        <is>
          <t>А</t>
        </is>
      </c>
      <c r="H219" t="n">
        <v>0</v>
      </c>
      <c r="I219" t="n">
        <v>0</v>
      </c>
      <c r="J219" t="n">
        <v>0</v>
      </c>
      <c r="K219" t="n">
        <v>66.46892</v>
      </c>
      <c r="L219" t="n">
        <v>66.46892</v>
      </c>
      <c r="M219" t="n">
        <v>0</v>
      </c>
      <c r="N219" t="n">
        <v>448.64615</v>
      </c>
      <c r="O219" t="n">
        <v>448.64615</v>
      </c>
      <c r="P219" t="n">
        <v>0</v>
      </c>
    </row>
    <row r="220">
      <c r="A220" t="inlineStr">
        <is>
          <t>2</t>
        </is>
      </c>
      <c r="B220" t="inlineStr">
        <is>
          <t>АТ "Укрексімбанк"</t>
        </is>
      </c>
      <c r="C220" t="inlineStr">
        <is>
          <t>Державний</t>
        </is>
      </c>
      <c r="D220" t="inlineStr">
        <is>
          <t>2243</t>
        </is>
      </c>
      <c r="E220" t="inlineStr">
        <is>
          <t>Кредити фізичним особам (р. 22, 24, 262)</t>
        </is>
      </c>
      <c r="F220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20" t="inlineStr">
        <is>
          <t>А</t>
        </is>
      </c>
      <c r="H220" t="n">
        <v>0</v>
      </c>
      <c r="I220" t="n">
        <v>0</v>
      </c>
      <c r="J220" t="n">
        <v>0</v>
      </c>
      <c r="K220" t="n">
        <v>66.46892</v>
      </c>
      <c r="L220" t="n">
        <v>66.46892</v>
      </c>
      <c r="M220" t="n">
        <v>0</v>
      </c>
      <c r="N220" t="n">
        <v>448.64615</v>
      </c>
      <c r="O220" t="n">
        <v>448.64615</v>
      </c>
      <c r="P220" t="n">
        <v>0</v>
      </c>
    </row>
    <row r="221">
      <c r="A221" t="inlineStr">
        <is>
          <t>2</t>
        </is>
      </c>
      <c r="B221" t="inlineStr">
        <is>
          <t>АТ "Укрексімбанк"</t>
        </is>
      </c>
      <c r="C221" t="inlineStr">
        <is>
          <t>Державний</t>
        </is>
      </c>
      <c r="D221" t="inlineStr">
        <is>
          <t>2246</t>
        </is>
      </c>
      <c r="E221" t="inlineStr">
        <is>
          <t>(без привʼязки)</t>
        </is>
      </c>
      <c r="F221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1" t="inlineStr">
        <is>
          <t>А</t>
        </is>
      </c>
      <c r="H221" t="n">
        <v>75.15643</v>
      </c>
      <c r="I221" t="n">
        <v>75.15643</v>
      </c>
      <c r="J221" t="n">
        <v>0</v>
      </c>
      <c r="K221" t="n">
        <v>4.13865</v>
      </c>
      <c r="L221" t="n">
        <v>4.13865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</t>
        </is>
      </c>
      <c r="B222" t="inlineStr">
        <is>
          <t>АТ "Укрексімбанк"</t>
        </is>
      </c>
      <c r="C222" t="inlineStr">
        <is>
          <t>Державний</t>
        </is>
      </c>
      <c r="D222" t="inlineStr">
        <is>
          <t>2246</t>
        </is>
      </c>
      <c r="E222" t="inlineStr">
        <is>
          <t>Кредити фізичним особам (р. 22, 24, 262)</t>
        </is>
      </c>
      <c r="F222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2" t="inlineStr">
        <is>
          <t>А</t>
        </is>
      </c>
      <c r="H222" t="n">
        <v>75.15643</v>
      </c>
      <c r="I222" t="n">
        <v>75.15643</v>
      </c>
      <c r="J222" t="n">
        <v>0</v>
      </c>
      <c r="K222" t="n">
        <v>4.13865</v>
      </c>
      <c r="L222" t="n">
        <v>4.13865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</t>
        </is>
      </c>
      <c r="B223" t="inlineStr">
        <is>
          <t>АТ "Укрексімбанк"</t>
        </is>
      </c>
      <c r="C223" t="inlineStr">
        <is>
          <t>Державний</t>
        </is>
      </c>
      <c r="D223" t="inlineStr">
        <is>
          <t>2246</t>
        </is>
      </c>
      <c r="E223" t="inlineStr">
        <is>
          <t>(без привʼязки)</t>
        </is>
      </c>
      <c r="F223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3" t="inlineStr">
        <is>
          <t>П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-571.16364</v>
      </c>
      <c r="O223" t="n">
        <v>-571.16364</v>
      </c>
      <c r="P223" t="n">
        <v>0</v>
      </c>
    </row>
    <row r="224">
      <c r="A224" t="inlineStr">
        <is>
          <t>2</t>
        </is>
      </c>
      <c r="B224" t="inlineStr">
        <is>
          <t>АТ "Укрексімбанк"</t>
        </is>
      </c>
      <c r="C224" t="inlineStr">
        <is>
          <t>Державний</t>
        </is>
      </c>
      <c r="D224" t="inlineStr">
        <is>
          <t>2246</t>
        </is>
      </c>
      <c r="E224" t="inlineStr">
        <is>
          <t>Кредити фізичним особам (р. 22, 24, 262)</t>
        </is>
      </c>
      <c r="F22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4" t="inlineStr">
        <is>
          <t>П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-571.16364</v>
      </c>
      <c r="O224" t="n">
        <v>-571.16364</v>
      </c>
      <c r="P224" t="n">
        <v>0</v>
      </c>
    </row>
    <row r="225">
      <c r="A225" t="inlineStr">
        <is>
          <t>2</t>
        </is>
      </c>
      <c r="B225" t="inlineStr">
        <is>
          <t>АТ "Укрексімбанк"</t>
        </is>
      </c>
      <c r="C225" t="inlineStr">
        <is>
          <t>Державний</t>
        </is>
      </c>
      <c r="D225" t="inlineStr">
        <is>
          <t>2248</t>
        </is>
      </c>
      <c r="E225" t="inlineStr">
        <is>
          <t>(без привʼязки)</t>
        </is>
      </c>
      <c r="F225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25" t="inlineStr">
        <is>
          <t>А</t>
        </is>
      </c>
      <c r="H225" t="n">
        <v>4.66325</v>
      </c>
      <c r="I225" t="n">
        <v>4.66325</v>
      </c>
      <c r="J225" t="n">
        <v>0</v>
      </c>
      <c r="K225" t="n">
        <v>9.212109999999999</v>
      </c>
      <c r="L225" t="n">
        <v>9.212109999999999</v>
      </c>
      <c r="M225" t="n">
        <v>0</v>
      </c>
      <c r="N225" t="n">
        <v>122.51749</v>
      </c>
      <c r="O225" t="n">
        <v>122.51749</v>
      </c>
      <c r="P225" t="n">
        <v>0</v>
      </c>
    </row>
    <row r="226">
      <c r="A226" t="inlineStr">
        <is>
          <t>2</t>
        </is>
      </c>
      <c r="B226" t="inlineStr">
        <is>
          <t>АТ "Укрексімбанк"</t>
        </is>
      </c>
      <c r="C226" t="inlineStr">
        <is>
          <t>Державний</t>
        </is>
      </c>
      <c r="D226" t="inlineStr">
        <is>
          <t>2248</t>
        </is>
      </c>
      <c r="E226" t="inlineStr">
        <is>
          <t>Кредити фізичним особам (р. 22, 24, 262)</t>
        </is>
      </c>
      <c r="F226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26" t="inlineStr">
        <is>
          <t>А</t>
        </is>
      </c>
      <c r="H226" t="n">
        <v>4.66325</v>
      </c>
      <c r="I226" t="n">
        <v>4.66325</v>
      </c>
      <c r="J226" t="n">
        <v>0</v>
      </c>
      <c r="K226" t="n">
        <v>9.212109999999999</v>
      </c>
      <c r="L226" t="n">
        <v>9.212109999999999</v>
      </c>
      <c r="M226" t="n">
        <v>0</v>
      </c>
      <c r="N226" t="n">
        <v>122.51749</v>
      </c>
      <c r="O226" t="n">
        <v>122.51749</v>
      </c>
      <c r="P226" t="n">
        <v>0</v>
      </c>
    </row>
    <row r="227">
      <c r="A227" t="inlineStr">
        <is>
          <t>2</t>
        </is>
      </c>
      <c r="B227" t="inlineStr">
        <is>
          <t>АТ "Укрексімбанк"</t>
        </is>
      </c>
      <c r="C227" t="inlineStr">
        <is>
          <t>Державний</t>
        </is>
      </c>
      <c r="D227" t="inlineStr">
        <is>
          <t>2249</t>
        </is>
      </c>
      <c r="E227" t="inlineStr">
        <is>
          <t>(без привʼязки)</t>
        </is>
      </c>
      <c r="F22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7" t="inlineStr">
        <is>
          <t>А</t>
        </is>
      </c>
      <c r="H227" t="n">
        <v>0.1663</v>
      </c>
      <c r="I227" t="n">
        <v>0.1663</v>
      </c>
      <c r="J227" t="n">
        <v>0</v>
      </c>
      <c r="K227" t="n">
        <v>0.1663</v>
      </c>
      <c r="L227" t="n">
        <v>0.1663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</t>
        </is>
      </c>
      <c r="B228" t="inlineStr">
        <is>
          <t>АТ "Укрексімбанк"</t>
        </is>
      </c>
      <c r="C228" t="inlineStr">
        <is>
          <t>Державний</t>
        </is>
      </c>
      <c r="D228" t="inlineStr">
        <is>
          <t>2249</t>
        </is>
      </c>
      <c r="E228" t="inlineStr">
        <is>
          <t>Кредити фізичним особам (р. 22, 24, 262)</t>
        </is>
      </c>
      <c r="F228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8" t="inlineStr">
        <is>
          <t>А</t>
        </is>
      </c>
      <c r="H228" t="n">
        <v>0.1663</v>
      </c>
      <c r="I228" t="n">
        <v>0.1663</v>
      </c>
      <c r="J228" t="n">
        <v>0</v>
      </c>
      <c r="K228" t="n">
        <v>0.1663</v>
      </c>
      <c r="L228" t="n">
        <v>0.1663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</t>
        </is>
      </c>
      <c r="B229" t="inlineStr">
        <is>
          <t>АТ "Укрексімбанк"</t>
        </is>
      </c>
      <c r="C229" t="inlineStr">
        <is>
          <t>Державний</t>
        </is>
      </c>
      <c r="D229" t="inlineStr">
        <is>
          <t>2249</t>
        </is>
      </c>
      <c r="E229" t="inlineStr">
        <is>
          <t>(без привʼязки)</t>
        </is>
      </c>
      <c r="F229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9" t="inlineStr">
        <is>
          <t>П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</t>
        </is>
      </c>
      <c r="B230" t="inlineStr">
        <is>
          <t>АТ "Укрексімбанк"</t>
        </is>
      </c>
      <c r="C230" t="inlineStr">
        <is>
          <t>Державний</t>
        </is>
      </c>
      <c r="D230" t="inlineStr">
        <is>
          <t>2249</t>
        </is>
      </c>
      <c r="E230" t="inlineStr">
        <is>
          <t>Кредити фізичним особам (р. 22, 24, 262)</t>
        </is>
      </c>
      <c r="F230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30" t="inlineStr">
        <is>
          <t>П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</t>
        </is>
      </c>
      <c r="B231" t="inlineStr">
        <is>
          <t>АТ "Укрексімбанк"</t>
        </is>
      </c>
      <c r="C231" t="inlineStr">
        <is>
          <t>Державний</t>
        </is>
      </c>
      <c r="D231" t="inlineStr">
        <is>
          <t>2301</t>
        </is>
      </c>
      <c r="E231" t="inlineStr">
        <is>
          <t>(без привʼязки)</t>
        </is>
      </c>
      <c r="F231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31" t="inlineStr">
        <is>
          <t>А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</t>
        </is>
      </c>
      <c r="B232" t="inlineStr">
        <is>
          <t>АТ "Укрексімбанк"</t>
        </is>
      </c>
      <c r="C232" t="inlineStr">
        <is>
          <t>Державний</t>
        </is>
      </c>
      <c r="D232" t="inlineStr">
        <is>
          <t>2301</t>
        </is>
      </c>
      <c r="E232" t="inlineStr">
        <is>
          <t>Кредити субʼєктам господарювання (р.20, р.23, 260)</t>
        </is>
      </c>
      <c r="F232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32" t="inlineStr">
        <is>
          <t>А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</t>
        </is>
      </c>
      <c r="B233" t="inlineStr">
        <is>
          <t>АТ "Укрексімбанк"</t>
        </is>
      </c>
      <c r="C233" t="inlineStr">
        <is>
          <t>Державний</t>
        </is>
      </c>
      <c r="D233" t="inlineStr">
        <is>
          <t>2308</t>
        </is>
      </c>
      <c r="E233" t="inlineStr">
        <is>
          <t>(без привʼязки)</t>
        </is>
      </c>
      <c r="F233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3" t="inlineStr">
        <is>
          <t>А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</t>
        </is>
      </c>
      <c r="B234" t="inlineStr">
        <is>
          <t>АТ "Укрексімбанк"</t>
        </is>
      </c>
      <c r="C234" t="inlineStr">
        <is>
          <t>Державний</t>
        </is>
      </c>
      <c r="D234" t="inlineStr">
        <is>
          <t>2308</t>
        </is>
      </c>
      <c r="E234" t="inlineStr">
        <is>
          <t>Кредити субʼєктам господарювання (р.20, р.23, 260)</t>
        </is>
      </c>
      <c r="F23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4" t="inlineStr">
        <is>
          <t>А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</t>
        </is>
      </c>
      <c r="B235" t="inlineStr">
        <is>
          <t>АТ "Укрексімбанк"</t>
        </is>
      </c>
      <c r="C235" t="inlineStr">
        <is>
          <t>Державний</t>
        </is>
      </c>
      <c r="D235" t="inlineStr">
        <is>
          <t>2309</t>
        </is>
      </c>
      <c r="E235" t="inlineStr">
        <is>
          <t>(без привʼязки)</t>
        </is>
      </c>
      <c r="F235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5" t="inlineStr">
        <is>
          <t>А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</t>
        </is>
      </c>
      <c r="B236" t="inlineStr">
        <is>
          <t>АТ "Укрексімбанк"</t>
        </is>
      </c>
      <c r="C236" t="inlineStr">
        <is>
          <t>Державний</t>
        </is>
      </c>
      <c r="D236" t="inlineStr">
        <is>
          <t>2309</t>
        </is>
      </c>
      <c r="E236" t="inlineStr">
        <is>
          <t>Кредити субʼєктам господарювання (р.20, р.23, 260)</t>
        </is>
      </c>
      <c r="F236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6" t="inlineStr">
        <is>
          <t>А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</t>
        </is>
      </c>
      <c r="B237" t="inlineStr">
        <is>
          <t>АТ "Укрексімбанк"</t>
        </is>
      </c>
      <c r="C237" t="inlineStr">
        <is>
          <t>Державний</t>
        </is>
      </c>
      <c r="D237" t="inlineStr">
        <is>
          <t>2309</t>
        </is>
      </c>
      <c r="E237" t="inlineStr">
        <is>
          <t>(без привʼязки)</t>
        </is>
      </c>
      <c r="F23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7" t="inlineStr">
        <is>
          <t>П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</t>
        </is>
      </c>
      <c r="B238" t="inlineStr">
        <is>
          <t>АТ "Укрексімбанк"</t>
        </is>
      </c>
      <c r="C238" t="inlineStr">
        <is>
          <t>Державний</t>
        </is>
      </c>
      <c r="D238" t="inlineStr">
        <is>
          <t>2309</t>
        </is>
      </c>
      <c r="E238" t="inlineStr">
        <is>
          <t>Кредити субʼєктам господарювання (р.20, р.23, 260)</t>
        </is>
      </c>
      <c r="F238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8" t="inlineStr">
        <is>
          <t>П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</t>
        </is>
      </c>
      <c r="B239" t="inlineStr">
        <is>
          <t>АТ "Укрексімбанк"</t>
        </is>
      </c>
      <c r="C239" t="inlineStr">
        <is>
          <t>Державний</t>
        </is>
      </c>
      <c r="D239" t="inlineStr">
        <is>
          <t>2390</t>
        </is>
      </c>
      <c r="E239" t="inlineStr">
        <is>
          <t>(без привʼязки)</t>
        </is>
      </c>
      <c r="F23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39" t="inlineStr">
        <is>
          <t>А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</t>
        </is>
      </c>
      <c r="B240" t="inlineStr">
        <is>
          <t>АТ "Укрексімбанк"</t>
        </is>
      </c>
      <c r="C240" t="inlineStr">
        <is>
          <t>Державний</t>
        </is>
      </c>
      <c r="D240" t="inlineStr">
        <is>
          <t>2390</t>
        </is>
      </c>
      <c r="E240" t="inlineStr">
        <is>
          <t>Кредити субʼєктам господарювання (р.20, р.23, 260)</t>
        </is>
      </c>
      <c r="F240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40" t="inlineStr">
        <is>
          <t>А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</t>
        </is>
      </c>
      <c r="B241" t="inlineStr">
        <is>
          <t>АТ "Укрексімбанк"</t>
        </is>
      </c>
      <c r="C241" t="inlineStr">
        <is>
          <t>Державний</t>
        </is>
      </c>
      <c r="D241" t="inlineStr">
        <is>
          <t>2394</t>
        </is>
      </c>
      <c r="E241" t="inlineStr">
        <is>
          <t>(без привʼязки)</t>
        </is>
      </c>
      <c r="F241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41" t="inlineStr">
        <is>
          <t>А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</t>
        </is>
      </c>
      <c r="B242" t="inlineStr">
        <is>
          <t>АТ "Укрексімбанк"</t>
        </is>
      </c>
      <c r="C242" t="inlineStr">
        <is>
          <t>Державний</t>
        </is>
      </c>
      <c r="D242" t="inlineStr">
        <is>
          <t>2394</t>
        </is>
      </c>
      <c r="E242" t="inlineStr">
        <is>
          <t>Кредити субʼєктам господарювання (р.20, р.23, 260)</t>
        </is>
      </c>
      <c r="F242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42" t="inlineStr">
        <is>
          <t>А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</t>
        </is>
      </c>
      <c r="B243" t="inlineStr">
        <is>
          <t>АТ "Укрексімбанк"</t>
        </is>
      </c>
      <c r="C243" t="inlineStr">
        <is>
          <t>Державний</t>
        </is>
      </c>
      <c r="D243" t="inlineStr">
        <is>
          <t>2396</t>
        </is>
      </c>
      <c r="E243" t="inlineStr">
        <is>
          <t>(без привʼязки)</t>
        </is>
      </c>
      <c r="F243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43" t="inlineStr">
        <is>
          <t>А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</t>
        </is>
      </c>
      <c r="B244" t="inlineStr">
        <is>
          <t>АТ "Укрексімбанк"</t>
        </is>
      </c>
      <c r="C244" t="inlineStr">
        <is>
          <t>Державний</t>
        </is>
      </c>
      <c r="D244" t="inlineStr">
        <is>
          <t>2396</t>
        </is>
      </c>
      <c r="E244" t="inlineStr">
        <is>
          <t>Кредити субʼєктам господарювання (р.20, р.23, 260)</t>
        </is>
      </c>
      <c r="F24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44" t="inlineStr">
        <is>
          <t>А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</t>
        </is>
      </c>
      <c r="B245" t="inlineStr">
        <is>
          <t>АТ "Укрексімбанк"</t>
        </is>
      </c>
      <c r="C245" t="inlineStr">
        <is>
          <t>Державний</t>
        </is>
      </c>
      <c r="D245" t="inlineStr">
        <is>
          <t>2397</t>
        </is>
      </c>
      <c r="E245" t="inlineStr">
        <is>
          <t>(без привʼязки)</t>
        </is>
      </c>
      <c r="F245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5" t="inlineStr">
        <is>
          <t>А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</t>
        </is>
      </c>
      <c r="B246" t="inlineStr">
        <is>
          <t>АТ "Укрексімбанк"</t>
        </is>
      </c>
      <c r="C246" t="inlineStr">
        <is>
          <t>Державний</t>
        </is>
      </c>
      <c r="D246" t="inlineStr">
        <is>
          <t>2397</t>
        </is>
      </c>
      <c r="E246" t="inlineStr">
        <is>
          <t>Кредити субʼєктам господарювання (р.20, р.23, 260)</t>
        </is>
      </c>
      <c r="F246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6" t="inlineStr">
        <is>
          <t>А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</t>
        </is>
      </c>
      <c r="B247" t="inlineStr">
        <is>
          <t>АТ "Укрексімбанк"</t>
        </is>
      </c>
      <c r="C247" t="inlineStr">
        <is>
          <t>Державний</t>
        </is>
      </c>
      <c r="D247" t="inlineStr">
        <is>
          <t>2397</t>
        </is>
      </c>
      <c r="E247" t="inlineStr">
        <is>
          <t>(без привʼязки)</t>
        </is>
      </c>
      <c r="F24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7" t="inlineStr">
        <is>
          <t>П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</t>
        </is>
      </c>
      <c r="B248" t="inlineStr">
        <is>
          <t>АТ "Укрексімбанк"</t>
        </is>
      </c>
      <c r="C248" t="inlineStr">
        <is>
          <t>Державний</t>
        </is>
      </c>
      <c r="D248" t="inlineStr">
        <is>
          <t>2397</t>
        </is>
      </c>
      <c r="E248" t="inlineStr">
        <is>
          <t>Кредити субʼєктам господарювання (р.20, р.23, 260)</t>
        </is>
      </c>
      <c r="F248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8" t="inlineStr">
        <is>
          <t>П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</t>
        </is>
      </c>
      <c r="B249" t="inlineStr">
        <is>
          <t>АТ "Укрексімбанк"</t>
        </is>
      </c>
      <c r="C249" t="inlineStr">
        <is>
          <t>Державний</t>
        </is>
      </c>
      <c r="D249" t="inlineStr">
        <is>
          <t>2398</t>
        </is>
      </c>
      <c r="E249" t="inlineStr">
        <is>
          <t>(без привʼязки)</t>
        </is>
      </c>
      <c r="F249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49" t="inlineStr">
        <is>
          <t>А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</t>
        </is>
      </c>
      <c r="B250" t="inlineStr">
        <is>
          <t>АТ "Укрексімбанк"</t>
        </is>
      </c>
      <c r="C250" t="inlineStr">
        <is>
          <t>Державний</t>
        </is>
      </c>
      <c r="D250" t="inlineStr">
        <is>
          <t>2398</t>
        </is>
      </c>
      <c r="E250" t="inlineStr">
        <is>
          <t>Кредити субʼєктам господарювання (р.20, р.23, 260)</t>
        </is>
      </c>
      <c r="F250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50" t="inlineStr">
        <is>
          <t>А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</t>
        </is>
      </c>
      <c r="B251" t="inlineStr">
        <is>
          <t>АТ "Укрексімбанк"</t>
        </is>
      </c>
      <c r="C251" t="inlineStr">
        <is>
          <t>Державний</t>
        </is>
      </c>
      <c r="D251" t="inlineStr">
        <is>
          <t>2450</t>
        </is>
      </c>
      <c r="E251" t="inlineStr">
        <is>
          <t>(без привʼязки)</t>
        </is>
      </c>
      <c r="F251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51" t="inlineStr">
        <is>
          <t>А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</t>
        </is>
      </c>
      <c r="B252" t="inlineStr">
        <is>
          <t>АТ "Укрексімбанк"</t>
        </is>
      </c>
      <c r="C252" t="inlineStr">
        <is>
          <t>Державний</t>
        </is>
      </c>
      <c r="D252" t="inlineStr">
        <is>
          <t>2450</t>
        </is>
      </c>
      <c r="E252" t="inlineStr">
        <is>
          <t>Кредити фізичним особам (р. 22, 24, 262)</t>
        </is>
      </c>
      <c r="F252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52" t="inlineStr">
        <is>
          <t>А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</t>
        </is>
      </c>
      <c r="B253" t="inlineStr">
        <is>
          <t>АТ "Укрексімбанк"</t>
        </is>
      </c>
      <c r="C253" t="inlineStr">
        <is>
          <t>Державний</t>
        </is>
      </c>
      <c r="D253" t="inlineStr">
        <is>
          <t>2453</t>
        </is>
      </c>
      <c r="E253" t="inlineStr">
        <is>
          <t>(без привʼязки)</t>
        </is>
      </c>
      <c r="F253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53" t="inlineStr">
        <is>
          <t>А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</t>
        </is>
      </c>
      <c r="B254" t="inlineStr">
        <is>
          <t>АТ "Укрексімбанк"</t>
        </is>
      </c>
      <c r="C254" t="inlineStr">
        <is>
          <t>Державний</t>
        </is>
      </c>
      <c r="D254" t="inlineStr">
        <is>
          <t>2453</t>
        </is>
      </c>
      <c r="E254" t="inlineStr">
        <is>
          <t>Кредити фізичним особам (р. 22, 24, 262)</t>
        </is>
      </c>
      <c r="F25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54" t="inlineStr">
        <is>
          <t>А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</t>
        </is>
      </c>
      <c r="B255" t="inlineStr">
        <is>
          <t>АТ "Укрексімбанк"</t>
        </is>
      </c>
      <c r="C255" t="inlineStr">
        <is>
          <t>Державний</t>
        </is>
      </c>
      <c r="D255" t="inlineStr">
        <is>
          <t>2456</t>
        </is>
      </c>
      <c r="E255" t="inlineStr">
        <is>
          <t>(без привʼязки)</t>
        </is>
      </c>
      <c r="F255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5" t="inlineStr">
        <is>
          <t>А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</t>
        </is>
      </c>
      <c r="B256" t="inlineStr">
        <is>
          <t>АТ "Укрексімбанк"</t>
        </is>
      </c>
      <c r="C256" t="inlineStr">
        <is>
          <t>Державний</t>
        </is>
      </c>
      <c r="D256" t="inlineStr">
        <is>
          <t>2456</t>
        </is>
      </c>
      <c r="E256" t="inlineStr">
        <is>
          <t>Кредити фізичним особам (р. 22, 24, 262)</t>
        </is>
      </c>
      <c r="F256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6" t="inlineStr">
        <is>
          <t>А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</t>
        </is>
      </c>
      <c r="B257" t="inlineStr">
        <is>
          <t>АТ "Укрексімбанк"</t>
        </is>
      </c>
      <c r="C257" t="inlineStr">
        <is>
          <t>Державний</t>
        </is>
      </c>
      <c r="D257" t="inlineStr">
        <is>
          <t>2456</t>
        </is>
      </c>
      <c r="E257" t="inlineStr">
        <is>
          <t>(без привʼязки)</t>
        </is>
      </c>
      <c r="F25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7" t="inlineStr">
        <is>
          <t>П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</t>
        </is>
      </c>
      <c r="B258" t="inlineStr">
        <is>
          <t>АТ "Укрексімбанк"</t>
        </is>
      </c>
      <c r="C258" t="inlineStr">
        <is>
          <t>Державний</t>
        </is>
      </c>
      <c r="D258" t="inlineStr">
        <is>
          <t>2456</t>
        </is>
      </c>
      <c r="E258" t="inlineStr">
        <is>
          <t>Кредити фізичним особам (р. 22, 24, 262)</t>
        </is>
      </c>
      <c r="F258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8" t="inlineStr">
        <is>
          <t>П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</t>
        </is>
      </c>
      <c r="B259" t="inlineStr">
        <is>
          <t>АТ "Укрексімбанк"</t>
        </is>
      </c>
      <c r="C259" t="inlineStr">
        <is>
          <t>Державний</t>
        </is>
      </c>
      <c r="D259" t="inlineStr">
        <is>
          <t>2457</t>
        </is>
      </c>
      <c r="E259" t="inlineStr">
        <is>
          <t>(без привʼязки)</t>
        </is>
      </c>
      <c r="F259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59" t="inlineStr">
        <is>
          <t>А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</t>
        </is>
      </c>
      <c r="B260" t="inlineStr">
        <is>
          <t>АТ "Укрексімбанк"</t>
        </is>
      </c>
      <c r="C260" t="inlineStr">
        <is>
          <t>Державний</t>
        </is>
      </c>
      <c r="D260" t="inlineStr">
        <is>
          <t>2457</t>
        </is>
      </c>
      <c r="E260" t="inlineStr">
        <is>
          <t>Кредити фізичним особам (р. 22, 24, 262)</t>
        </is>
      </c>
      <c r="F260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0" t="inlineStr">
        <is>
          <t>А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</t>
        </is>
      </c>
      <c r="B261" t="inlineStr">
        <is>
          <t>АТ "Укрексімбанк"</t>
        </is>
      </c>
      <c r="C261" t="inlineStr">
        <is>
          <t>Державний</t>
        </is>
      </c>
      <c r="D261" t="inlineStr">
        <is>
          <t>2457</t>
        </is>
      </c>
      <c r="E261" t="inlineStr">
        <is>
          <t>(без привʼязки)</t>
        </is>
      </c>
      <c r="F261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1" t="inlineStr">
        <is>
          <t>П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</t>
        </is>
      </c>
      <c r="B262" t="inlineStr">
        <is>
          <t>АТ "Укрексімбанк"</t>
        </is>
      </c>
      <c r="C262" t="inlineStr">
        <is>
          <t>Державний</t>
        </is>
      </c>
      <c r="D262" t="inlineStr">
        <is>
          <t>2457</t>
        </is>
      </c>
      <c r="E262" t="inlineStr">
        <is>
          <t>Кредити фізичним особам (р. 22, 24, 262)</t>
        </is>
      </c>
      <c r="F262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2" t="inlineStr">
        <is>
          <t>П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</t>
        </is>
      </c>
      <c r="B263" t="inlineStr">
        <is>
          <t>АТ "Укрексімбанк"</t>
        </is>
      </c>
      <c r="C263" t="inlineStr">
        <is>
          <t>Державний</t>
        </is>
      </c>
      <c r="D263" t="inlineStr">
        <is>
          <t>2458</t>
        </is>
      </c>
      <c r="E263" t="inlineStr">
        <is>
          <t>(без привʼязки)</t>
        </is>
      </c>
      <c r="F263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63" t="inlineStr">
        <is>
          <t>А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</t>
        </is>
      </c>
      <c r="B264" t="inlineStr">
        <is>
          <t>АТ "Укрексімбанк"</t>
        </is>
      </c>
      <c r="C264" t="inlineStr">
        <is>
          <t>Державний</t>
        </is>
      </c>
      <c r="D264" t="inlineStr">
        <is>
          <t>2458</t>
        </is>
      </c>
      <c r="E264" t="inlineStr">
        <is>
          <t>Кредити фізичним особам (р. 22, 24, 262)</t>
        </is>
      </c>
      <c r="F26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64" t="inlineStr">
        <is>
          <t>А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</t>
        </is>
      </c>
      <c r="B265" t="inlineStr">
        <is>
          <t>АТ "Укрексімбанк"</t>
        </is>
      </c>
      <c r="C265" t="inlineStr">
        <is>
          <t>Державний</t>
        </is>
      </c>
      <c r="D265" t="inlineStr">
        <is>
          <t>2600</t>
        </is>
      </c>
      <c r="E265" t="inlineStr">
        <is>
          <t>(без привʼязки)</t>
        </is>
      </c>
      <c r="F265" t="inlineStr">
        <is>
          <t>Кошти на вимогу суб'єктів господарювання</t>
        </is>
      </c>
      <c r="G265" t="inlineStr">
        <is>
          <t>А</t>
        </is>
      </c>
      <c r="H265" t="n">
        <v>271160851.58297</v>
      </c>
      <c r="I265" t="n">
        <v>210491888.44794</v>
      </c>
      <c r="J265" t="n">
        <v>60668963.13503</v>
      </c>
      <c r="K265" t="n">
        <v>276030432.63478</v>
      </c>
      <c r="L265" t="n">
        <v>215487973.59899</v>
      </c>
      <c r="M265" t="n">
        <v>60542459.03579</v>
      </c>
      <c r="N265" t="n">
        <v>481391.52752</v>
      </c>
      <c r="O265" t="n">
        <v>456955.57752</v>
      </c>
      <c r="P265" t="n">
        <v>24435.95</v>
      </c>
    </row>
    <row r="266">
      <c r="A266" t="inlineStr">
        <is>
          <t>2</t>
        </is>
      </c>
      <c r="B266" t="inlineStr">
        <is>
          <t>АТ "Укрексімбанк"</t>
        </is>
      </c>
      <c r="C266" t="inlineStr">
        <is>
          <t>Державний</t>
        </is>
      </c>
      <c r="D266" t="inlineStr">
        <is>
          <t>2600</t>
        </is>
      </c>
      <c r="E266" t="inlineStr">
        <is>
          <t>Кредити субʼєктам господарювання (р.20, р.23, 260)</t>
        </is>
      </c>
      <c r="F266" t="inlineStr">
        <is>
          <t>Кошти на вимогу суб'єктів господарювання</t>
        </is>
      </c>
      <c r="G266" t="inlineStr">
        <is>
          <t>А</t>
        </is>
      </c>
      <c r="H266" t="n">
        <v>271160851.58297</v>
      </c>
      <c r="I266" t="n">
        <v>210491888.44794</v>
      </c>
      <c r="J266" t="n">
        <v>60668963.13503</v>
      </c>
      <c r="K266" t="n">
        <v>276030432.63478</v>
      </c>
      <c r="L266" t="n">
        <v>215487973.59899</v>
      </c>
      <c r="M266" t="n">
        <v>60542459.03579</v>
      </c>
      <c r="N266" t="n">
        <v>481391.52752</v>
      </c>
      <c r="O266" t="n">
        <v>456955.57752</v>
      </c>
      <c r="P266" t="n">
        <v>24435.95</v>
      </c>
    </row>
    <row r="267">
      <c r="A267" t="inlineStr">
        <is>
          <t>2</t>
        </is>
      </c>
      <c r="B267" t="inlineStr">
        <is>
          <t>АТ "Укрексімбанк"</t>
        </is>
      </c>
      <c r="C267" t="inlineStr">
        <is>
          <t>Державний</t>
        </is>
      </c>
      <c r="D267" t="inlineStr">
        <is>
          <t>2600</t>
        </is>
      </c>
      <c r="E267" t="inlineStr">
        <is>
          <t>(без привʼязки)</t>
        </is>
      </c>
      <c r="F267" t="inlineStr">
        <is>
          <t>Кошти на вимогу суб'єктів господарювання</t>
        </is>
      </c>
      <c r="G267" t="inlineStr">
        <is>
          <t>П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106538573.58472</v>
      </c>
      <c r="O267" t="n">
        <v>80822491.37730999</v>
      </c>
      <c r="P267" t="n">
        <v>25716082.20741</v>
      </c>
    </row>
    <row r="268">
      <c r="A268" t="inlineStr">
        <is>
          <t>2</t>
        </is>
      </c>
      <c r="B268" t="inlineStr">
        <is>
          <t>АТ "Укрексімбанк"</t>
        </is>
      </c>
      <c r="C268" t="inlineStr">
        <is>
          <t>Державний</t>
        </is>
      </c>
      <c r="D268" t="inlineStr">
        <is>
          <t>2600</t>
        </is>
      </c>
      <c r="E268" t="inlineStr">
        <is>
          <t>Кредити субʼєктам господарювання (р.20, р.23, 260)</t>
        </is>
      </c>
      <c r="F268" t="inlineStr">
        <is>
          <t>Кошти на вимогу суб'єктів господарювання</t>
        </is>
      </c>
      <c r="G268" t="inlineStr">
        <is>
          <t>П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106538573.58472</v>
      </c>
      <c r="O268" t="n">
        <v>80822491.37730999</v>
      </c>
      <c r="P268" t="n">
        <v>25716082.20741</v>
      </c>
    </row>
    <row r="269">
      <c r="A269" t="inlineStr">
        <is>
          <t>2</t>
        </is>
      </c>
      <c r="B269" t="inlineStr">
        <is>
          <t>АТ "Укрексімбанк"</t>
        </is>
      </c>
      <c r="C269" t="inlineStr">
        <is>
          <t>Державний</t>
        </is>
      </c>
      <c r="D269" t="inlineStr">
        <is>
          <t>2607</t>
        </is>
      </c>
      <c r="E269" t="inlineStr">
        <is>
          <t>(без привʼязки)</t>
        </is>
      </c>
      <c r="F269" t="inlineStr">
        <is>
          <t>Нараховані доходи за кредитами овердрафт, що надані суб'єктам господарювання</t>
        </is>
      </c>
      <c r="G269" t="inlineStr">
        <is>
          <t>А</t>
        </is>
      </c>
      <c r="H269" t="n">
        <v>5564.28392</v>
      </c>
      <c r="I269" t="n">
        <v>5496.73954</v>
      </c>
      <c r="J269" t="n">
        <v>67.54438</v>
      </c>
      <c r="K269" t="n">
        <v>5388.1749</v>
      </c>
      <c r="L269" t="n">
        <v>5383.50258</v>
      </c>
      <c r="M269" t="n">
        <v>4.67232</v>
      </c>
      <c r="N269" t="n">
        <v>5299.44766</v>
      </c>
      <c r="O269" t="n">
        <v>5231.90523</v>
      </c>
      <c r="P269" t="n">
        <v>67.54243</v>
      </c>
    </row>
    <row r="270">
      <c r="A270" t="inlineStr">
        <is>
          <t>2</t>
        </is>
      </c>
      <c r="B270" t="inlineStr">
        <is>
          <t>АТ "Укрексімбанк"</t>
        </is>
      </c>
      <c r="C270" t="inlineStr">
        <is>
          <t>Державний</t>
        </is>
      </c>
      <c r="D270" t="inlineStr">
        <is>
          <t>2607</t>
        </is>
      </c>
      <c r="E270" t="inlineStr">
        <is>
          <t>Кредити субʼєктам господарювання (р.20, р.23, 260)</t>
        </is>
      </c>
      <c r="F270" t="inlineStr">
        <is>
          <t>Нараховані доходи за кредитами овердрафт, що надані суб'єктам господарювання</t>
        </is>
      </c>
      <c r="G270" t="inlineStr">
        <is>
          <t>А</t>
        </is>
      </c>
      <c r="H270" t="n">
        <v>5564.28392</v>
      </c>
      <c r="I270" t="n">
        <v>5496.73954</v>
      </c>
      <c r="J270" t="n">
        <v>67.54438</v>
      </c>
      <c r="K270" t="n">
        <v>5388.1749</v>
      </c>
      <c r="L270" t="n">
        <v>5383.50258</v>
      </c>
      <c r="M270" t="n">
        <v>4.67232</v>
      </c>
      <c r="N270" t="n">
        <v>5299.44766</v>
      </c>
      <c r="O270" t="n">
        <v>5231.90523</v>
      </c>
      <c r="P270" t="n">
        <v>67.54243</v>
      </c>
    </row>
    <row r="271">
      <c r="A271" t="inlineStr">
        <is>
          <t>2</t>
        </is>
      </c>
      <c r="B271" t="inlineStr">
        <is>
          <t>АТ "Укрексімбанк"</t>
        </is>
      </c>
      <c r="C271" t="inlineStr">
        <is>
          <t>Державний</t>
        </is>
      </c>
      <c r="D271" t="inlineStr">
        <is>
          <t>2609</t>
        </is>
      </c>
      <c r="E271" t="inlineStr">
        <is>
          <t>(без привʼязки)</t>
        </is>
      </c>
      <c r="F271" t="inlineStr">
        <is>
          <t xml:space="preserve">Резерв за коштами на вимогу суб'єктів господарювання </t>
        </is>
      </c>
      <c r="G271" t="inlineStr">
        <is>
          <t>П</t>
        </is>
      </c>
      <c r="H271" t="n">
        <v>7086.31471</v>
      </c>
      <c r="I271" t="n">
        <v>7069.69319</v>
      </c>
      <c r="J271" t="n">
        <v>16.62152</v>
      </c>
      <c r="K271" t="n">
        <v>7503.14772</v>
      </c>
      <c r="L271" t="n">
        <v>7499.69224</v>
      </c>
      <c r="M271" t="n">
        <v>3.45548</v>
      </c>
      <c r="N271" t="n">
        <v>-9447.42439</v>
      </c>
      <c r="O271" t="n">
        <v>-9281.06151</v>
      </c>
      <c r="P271" t="n">
        <v>-166.36288</v>
      </c>
    </row>
    <row r="272">
      <c r="A272" t="inlineStr">
        <is>
          <t>2</t>
        </is>
      </c>
      <c r="B272" t="inlineStr">
        <is>
          <t>АТ "Укрексімбанк"</t>
        </is>
      </c>
      <c r="C272" t="inlineStr">
        <is>
          <t>Державний</t>
        </is>
      </c>
      <c r="D272" t="inlineStr">
        <is>
          <t>2609</t>
        </is>
      </c>
      <c r="E272" t="inlineStr">
        <is>
          <t>Кредити субʼєктам господарювання (р.20, р.23, 260)</t>
        </is>
      </c>
      <c r="F272" t="inlineStr">
        <is>
          <t xml:space="preserve">Резерв за коштами на вимогу суб'єктів господарювання </t>
        </is>
      </c>
      <c r="G272" t="inlineStr">
        <is>
          <t>П</t>
        </is>
      </c>
      <c r="H272" t="n">
        <v>7086.31471</v>
      </c>
      <c r="I272" t="n">
        <v>7069.69319</v>
      </c>
      <c r="J272" t="n">
        <v>16.62152</v>
      </c>
      <c r="K272" t="n">
        <v>7503.14772</v>
      </c>
      <c r="L272" t="n">
        <v>7499.69224</v>
      </c>
      <c r="M272" t="n">
        <v>3.45548</v>
      </c>
      <c r="N272" t="n">
        <v>-9447.42439</v>
      </c>
      <c r="O272" t="n">
        <v>-9281.06151</v>
      </c>
      <c r="P272" t="n">
        <v>-166.36288</v>
      </c>
    </row>
    <row r="273">
      <c r="A273" t="inlineStr">
        <is>
          <t>2</t>
        </is>
      </c>
      <c r="B273" t="inlineStr">
        <is>
          <t>АТ "Укрексімбанк"</t>
        </is>
      </c>
      <c r="C273" t="inlineStr">
        <is>
          <t>Державний</t>
        </is>
      </c>
      <c r="D273" t="inlineStr">
        <is>
          <t>2620</t>
        </is>
      </c>
      <c r="E273" t="inlineStr">
        <is>
          <t>(без привʼязки)</t>
        </is>
      </c>
      <c r="F273" t="inlineStr">
        <is>
          <t>Кошти на вимогу фізичних осіб</t>
        </is>
      </c>
      <c r="G273" t="inlineStr">
        <is>
          <t>А</t>
        </is>
      </c>
      <c r="H273" t="n">
        <v>8465477.441339999</v>
      </c>
      <c r="I273" t="n">
        <v>5170086.86497</v>
      </c>
      <c r="J273" t="n">
        <v>3295390.57637</v>
      </c>
      <c r="K273" t="n">
        <v>8673985.343560001</v>
      </c>
      <c r="L273" t="n">
        <v>5154994.9421</v>
      </c>
      <c r="M273" t="n">
        <v>3518990.40146</v>
      </c>
      <c r="N273" t="n">
        <v>0</v>
      </c>
      <c r="O273" t="n">
        <v>0</v>
      </c>
      <c r="P273" t="n">
        <v>0</v>
      </c>
    </row>
    <row r="274">
      <c r="A274" t="inlineStr">
        <is>
          <t>2</t>
        </is>
      </c>
      <c r="B274" t="inlineStr">
        <is>
          <t>АТ "Укрексімбанк"</t>
        </is>
      </c>
      <c r="C274" t="inlineStr">
        <is>
          <t>Державний</t>
        </is>
      </c>
      <c r="D274" t="inlineStr">
        <is>
          <t>2620</t>
        </is>
      </c>
      <c r="E274" t="inlineStr">
        <is>
          <t>Кредити фізичним особам (р. 22, 24, 262)</t>
        </is>
      </c>
      <c r="F274" t="inlineStr">
        <is>
          <t>Кошти на вимогу фізичних осіб</t>
        </is>
      </c>
      <c r="G274" t="inlineStr">
        <is>
          <t>А</t>
        </is>
      </c>
      <c r="H274" t="n">
        <v>8465477.441339999</v>
      </c>
      <c r="I274" t="n">
        <v>5170086.86497</v>
      </c>
      <c r="J274" t="n">
        <v>3295390.57637</v>
      </c>
      <c r="K274" t="n">
        <v>8673985.343560001</v>
      </c>
      <c r="L274" t="n">
        <v>5154994.9421</v>
      </c>
      <c r="M274" t="n">
        <v>3518990.40146</v>
      </c>
      <c r="N274" t="n">
        <v>0</v>
      </c>
      <c r="O274" t="n">
        <v>0</v>
      </c>
      <c r="P274" t="n">
        <v>0</v>
      </c>
    </row>
    <row r="275">
      <c r="A275" t="inlineStr">
        <is>
          <t>2</t>
        </is>
      </c>
      <c r="B275" t="inlineStr">
        <is>
          <t>АТ "Укрексімбанк"</t>
        </is>
      </c>
      <c r="C275" t="inlineStr">
        <is>
          <t>Державний</t>
        </is>
      </c>
      <c r="D275" t="inlineStr">
        <is>
          <t>2620</t>
        </is>
      </c>
      <c r="E275" t="inlineStr">
        <is>
          <t>(без привʼязки)</t>
        </is>
      </c>
      <c r="F275" t="inlineStr">
        <is>
          <t>Кошти на вимогу фізичних осіб</t>
        </is>
      </c>
      <c r="G275" t="inlineStr">
        <is>
          <t>П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12021946.26179</v>
      </c>
      <c r="O275" t="n">
        <v>5254743.391</v>
      </c>
      <c r="P275" t="n">
        <v>6767202.87079</v>
      </c>
    </row>
    <row r="276">
      <c r="A276" t="inlineStr">
        <is>
          <t>2</t>
        </is>
      </c>
      <c r="B276" t="inlineStr">
        <is>
          <t>АТ "Укрексімбанк"</t>
        </is>
      </c>
      <c r="C276" t="inlineStr">
        <is>
          <t>Державний</t>
        </is>
      </c>
      <c r="D276" t="inlineStr">
        <is>
          <t>2620</t>
        </is>
      </c>
      <c r="E276" t="inlineStr">
        <is>
          <t>Кредити фізичним особам (р. 22, 24, 262)</t>
        </is>
      </c>
      <c r="F276" t="inlineStr">
        <is>
          <t>Кошти на вимогу фізичних осіб</t>
        </is>
      </c>
      <c r="G276" t="inlineStr">
        <is>
          <t>П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12021946.26179</v>
      </c>
      <c r="O276" t="n">
        <v>5254743.391</v>
      </c>
      <c r="P276" t="n">
        <v>6767202.87079</v>
      </c>
    </row>
    <row r="277">
      <c r="A277" t="inlineStr">
        <is>
          <t>2</t>
        </is>
      </c>
      <c r="B277" t="inlineStr">
        <is>
          <t>АТ "Укрексімбанк"</t>
        </is>
      </c>
      <c r="C277" t="inlineStr">
        <is>
          <t>Державний</t>
        </is>
      </c>
      <c r="D277" t="inlineStr">
        <is>
          <t>2621</t>
        </is>
      </c>
      <c r="E277" t="inlineStr">
        <is>
          <t>(без привʼязки)</t>
        </is>
      </c>
      <c r="F277" t="inlineStr">
        <is>
          <t>Кошти на вимогу суб’єктів незалежної професійної діяльності</t>
        </is>
      </c>
      <c r="G277" t="inlineStr">
        <is>
          <t>А</t>
        </is>
      </c>
      <c r="H277" t="n">
        <v>1863.10013</v>
      </c>
      <c r="I277" t="n">
        <v>1862.54508</v>
      </c>
      <c r="J277" t="n">
        <v>0.55505</v>
      </c>
      <c r="K277" t="n">
        <v>1893.31403</v>
      </c>
      <c r="L277" t="n">
        <v>1892.4901</v>
      </c>
      <c r="M277" t="n">
        <v>0.8239300000000001</v>
      </c>
      <c r="N277" t="n">
        <v>0</v>
      </c>
      <c r="O277" t="n">
        <v>0</v>
      </c>
      <c r="P277" t="n">
        <v>0</v>
      </c>
    </row>
    <row r="278">
      <c r="A278" t="inlineStr">
        <is>
          <t>2</t>
        </is>
      </c>
      <c r="B278" t="inlineStr">
        <is>
          <t>АТ "Укрексімбанк"</t>
        </is>
      </c>
      <c r="C278" t="inlineStr">
        <is>
          <t>Державний</t>
        </is>
      </c>
      <c r="D278" t="inlineStr">
        <is>
          <t>2621</t>
        </is>
      </c>
      <c r="E278" t="inlineStr">
        <is>
          <t>Кредити фізичним особам (р. 22, 24, 262)</t>
        </is>
      </c>
      <c r="F278" t="inlineStr">
        <is>
          <t>Кошти на вимогу суб’єктів незалежної професійної діяльності</t>
        </is>
      </c>
      <c r="G278" t="inlineStr">
        <is>
          <t>А</t>
        </is>
      </c>
      <c r="H278" t="n">
        <v>1863.10013</v>
      </c>
      <c r="I278" t="n">
        <v>1862.54508</v>
      </c>
      <c r="J278" t="n">
        <v>0.55505</v>
      </c>
      <c r="K278" t="n">
        <v>1893.31403</v>
      </c>
      <c r="L278" t="n">
        <v>1892.4901</v>
      </c>
      <c r="M278" t="n">
        <v>0.8239300000000001</v>
      </c>
      <c r="N278" t="n">
        <v>0</v>
      </c>
      <c r="O278" t="n">
        <v>0</v>
      </c>
      <c r="P278" t="n">
        <v>0</v>
      </c>
    </row>
    <row r="279">
      <c r="A279" t="inlineStr">
        <is>
          <t>2</t>
        </is>
      </c>
      <c r="B279" t="inlineStr">
        <is>
          <t>АТ "Укрексімбанк"</t>
        </is>
      </c>
      <c r="C279" t="inlineStr">
        <is>
          <t>Державний</t>
        </is>
      </c>
      <c r="D279" t="inlineStr">
        <is>
          <t>2621</t>
        </is>
      </c>
      <c r="E279" t="inlineStr">
        <is>
          <t>(без привʼязки)</t>
        </is>
      </c>
      <c r="F279" t="inlineStr">
        <is>
          <t>Кошти на вимогу суб’єктів незалежної професійної діяльності</t>
        </is>
      </c>
      <c r="G279" t="inlineStr">
        <is>
          <t>П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5405.20508</v>
      </c>
      <c r="O279" t="n">
        <v>5363.41142</v>
      </c>
      <c r="P279" t="n">
        <v>41.79366</v>
      </c>
    </row>
    <row r="280">
      <c r="A280" t="inlineStr">
        <is>
          <t>2</t>
        </is>
      </c>
      <c r="B280" t="inlineStr">
        <is>
          <t>АТ "Укрексімбанк"</t>
        </is>
      </c>
      <c r="C280" t="inlineStr">
        <is>
          <t>Державний</t>
        </is>
      </c>
      <c r="D280" t="inlineStr">
        <is>
          <t>2621</t>
        </is>
      </c>
      <c r="E280" t="inlineStr">
        <is>
          <t>Кредити фізичним особам (р. 22, 24, 262)</t>
        </is>
      </c>
      <c r="F280" t="inlineStr">
        <is>
          <t>Кошти на вимогу суб’єктів незалежної професійної діяльності</t>
        </is>
      </c>
      <c r="G280" t="inlineStr">
        <is>
          <t>П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5405.20508</v>
      </c>
      <c r="O280" t="n">
        <v>5363.41142</v>
      </c>
      <c r="P280" t="n">
        <v>41.79366</v>
      </c>
    </row>
    <row r="281">
      <c r="A281" t="inlineStr">
        <is>
          <t>2</t>
        </is>
      </c>
      <c r="B281" t="inlineStr">
        <is>
          <t>АТ "Укрексімбанк"</t>
        </is>
      </c>
      <c r="C281" t="inlineStr">
        <is>
          <t>Державний</t>
        </is>
      </c>
      <c r="D281" t="inlineStr">
        <is>
          <t>2627</t>
        </is>
      </c>
      <c r="E281" t="inlineStr">
        <is>
          <t>(без привʼязки)</t>
        </is>
      </c>
      <c r="F281" t="inlineStr">
        <is>
          <t>Нараховані доходи за кредитами овердрафт, що надані фізичним особам</t>
        </is>
      </c>
      <c r="G281" t="inlineStr">
        <is>
          <t>А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</t>
        </is>
      </c>
      <c r="B282" t="inlineStr">
        <is>
          <t>АТ "Укрексімбанк"</t>
        </is>
      </c>
      <c r="C282" t="inlineStr">
        <is>
          <t>Державний</t>
        </is>
      </c>
      <c r="D282" t="inlineStr">
        <is>
          <t>2627</t>
        </is>
      </c>
      <c r="E282" t="inlineStr">
        <is>
          <t>Кредити фізичним особам (р. 22, 24, 262)</t>
        </is>
      </c>
      <c r="F282" t="inlineStr">
        <is>
          <t>Нараховані доходи за кредитами овердрафт, що надані фізичним особам</t>
        </is>
      </c>
      <c r="G282" t="inlineStr">
        <is>
          <t>А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</t>
        </is>
      </c>
      <c r="B283" t="inlineStr">
        <is>
          <t>АТ "Укрексімбанк"</t>
        </is>
      </c>
      <c r="C283" t="inlineStr">
        <is>
          <t>Державний</t>
        </is>
      </c>
      <c r="D283" t="inlineStr">
        <is>
          <t>2629</t>
        </is>
      </c>
      <c r="E283" t="inlineStr">
        <is>
          <t>(без привʼязки)</t>
        </is>
      </c>
      <c r="F283" t="inlineStr">
        <is>
          <t>Резерв за коштами на вимогу фізичних осіб</t>
        </is>
      </c>
      <c r="G283" t="inlineStr">
        <is>
          <t>П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</t>
        </is>
      </c>
      <c r="B284" t="inlineStr">
        <is>
          <t>АТ "Укрексімбанк"</t>
        </is>
      </c>
      <c r="C284" t="inlineStr">
        <is>
          <t>Державний</t>
        </is>
      </c>
      <c r="D284" t="inlineStr">
        <is>
          <t>2629</t>
        </is>
      </c>
      <c r="E284" t="inlineStr">
        <is>
          <t>Кредити фізичним особам (р. 22, 24, 262)</t>
        </is>
      </c>
      <c r="F284" t="inlineStr">
        <is>
          <t>Резерв за коштами на вимогу фізичних осіб</t>
        </is>
      </c>
      <c r="G284" t="inlineStr">
        <is>
          <t>П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</t>
        </is>
      </c>
      <c r="B285" t="inlineStr">
        <is>
          <t>АТ "Укрексімбанк"</t>
        </is>
      </c>
      <c r="C285" t="inlineStr">
        <is>
          <t>Державний</t>
        </is>
      </c>
      <c r="D285" t="inlineStr">
        <is>
          <t>2650</t>
        </is>
      </c>
      <c r="E285" t="inlineStr">
        <is>
          <t>(без привʼязки)</t>
        </is>
      </c>
      <c r="F285" t="inlineStr">
        <is>
          <t>Кошти на вимогу небанківських фінансових установ</t>
        </is>
      </c>
      <c r="G285" t="inlineStr">
        <is>
          <t>А</t>
        </is>
      </c>
      <c r="H285" t="n">
        <v>29564078.0912</v>
      </c>
      <c r="I285" t="n">
        <v>5810870.21387</v>
      </c>
      <c r="J285" t="n">
        <v>23753207.87733</v>
      </c>
      <c r="K285" t="n">
        <v>29480971.97273</v>
      </c>
      <c r="L285" t="n">
        <v>5660141.70364</v>
      </c>
      <c r="M285" t="n">
        <v>23820830.26909</v>
      </c>
      <c r="N285" t="n">
        <v>0</v>
      </c>
      <c r="O285" t="n">
        <v>0</v>
      </c>
      <c r="P285" t="n">
        <v>0</v>
      </c>
    </row>
    <row r="286">
      <c r="A286" t="inlineStr">
        <is>
          <t>2</t>
        </is>
      </c>
      <c r="B286" t="inlineStr">
        <is>
          <t>АТ "Укрексімбанк"</t>
        </is>
      </c>
      <c r="C286" t="inlineStr">
        <is>
          <t>Державний</t>
        </is>
      </c>
      <c r="D286" t="inlineStr">
        <is>
          <t>2650</t>
        </is>
      </c>
      <c r="E286" t="inlineStr">
        <is>
          <t>(без привʼязки)</t>
        </is>
      </c>
      <c r="F286" t="inlineStr">
        <is>
          <t>Кошти на вимогу небанківських фінансових установ</t>
        </is>
      </c>
      <c r="G286" t="inlineStr">
        <is>
          <t>П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1569480.71267</v>
      </c>
      <c r="O286" t="n">
        <v>1239766.97684</v>
      </c>
      <c r="P286" t="n">
        <v>329713.73583</v>
      </c>
    </row>
    <row r="287">
      <c r="A287" t="inlineStr">
        <is>
          <t>2</t>
        </is>
      </c>
      <c r="B287" t="inlineStr">
        <is>
          <t>АТ "Укрексімбанк"</t>
        </is>
      </c>
      <c r="C287" t="inlineStr">
        <is>
          <t>Державний</t>
        </is>
      </c>
      <c r="D287" t="inlineStr">
        <is>
          <t>2650</t>
        </is>
      </c>
      <c r="E287" t="inlineStr">
        <is>
          <t>Кредити небанківським установам (265)</t>
        </is>
      </c>
      <c r="F287" t="inlineStr">
        <is>
          <t>Кошти на вимогу небанківських фінансових установ</t>
        </is>
      </c>
      <c r="G287" t="inlineStr">
        <is>
          <t>П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1569480.71267</v>
      </c>
      <c r="O287" t="n">
        <v>1239766.97684</v>
      </c>
      <c r="P287" t="n">
        <v>329713.73583</v>
      </c>
    </row>
    <row r="288">
      <c r="A288" t="inlineStr">
        <is>
          <t>2</t>
        </is>
      </c>
      <c r="B288" t="inlineStr">
        <is>
          <t>АТ "Укрексімбанк"</t>
        </is>
      </c>
      <c r="C288" t="inlineStr">
        <is>
          <t>Державний</t>
        </is>
      </c>
      <c r="D288" t="inlineStr">
        <is>
          <t>2650</t>
        </is>
      </c>
      <c r="E288" t="inlineStr">
        <is>
          <t>Кредити небанківським установам (265)</t>
        </is>
      </c>
      <c r="F288" t="inlineStr">
        <is>
          <t>Кошти на вимогу небанківських фінансових установ</t>
        </is>
      </c>
      <c r="G288" t="inlineStr">
        <is>
          <t>П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1569480.71267</v>
      </c>
      <c r="O288" t="n">
        <v>1239766.97684</v>
      </c>
      <c r="P288" t="n">
        <v>329713.73583</v>
      </c>
    </row>
    <row r="289">
      <c r="A289" t="inlineStr">
        <is>
          <t>2</t>
        </is>
      </c>
      <c r="B289" t="inlineStr">
        <is>
          <t>АТ "Укрексімбанк"</t>
        </is>
      </c>
      <c r="C289" t="inlineStr">
        <is>
          <t>Державний</t>
        </is>
      </c>
      <c r="D289" t="inlineStr">
        <is>
          <t>2657</t>
        </is>
      </c>
      <c r="E289" t="inlineStr">
        <is>
          <t>(без привʼязки)</t>
        </is>
      </c>
      <c r="F289" t="inlineStr">
        <is>
          <t>Нараховані доходи за кредитами овердрафт, що надані небанківським фінансовим установам</t>
        </is>
      </c>
      <c r="G289" t="inlineStr">
        <is>
          <t>А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2</t>
        </is>
      </c>
      <c r="B290" t="inlineStr">
        <is>
          <t>АТ "Укрексімбанк"</t>
        </is>
      </c>
      <c r="C290" t="inlineStr">
        <is>
          <t>Державний</t>
        </is>
      </c>
      <c r="D290" t="inlineStr">
        <is>
          <t>2659</t>
        </is>
      </c>
      <c r="E290" t="inlineStr">
        <is>
          <t>(без привʼязки)</t>
        </is>
      </c>
      <c r="F290" t="inlineStr">
        <is>
          <t>Резерв за коштами небанківських фінансових установ</t>
        </is>
      </c>
      <c r="G290" t="inlineStr">
        <is>
          <t>П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2</t>
        </is>
      </c>
      <c r="B291" t="inlineStr">
        <is>
          <t>АТ "Укрексімбанк"</t>
        </is>
      </c>
      <c r="C291" t="inlineStr">
        <is>
          <t>Державний</t>
        </is>
      </c>
      <c r="D291" t="inlineStr">
        <is>
          <t>2800</t>
        </is>
      </c>
      <c r="E291" t="inlineStr">
        <is>
          <t>(без привʼязки)</t>
        </is>
      </c>
      <c r="F291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291" t="inlineStr">
        <is>
          <t>А</t>
        </is>
      </c>
      <c r="H291" t="n">
        <v>146914.74901</v>
      </c>
      <c r="I291" t="n">
        <v>73620.71752000001</v>
      </c>
      <c r="J291" t="n">
        <v>73294.03148999999</v>
      </c>
      <c r="K291" t="n">
        <v>146914.74901</v>
      </c>
      <c r="L291" t="n">
        <v>73620.71752000001</v>
      </c>
      <c r="M291" t="n">
        <v>73294.03148999999</v>
      </c>
      <c r="N291" t="n">
        <v>0</v>
      </c>
      <c r="O291" t="n">
        <v>0</v>
      </c>
      <c r="P291" t="n">
        <v>0</v>
      </c>
    </row>
    <row r="292">
      <c r="A292" t="inlineStr">
        <is>
          <t>2</t>
        </is>
      </c>
      <c r="B292" t="inlineStr">
        <is>
          <t>АТ "Укрексімбанк"</t>
        </is>
      </c>
      <c r="C292" t="inlineStr">
        <is>
          <t>Державний</t>
        </is>
      </c>
      <c r="D292" t="inlineStr">
        <is>
          <t>2801</t>
        </is>
      </c>
      <c r="E292" t="inlineStr">
        <is>
          <t>(без привʼязки)</t>
        </is>
      </c>
      <c r="F292" t="inlineStr">
        <is>
          <t>Дебіторська заборгованість за розрахунками за цінними паперами для клієнтів банку</t>
        </is>
      </c>
      <c r="G292" t="inlineStr">
        <is>
          <t>А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2</t>
        </is>
      </c>
      <c r="B293" t="inlineStr">
        <is>
          <t>АТ "Укрексімбанк"</t>
        </is>
      </c>
      <c r="C293" t="inlineStr">
        <is>
          <t>Державний</t>
        </is>
      </c>
      <c r="D293" t="inlineStr">
        <is>
          <t>2807</t>
        </is>
      </c>
      <c r="E293" t="inlineStr">
        <is>
          <t>(без привʼязки)</t>
        </is>
      </c>
      <c r="F293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G293" t="inlineStr">
        <is>
          <t>А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2</t>
        </is>
      </c>
      <c r="B294" t="inlineStr">
        <is>
          <t>АТ "Укрексімбанк"</t>
        </is>
      </c>
      <c r="C294" t="inlineStr">
        <is>
          <t>Державний</t>
        </is>
      </c>
      <c r="D294" t="inlineStr">
        <is>
          <t>2809</t>
        </is>
      </c>
      <c r="E294" t="inlineStr">
        <is>
          <t>(без привʼязки)</t>
        </is>
      </c>
      <c r="F294" t="inlineStr">
        <is>
          <t>Інша дебіторська заборгованість за операціями з клієнтами банку</t>
        </is>
      </c>
      <c r="G294" t="inlineStr">
        <is>
          <t>А</t>
        </is>
      </c>
      <c r="H294" t="n">
        <v>110517.95548</v>
      </c>
      <c r="I294" t="n">
        <v>97766.13924</v>
      </c>
      <c r="J294" t="n">
        <v>12751.81624</v>
      </c>
      <c r="K294" t="n">
        <v>110297.60878</v>
      </c>
      <c r="L294" t="n">
        <v>97834.5589</v>
      </c>
      <c r="M294" t="n">
        <v>12463.04988</v>
      </c>
      <c r="N294" t="n">
        <v>78657.42004</v>
      </c>
      <c r="O294" t="n">
        <v>22742.81188</v>
      </c>
      <c r="P294" t="n">
        <v>55914.60816</v>
      </c>
    </row>
    <row r="295">
      <c r="A295" t="inlineStr">
        <is>
          <t>2</t>
        </is>
      </c>
      <c r="B295" t="inlineStr">
        <is>
          <t>АТ "Укрексімбанк"</t>
        </is>
      </c>
      <c r="C295" t="inlineStr">
        <is>
          <t>Державний</t>
        </is>
      </c>
      <c r="D295" t="inlineStr">
        <is>
          <t>2890</t>
        </is>
      </c>
      <c r="E295" t="inlineStr">
        <is>
          <t>(без привʼязки)</t>
        </is>
      </c>
      <c r="F295" t="inlineStr">
        <is>
          <t>Резерви під дебіторську заборгованість за операціями з клієнтами банку</t>
        </is>
      </c>
      <c r="G295" t="inlineStr">
        <is>
          <t>П</t>
        </is>
      </c>
      <c r="H295" t="n">
        <v>859.43962</v>
      </c>
      <c r="I295" t="n">
        <v>157.90471</v>
      </c>
      <c r="J295" t="n">
        <v>701.53491</v>
      </c>
      <c r="K295" t="n">
        <v>1165.23157</v>
      </c>
      <c r="L295" t="n">
        <v>155.31133</v>
      </c>
      <c r="M295" t="n">
        <v>1009.92024</v>
      </c>
      <c r="N295" t="n">
        <v>-76383.92134</v>
      </c>
      <c r="O295" t="n">
        <v>-20478.21235</v>
      </c>
      <c r="P295" t="n">
        <v>-55905.70899</v>
      </c>
    </row>
    <row r="296">
      <c r="A296" t="inlineStr">
        <is>
          <t>2</t>
        </is>
      </c>
      <c r="B296" t="inlineStr">
        <is>
          <t>АТ "Укрексімбанк"</t>
        </is>
      </c>
      <c r="C296" t="inlineStr">
        <is>
          <t>Державний</t>
        </is>
      </c>
      <c r="D296" t="inlineStr">
        <is>
          <t>2920</t>
        </is>
      </c>
      <c r="E296" t="inlineStr">
        <is>
          <t>(без привʼязки)</t>
        </is>
      </c>
      <c r="F296" t="inlineStr">
        <is>
          <t>Транзитний рахунок за операціями, здійсненими через банкомат</t>
        </is>
      </c>
      <c r="G296" t="inlineStr">
        <is>
          <t>А</t>
        </is>
      </c>
      <c r="H296" t="n">
        <v>1104651.472</v>
      </c>
      <c r="I296" t="n">
        <v>1104651.472</v>
      </c>
      <c r="J296" t="n">
        <v>0</v>
      </c>
      <c r="K296" t="n">
        <v>1104651.472</v>
      </c>
      <c r="L296" t="n">
        <v>1104651.472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2</t>
        </is>
      </c>
      <c r="B297" t="inlineStr">
        <is>
          <t>АТ "Укрексімбанк"</t>
        </is>
      </c>
      <c r="C297" t="inlineStr">
        <is>
          <t>Державний</t>
        </is>
      </c>
      <c r="D297" t="inlineStr">
        <is>
          <t>2920</t>
        </is>
      </c>
      <c r="E297" t="inlineStr">
        <is>
          <t>(без привʼязки)</t>
        </is>
      </c>
      <c r="F297" t="inlineStr">
        <is>
          <t>Транзитний рахунок за операціями, здійсненими через банкомат</t>
        </is>
      </c>
      <c r="G297" t="inlineStr">
        <is>
          <t>П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2</t>
        </is>
      </c>
      <c r="B298" t="inlineStr">
        <is>
          <t>АТ "Укрексімбанк"</t>
        </is>
      </c>
      <c r="C298" t="inlineStr">
        <is>
          <t>Державний</t>
        </is>
      </c>
      <c r="D298" t="inlineStr">
        <is>
          <t>2924</t>
        </is>
      </c>
      <c r="E298" t="inlineStr">
        <is>
          <t>(без привʼязки)</t>
        </is>
      </c>
      <c r="F298" t="inlineStr">
        <is>
          <t>Транзитний рахунок за операціями, здійсненими з використанням платіжних карток</t>
        </is>
      </c>
      <c r="G298" t="inlineStr">
        <is>
          <t>А</t>
        </is>
      </c>
      <c r="H298" t="n">
        <v>29234125.18118</v>
      </c>
      <c r="I298" t="n">
        <v>21403469.57246</v>
      </c>
      <c r="J298" t="n">
        <v>7830655.60872</v>
      </c>
      <c r="K298" t="n">
        <v>29173755.96754</v>
      </c>
      <c r="L298" t="n">
        <v>21238825.25736</v>
      </c>
      <c r="M298" t="n">
        <v>7934930.71018</v>
      </c>
      <c r="N298" t="n">
        <v>499698.55243</v>
      </c>
      <c r="O298" t="n">
        <v>410479.18275</v>
      </c>
      <c r="P298" t="n">
        <v>89219.36968</v>
      </c>
    </row>
    <row r="299">
      <c r="A299" t="inlineStr">
        <is>
          <t>2</t>
        </is>
      </c>
      <c r="B299" t="inlineStr">
        <is>
          <t>АТ "Укрексімбанк"</t>
        </is>
      </c>
      <c r="C299" t="inlineStr">
        <is>
          <t>Державний</t>
        </is>
      </c>
      <c r="D299" t="inlineStr">
        <is>
          <t>2924</t>
        </is>
      </c>
      <c r="E299" t="inlineStr">
        <is>
          <t>(без привʼязки)</t>
        </is>
      </c>
      <c r="F299" t="inlineStr">
        <is>
          <t>Транзитний рахунок за операціями, здійсненими з використанням платіжних карток</t>
        </is>
      </c>
      <c r="G299" t="inlineStr">
        <is>
          <t>П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720767.6765300001</v>
      </c>
      <c r="O299" t="n">
        <v>556596.94005</v>
      </c>
      <c r="P299" t="n">
        <v>164170.73648</v>
      </c>
    </row>
    <row r="300">
      <c r="A300" t="inlineStr">
        <is>
          <t>2</t>
        </is>
      </c>
      <c r="B300" t="inlineStr">
        <is>
          <t>АТ "Укрексімбанк"</t>
        </is>
      </c>
      <c r="C300" t="inlineStr">
        <is>
          <t>Державний</t>
        </is>
      </c>
      <c r="D300" t="inlineStr">
        <is>
          <t>3003</t>
        </is>
      </c>
      <c r="E300" t="inlineStr">
        <is>
          <t>(без привʼязки)</t>
        </is>
      </c>
      <c r="F300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G300" t="inlineStr">
        <is>
          <t>А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2</t>
        </is>
      </c>
      <c r="B301" t="inlineStr">
        <is>
          <t>АТ "Укрексімбанк"</t>
        </is>
      </c>
      <c r="C301" t="inlineStr">
        <is>
          <t>Державний</t>
        </is>
      </c>
      <c r="D301" t="inlineStr">
        <is>
          <t>3005</t>
        </is>
      </c>
      <c r="E301" t="inlineStr">
        <is>
          <t>(без привʼязки)</t>
        </is>
      </c>
      <c r="F301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G301" t="inlineStr">
        <is>
          <t>А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2</t>
        </is>
      </c>
      <c r="B302" t="inlineStr">
        <is>
          <t>АТ "Укрексімбанк"</t>
        </is>
      </c>
      <c r="C302" t="inlineStr">
        <is>
          <t>Державний</t>
        </is>
      </c>
      <c r="D302" t="inlineStr">
        <is>
          <t>3007</t>
        </is>
      </c>
      <c r="E302" t="inlineStr">
        <is>
          <t>(без привʼязки)</t>
        </is>
      </c>
      <c r="F302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302" t="inlineStr">
        <is>
          <t>А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2</t>
        </is>
      </c>
      <c r="B303" t="inlineStr">
        <is>
          <t>АТ "Укрексімбанк"</t>
        </is>
      </c>
      <c r="C303" t="inlineStr">
        <is>
          <t>Державний</t>
        </is>
      </c>
      <c r="D303" t="inlineStr">
        <is>
          <t>3007</t>
        </is>
      </c>
      <c r="E303" t="inlineStr">
        <is>
          <t>(без привʼязки)</t>
        </is>
      </c>
      <c r="F303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303" t="inlineStr">
        <is>
          <t>П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2</t>
        </is>
      </c>
      <c r="B304" t="inlineStr">
        <is>
          <t>АТ "Укрексімбанк"</t>
        </is>
      </c>
      <c r="C304" t="inlineStr">
        <is>
          <t>Державний</t>
        </is>
      </c>
      <c r="D304" t="inlineStr">
        <is>
          <t>3008</t>
        </is>
      </c>
      <c r="E304" t="inlineStr">
        <is>
          <t>(без привʼязки)</t>
        </is>
      </c>
      <c r="F30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G304" t="inlineStr">
        <is>
          <t>А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2</t>
        </is>
      </c>
      <c r="B305" t="inlineStr">
        <is>
          <t>АТ "Укрексімбанк"</t>
        </is>
      </c>
      <c r="C305" t="inlineStr">
        <is>
          <t>Державний</t>
        </is>
      </c>
      <c r="D305" t="inlineStr">
        <is>
          <t>3010</t>
        </is>
      </c>
      <c r="E305" t="inlineStr">
        <is>
          <t>(без привʼязки)</t>
        </is>
      </c>
      <c r="F305" t="inlineStr">
        <is>
          <t>Боргові державні цінні папери, які обліковуються за справедливою вартістю через прибутки/збитки</t>
        </is>
      </c>
      <c r="G305" t="inlineStr">
        <is>
          <t>А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2</t>
        </is>
      </c>
      <c r="B306" t="inlineStr">
        <is>
          <t>АТ "Укрексімбанк"</t>
        </is>
      </c>
      <c r="C306" t="inlineStr">
        <is>
          <t>Державний</t>
        </is>
      </c>
      <c r="D306" t="inlineStr">
        <is>
          <t>3015</t>
        </is>
      </c>
      <c r="E306" t="inlineStr">
        <is>
          <t>(без привʼязки)</t>
        </is>
      </c>
      <c r="F306" t="inlineStr">
        <is>
          <t>Переоцінка боргових цінних паперів, які обліковуються за справедливою вартістю через прибутки/збитки</t>
        </is>
      </c>
      <c r="G306" t="inlineStr">
        <is>
          <t>А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2</t>
        </is>
      </c>
      <c r="B307" t="inlineStr">
        <is>
          <t>АТ "Укрексімбанк"</t>
        </is>
      </c>
      <c r="C307" t="inlineStr">
        <is>
          <t>Державний</t>
        </is>
      </c>
      <c r="D307" t="inlineStr">
        <is>
          <t>3015</t>
        </is>
      </c>
      <c r="E307" t="inlineStr">
        <is>
          <t>(без привʼязки)</t>
        </is>
      </c>
      <c r="F307" t="inlineStr">
        <is>
          <t>Переоцінка боргових цінних паперів, які обліковуються за справедливою вартістю через прибутки/збитки</t>
        </is>
      </c>
      <c r="G307" t="inlineStr">
        <is>
          <t>П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2</t>
        </is>
      </c>
      <c r="B308" t="inlineStr">
        <is>
          <t>АТ "Укрексімбанк"</t>
        </is>
      </c>
      <c r="C308" t="inlineStr">
        <is>
          <t>Державний</t>
        </is>
      </c>
      <c r="D308" t="inlineStr">
        <is>
          <t>3016</t>
        </is>
      </c>
      <c r="E308" t="inlineStr">
        <is>
          <t>(без привʼязки)</t>
        </is>
      </c>
      <c r="F308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308" t="inlineStr">
        <is>
          <t>А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2</t>
        </is>
      </c>
      <c r="B309" t="inlineStr">
        <is>
          <t>АТ "Укрексімбанк"</t>
        </is>
      </c>
      <c r="C309" t="inlineStr">
        <is>
          <t>Державний</t>
        </is>
      </c>
      <c r="D309" t="inlineStr">
        <is>
          <t>3016</t>
        </is>
      </c>
      <c r="E309" t="inlineStr">
        <is>
          <t>(без привʼязки)</t>
        </is>
      </c>
      <c r="F309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309" t="inlineStr">
        <is>
          <t>П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2</t>
        </is>
      </c>
      <c r="B310" t="inlineStr">
        <is>
          <t>АТ "Укрексімбанк"</t>
        </is>
      </c>
      <c r="C310" t="inlineStr">
        <is>
          <t>Державний</t>
        </is>
      </c>
      <c r="D310" t="inlineStr">
        <is>
          <t>3018</t>
        </is>
      </c>
      <c r="E310" t="inlineStr">
        <is>
          <t>(без привʼязки)</t>
        </is>
      </c>
      <c r="F310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G310" t="inlineStr">
        <is>
          <t>А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2</t>
        </is>
      </c>
      <c r="B311" t="inlineStr">
        <is>
          <t>АТ "Укрексімбанк"</t>
        </is>
      </c>
      <c r="C311" t="inlineStr">
        <is>
          <t>Державний</t>
        </is>
      </c>
      <c r="D311" t="inlineStr">
        <is>
          <t>3041</t>
        </is>
      </c>
      <c r="E311" t="inlineStr">
        <is>
          <t>(без привʼязки)</t>
        </is>
      </c>
      <c r="F311" t="inlineStr">
        <is>
          <t>Активи за форвардними контрактами, які обліковуються за справедливою вартістю через прибутки/збитки</t>
        </is>
      </c>
      <c r="G311" t="inlineStr">
        <is>
          <t>А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2</t>
        </is>
      </c>
      <c r="B312" t="inlineStr">
        <is>
          <t>АТ "Укрексімбанк"</t>
        </is>
      </c>
      <c r="C312" t="inlineStr">
        <is>
          <t>Державний</t>
        </is>
      </c>
      <c r="D312" t="inlineStr">
        <is>
          <t>3043</t>
        </is>
      </c>
      <c r="E312" t="inlineStr">
        <is>
          <t>(без привʼязки)</t>
        </is>
      </c>
      <c r="F312" t="inlineStr">
        <is>
          <t>Активи за валютними своп-контрактами, які обліковуються за справедливою вартістю через прибутки/збитки</t>
        </is>
      </c>
      <c r="G312" t="inlineStr">
        <is>
          <t>А</t>
        </is>
      </c>
      <c r="H312" t="n">
        <v>12271.05562</v>
      </c>
      <c r="I312" t="n">
        <v>12271.05562</v>
      </c>
      <c r="J312" t="n">
        <v>0</v>
      </c>
      <c r="K312" t="n">
        <v>12271.05562</v>
      </c>
      <c r="L312" t="n">
        <v>12271.05562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2</t>
        </is>
      </c>
      <c r="B313" t="inlineStr">
        <is>
          <t>АТ "Укрексімбанк"</t>
        </is>
      </c>
      <c r="C313" t="inlineStr">
        <is>
          <t>Державний</t>
        </is>
      </c>
      <c r="D313" t="inlineStr">
        <is>
          <t>3044</t>
        </is>
      </c>
      <c r="E313" t="inlineStr">
        <is>
          <t>(без привʼязки)</t>
        </is>
      </c>
      <c r="F313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G313" t="inlineStr">
        <is>
          <t>А</t>
        </is>
      </c>
      <c r="H313" t="n">
        <v>442306.10733</v>
      </c>
      <c r="I313" t="n">
        <v>442306.10733</v>
      </c>
      <c r="J313" t="n">
        <v>0</v>
      </c>
      <c r="K313" t="n">
        <v>443380.09676</v>
      </c>
      <c r="L313" t="n">
        <v>443380.09676</v>
      </c>
      <c r="M313" t="n">
        <v>0</v>
      </c>
      <c r="N313" t="n">
        <v>22182.45986</v>
      </c>
      <c r="O313" t="n">
        <v>22182.45986</v>
      </c>
      <c r="P313" t="n">
        <v>0</v>
      </c>
    </row>
    <row r="314">
      <c r="A314" t="inlineStr">
        <is>
          <t>2</t>
        </is>
      </c>
      <c r="B314" t="inlineStr">
        <is>
          <t>АТ "Укрексімбанк"</t>
        </is>
      </c>
      <c r="C314" t="inlineStr">
        <is>
          <t>Державний</t>
        </is>
      </c>
      <c r="D314" t="inlineStr">
        <is>
          <t>3049</t>
        </is>
      </c>
      <c r="E314" t="inlineStr">
        <is>
          <t>(без привʼязки)</t>
        </is>
      </c>
      <c r="F3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G314" t="inlineStr">
        <is>
          <t>А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2</t>
        </is>
      </c>
      <c r="B315" t="inlineStr">
        <is>
          <t>АТ "Укрексімбанк"</t>
        </is>
      </c>
      <c r="C315" t="inlineStr">
        <is>
          <t>Державний</t>
        </is>
      </c>
      <c r="D315" t="inlineStr">
        <is>
          <t>3102</t>
        </is>
      </c>
      <c r="E315" t="inlineStr">
        <is>
          <t>(без привʼязки)</t>
        </is>
      </c>
      <c r="F315" t="inlineStr">
        <is>
          <t>Акції, що випущені банками, які обліковуються за справедливою вартістю через інший сукупний дохід</t>
        </is>
      </c>
      <c r="G315" t="inlineStr">
        <is>
          <t>А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2</t>
        </is>
      </c>
      <c r="B316" t="inlineStr">
        <is>
          <t>АТ "Укрексімбанк"</t>
        </is>
      </c>
      <c r="C316" t="inlineStr">
        <is>
          <t>Державний</t>
        </is>
      </c>
      <c r="D316" t="inlineStr">
        <is>
          <t>3103</t>
        </is>
      </c>
      <c r="E316" t="inlineStr">
        <is>
          <t>(без привʼязки)</t>
        </is>
      </c>
      <c r="F316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G316" t="inlineStr">
        <is>
          <t>А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15946.8</v>
      </c>
      <c r="O316" t="n">
        <v>15946.8</v>
      </c>
      <c r="P316" t="n">
        <v>0</v>
      </c>
    </row>
    <row r="317">
      <c r="A317" t="inlineStr">
        <is>
          <t>2</t>
        </is>
      </c>
      <c r="B317" t="inlineStr">
        <is>
          <t>АТ "Укрексімбанк"</t>
        </is>
      </c>
      <c r="C317" t="inlineStr">
        <is>
          <t>Державний</t>
        </is>
      </c>
      <c r="D317" t="inlineStr">
        <is>
          <t>3105</t>
        </is>
      </c>
      <c r="E317" t="inlineStr">
        <is>
          <t>(без привʼязки)</t>
        </is>
      </c>
      <c r="F317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G317" t="inlineStr">
        <is>
          <t>А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57227.96523</v>
      </c>
      <c r="O317" t="n">
        <v>57227.96523</v>
      </c>
      <c r="P317" t="n">
        <v>0</v>
      </c>
    </row>
    <row r="318">
      <c r="A318" t="inlineStr">
        <is>
          <t>2</t>
        </is>
      </c>
      <c r="B318" t="inlineStr">
        <is>
          <t>АТ "Укрексімбанк"</t>
        </is>
      </c>
      <c r="C318" t="inlineStr">
        <is>
          <t>Державний</t>
        </is>
      </c>
      <c r="D318" t="inlineStr">
        <is>
          <t>3107</t>
        </is>
      </c>
      <c r="E318" t="inlineStr">
        <is>
          <t>(без привʼязки)</t>
        </is>
      </c>
      <c r="F318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318" t="inlineStr">
        <is>
          <t>А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3528.16308</v>
      </c>
      <c r="O318" t="n">
        <v>3528.16308</v>
      </c>
      <c r="P318" t="n">
        <v>0</v>
      </c>
    </row>
    <row r="319">
      <c r="A319" t="inlineStr">
        <is>
          <t>2</t>
        </is>
      </c>
      <c r="B319" t="inlineStr">
        <is>
          <t>АТ "Укрексімбанк"</t>
        </is>
      </c>
      <c r="C319" t="inlineStr">
        <is>
          <t>Державний</t>
        </is>
      </c>
      <c r="D319" t="inlineStr">
        <is>
          <t>3107</t>
        </is>
      </c>
      <c r="E319" t="inlineStr">
        <is>
          <t>(без привʼязки)</t>
        </is>
      </c>
      <c r="F319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319" t="inlineStr">
        <is>
          <t>П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-56951.20377</v>
      </c>
      <c r="O319" t="n">
        <v>-56951.20377</v>
      </c>
      <c r="P319" t="n">
        <v>0</v>
      </c>
    </row>
    <row r="320">
      <c r="A320" t="inlineStr">
        <is>
          <t>2</t>
        </is>
      </c>
      <c r="B320" t="inlineStr">
        <is>
          <t>АТ "Укрексімбанк"</t>
        </is>
      </c>
      <c r="C320" t="inlineStr">
        <is>
          <t>Державний</t>
        </is>
      </c>
      <c r="D320" t="inlineStr">
        <is>
          <t>3108</t>
        </is>
      </c>
      <c r="E320" t="inlineStr">
        <is>
          <t>(без привʼязки)</t>
        </is>
      </c>
      <c r="F320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G320" t="inlineStr">
        <is>
          <t>А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2</t>
        </is>
      </c>
      <c r="B321" t="inlineStr">
        <is>
          <t>АТ "Укрексімбанк"</t>
        </is>
      </c>
      <c r="C321" t="inlineStr">
        <is>
          <t>Державний</t>
        </is>
      </c>
      <c r="D321" t="inlineStr">
        <is>
          <t>3110</t>
        </is>
      </c>
      <c r="E321" t="inlineStr">
        <is>
          <t>(без привʼязки)</t>
        </is>
      </c>
      <c r="F321" t="inlineStr">
        <is>
          <t>Боргові державні цінні папери, які обліковуються за справедливою вартістю через інший сукупний дохід</t>
        </is>
      </c>
      <c r="G321" t="inlineStr">
        <is>
          <t>А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2</t>
        </is>
      </c>
      <c r="B322" t="inlineStr">
        <is>
          <t>АТ "Укрексімбанк"</t>
        </is>
      </c>
      <c r="C322" t="inlineStr">
        <is>
          <t>Державний</t>
        </is>
      </c>
      <c r="D322" t="inlineStr">
        <is>
          <t>3112</t>
        </is>
      </c>
      <c r="E322" t="inlineStr">
        <is>
          <t>(без привʼязки)</t>
        </is>
      </c>
      <c r="F322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G322" t="inlineStr">
        <is>
          <t>А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2</t>
        </is>
      </c>
      <c r="B323" t="inlineStr">
        <is>
          <t>АТ "Укрексімбанк"</t>
        </is>
      </c>
      <c r="C323" t="inlineStr">
        <is>
          <t>Державний</t>
        </is>
      </c>
      <c r="D323" t="inlineStr">
        <is>
          <t>3113</t>
        </is>
      </c>
      <c r="E323" t="inlineStr">
        <is>
          <t>(без привʼязки)</t>
        </is>
      </c>
      <c r="F323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G323" t="inlineStr">
        <is>
          <t>А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2</t>
        </is>
      </c>
      <c r="B324" t="inlineStr">
        <is>
          <t>АТ "Укрексімбанк"</t>
        </is>
      </c>
      <c r="C324" t="inlineStr">
        <is>
          <t>Державний</t>
        </is>
      </c>
      <c r="D324" t="inlineStr">
        <is>
          <t>3114</t>
        </is>
      </c>
      <c r="E324" t="inlineStr">
        <is>
          <t>(без привʼязки)</t>
        </is>
      </c>
      <c r="F32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G324" t="inlineStr">
        <is>
          <t>А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2</t>
        </is>
      </c>
      <c r="B325" t="inlineStr">
        <is>
          <t>АТ "Укрексімбанк"</t>
        </is>
      </c>
      <c r="C325" t="inlineStr">
        <is>
          <t>Державний</t>
        </is>
      </c>
      <c r="D325" t="inlineStr">
        <is>
          <t>3115</t>
        </is>
      </c>
      <c r="E325" t="inlineStr">
        <is>
          <t>(без привʼязки)</t>
        </is>
      </c>
      <c r="F325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325" t="inlineStr">
        <is>
          <t>А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2</t>
        </is>
      </c>
      <c r="B326" t="inlineStr">
        <is>
          <t>АТ "Укрексімбанк"</t>
        </is>
      </c>
      <c r="C326" t="inlineStr">
        <is>
          <t>Державний</t>
        </is>
      </c>
      <c r="D326" t="inlineStr">
        <is>
          <t>3115</t>
        </is>
      </c>
      <c r="E326" t="inlineStr">
        <is>
          <t>(без привʼязки)</t>
        </is>
      </c>
      <c r="F326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326" t="inlineStr">
        <is>
          <t>П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2</t>
        </is>
      </c>
      <c r="B327" t="inlineStr">
        <is>
          <t>АТ "Укрексімбанк"</t>
        </is>
      </c>
      <c r="C327" t="inlineStr">
        <is>
          <t>Державний</t>
        </is>
      </c>
      <c r="D327" t="inlineStr">
        <is>
          <t>3116</t>
        </is>
      </c>
      <c r="E327" t="inlineStr">
        <is>
          <t>(без привʼязки)</t>
        </is>
      </c>
      <c r="F32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327" t="inlineStr">
        <is>
          <t>А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2</t>
        </is>
      </c>
      <c r="B328" t="inlineStr">
        <is>
          <t>АТ "Укрексімбанк"</t>
        </is>
      </c>
      <c r="C328" t="inlineStr">
        <is>
          <t>Державний</t>
        </is>
      </c>
      <c r="D328" t="inlineStr">
        <is>
          <t>3116</t>
        </is>
      </c>
      <c r="E328" t="inlineStr">
        <is>
          <t>(без привʼязки)</t>
        </is>
      </c>
      <c r="F328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328" t="inlineStr">
        <is>
          <t>П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2</t>
        </is>
      </c>
      <c r="B329" t="inlineStr">
        <is>
          <t>АТ "Укрексімбанк"</t>
        </is>
      </c>
      <c r="C329" t="inlineStr">
        <is>
          <t>Державний</t>
        </is>
      </c>
      <c r="D329" t="inlineStr">
        <is>
          <t>3118</t>
        </is>
      </c>
      <c r="E329" t="inlineStr">
        <is>
          <t>(без привʼязки)</t>
        </is>
      </c>
      <c r="F329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G329" t="inlineStr">
        <is>
          <t>А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2</t>
        </is>
      </c>
      <c r="B330" t="inlineStr">
        <is>
          <t>АТ "Укрексімбанк"</t>
        </is>
      </c>
      <c r="C330" t="inlineStr">
        <is>
          <t>Державний</t>
        </is>
      </c>
      <c r="D330" t="inlineStr">
        <is>
          <t>3119</t>
        </is>
      </c>
      <c r="E330" t="inlineStr">
        <is>
          <t>(без привʼязки)</t>
        </is>
      </c>
      <c r="F330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G330" t="inlineStr">
        <is>
          <t>П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2</t>
        </is>
      </c>
      <c r="B331" t="inlineStr">
        <is>
          <t>АТ "Укрексімбанк"</t>
        </is>
      </c>
      <c r="C331" t="inlineStr">
        <is>
          <t>Державний</t>
        </is>
      </c>
      <c r="D331" t="inlineStr">
        <is>
          <t>3210</t>
        </is>
      </c>
      <c r="E331" t="inlineStr">
        <is>
          <t>(без привʼязки)</t>
        </is>
      </c>
      <c r="F331" t="inlineStr">
        <is>
          <t>Боргові державні цінні папери, які обліковуються за амортизованою собівартістю</t>
        </is>
      </c>
      <c r="G331" t="inlineStr">
        <is>
          <t>А</t>
        </is>
      </c>
      <c r="H331" t="n">
        <v>6220374.4</v>
      </c>
      <c r="I331" t="n">
        <v>0</v>
      </c>
      <c r="J331" t="n">
        <v>6220374.4</v>
      </c>
      <c r="K331" t="n">
        <v>4914488.5</v>
      </c>
      <c r="L331" t="n">
        <v>0</v>
      </c>
      <c r="M331" t="n">
        <v>4914488.5</v>
      </c>
      <c r="N331" t="n">
        <v>31216128.3</v>
      </c>
      <c r="O331" t="n">
        <v>0</v>
      </c>
      <c r="P331" t="n">
        <v>31216128.3</v>
      </c>
    </row>
    <row r="332">
      <c r="A332" t="inlineStr">
        <is>
          <t>2</t>
        </is>
      </c>
      <c r="B332" t="inlineStr">
        <is>
          <t>АТ "Укрексімбанк"</t>
        </is>
      </c>
      <c r="C332" t="inlineStr">
        <is>
          <t>Державний</t>
        </is>
      </c>
      <c r="D332" t="inlineStr">
        <is>
          <t>3211</t>
        </is>
      </c>
      <c r="E332" t="inlineStr">
        <is>
          <t>(без привʼязки)</t>
        </is>
      </c>
      <c r="F332" t="inlineStr">
        <is>
          <t>Боргові цінні папери органів місцевого самоврядування, які обліковуються за амортизованою собівартістю</t>
        </is>
      </c>
      <c r="G332" t="inlineStr">
        <is>
          <t>А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80000</v>
      </c>
      <c r="O332" t="n">
        <v>80000</v>
      </c>
      <c r="P332" t="n">
        <v>0</v>
      </c>
    </row>
    <row r="333">
      <c r="A333" t="inlineStr">
        <is>
          <t>2</t>
        </is>
      </c>
      <c r="B333" t="inlineStr">
        <is>
          <t>АТ "Укрексімбанк"</t>
        </is>
      </c>
      <c r="C333" t="inlineStr">
        <is>
          <t>Державний</t>
        </is>
      </c>
      <c r="D333" t="inlineStr">
        <is>
          <t>3212</t>
        </is>
      </c>
      <c r="E333" t="inlineStr">
        <is>
          <t>(без привʼязки)</t>
        </is>
      </c>
      <c r="F333" t="inlineStr">
        <is>
          <t>Боргові цінні папери, випущені банками, які обліковуються за амортизованою собівартістю</t>
        </is>
      </c>
      <c r="G333" t="inlineStr">
        <is>
          <t>А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2</t>
        </is>
      </c>
      <c r="B334" t="inlineStr">
        <is>
          <t>АТ "Укрексімбанк"</t>
        </is>
      </c>
      <c r="C334" t="inlineStr">
        <is>
          <t>Державний</t>
        </is>
      </c>
      <c r="D334" t="inlineStr">
        <is>
          <t>3213</t>
        </is>
      </c>
      <c r="E334" t="inlineStr">
        <is>
          <t>(без привʼязки)</t>
        </is>
      </c>
      <c r="F33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G334" t="inlineStr">
        <is>
          <t>А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24629</v>
      </c>
      <c r="O334" t="n">
        <v>24629</v>
      </c>
      <c r="P334" t="n">
        <v>0</v>
      </c>
    </row>
    <row r="335">
      <c r="A335" t="inlineStr">
        <is>
          <t>2</t>
        </is>
      </c>
      <c r="B335" t="inlineStr">
        <is>
          <t>АТ "Укрексімбанк"</t>
        </is>
      </c>
      <c r="C335" t="inlineStr">
        <is>
          <t>Державний</t>
        </is>
      </c>
      <c r="D335" t="inlineStr">
        <is>
          <t>3214</t>
        </is>
      </c>
      <c r="E335" t="inlineStr">
        <is>
          <t>(без привʼязки)</t>
        </is>
      </c>
      <c r="F335" t="inlineStr">
        <is>
          <t>Боргові цінні папери нефінансових підприємств, які обліковуються за амортизованою собівартістю</t>
        </is>
      </c>
      <c r="G335" t="inlineStr">
        <is>
          <t>А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95000</v>
      </c>
      <c r="O335" t="n">
        <v>95000</v>
      </c>
      <c r="P335" t="n">
        <v>0</v>
      </c>
    </row>
    <row r="336">
      <c r="A336" t="inlineStr">
        <is>
          <t>2</t>
        </is>
      </c>
      <c r="B336" t="inlineStr">
        <is>
          <t>АТ "Укрексімбанк"</t>
        </is>
      </c>
      <c r="C336" t="inlineStr">
        <is>
          <t>Державний</t>
        </is>
      </c>
      <c r="D336" t="inlineStr">
        <is>
          <t>3216</t>
        </is>
      </c>
      <c r="E336" t="inlineStr">
        <is>
          <t>(без привʼязки)</t>
        </is>
      </c>
      <c r="F336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336" t="inlineStr">
        <is>
          <t>А</t>
        </is>
      </c>
      <c r="H336" t="n">
        <v>74197.47478999999</v>
      </c>
      <c r="I336" t="n">
        <v>18.3</v>
      </c>
      <c r="J336" t="n">
        <v>74179.17479</v>
      </c>
      <c r="K336" t="n">
        <v>99818.58981</v>
      </c>
      <c r="L336" t="n">
        <v>40.39156</v>
      </c>
      <c r="M336" t="n">
        <v>99778.19825</v>
      </c>
      <c r="N336" t="n">
        <v>432.4402</v>
      </c>
      <c r="O336" t="n">
        <v>432.4402</v>
      </c>
      <c r="P336" t="n">
        <v>0</v>
      </c>
    </row>
    <row r="337">
      <c r="A337" t="inlineStr">
        <is>
          <t>2</t>
        </is>
      </c>
      <c r="B337" t="inlineStr">
        <is>
          <t>АТ "Укрексімбанк"</t>
        </is>
      </c>
      <c r="C337" t="inlineStr">
        <is>
          <t>Державний</t>
        </is>
      </c>
      <c r="D337" t="inlineStr">
        <is>
          <t>3216</t>
        </is>
      </c>
      <c r="E337" t="inlineStr">
        <is>
          <t>(без привʼязки)</t>
        </is>
      </c>
      <c r="F337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337" t="inlineStr">
        <is>
          <t>П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-296021.47198</v>
      </c>
      <c r="O337" t="n">
        <v>-7.6</v>
      </c>
      <c r="P337" t="n">
        <v>-296013.87198</v>
      </c>
    </row>
    <row r="338">
      <c r="A338" t="inlineStr">
        <is>
          <t>2</t>
        </is>
      </c>
      <c r="B338" t="inlineStr">
        <is>
          <t>АТ "Укрексімбанк"</t>
        </is>
      </c>
      <c r="C338" t="inlineStr">
        <is>
          <t>Державний</t>
        </is>
      </c>
      <c r="D338" t="inlineStr">
        <is>
          <t>3218</t>
        </is>
      </c>
      <c r="E338" t="inlineStr">
        <is>
          <t>(без привʼязки)</t>
        </is>
      </c>
      <c r="F338" t="inlineStr">
        <is>
          <t>Нараховані доходи за борговими цінними паперами, які обліковуються за амортизованою собівартістю</t>
        </is>
      </c>
      <c r="G338" t="inlineStr">
        <is>
          <t>А</t>
        </is>
      </c>
      <c r="H338" t="n">
        <v>2961.7592</v>
      </c>
      <c r="I338" t="n">
        <v>2961.7592</v>
      </c>
      <c r="J338" t="n">
        <v>0</v>
      </c>
      <c r="K338" t="n">
        <v>1105.34952</v>
      </c>
      <c r="L338" t="n">
        <v>1105.34952</v>
      </c>
      <c r="M338" t="n">
        <v>0</v>
      </c>
      <c r="N338" t="n">
        <v>8133.50644</v>
      </c>
      <c r="O338" t="n">
        <v>8133.50644</v>
      </c>
      <c r="P338" t="n">
        <v>0</v>
      </c>
    </row>
    <row r="339">
      <c r="A339" t="inlineStr">
        <is>
          <t>2</t>
        </is>
      </c>
      <c r="B339" t="inlineStr">
        <is>
          <t>АТ "Укрексімбанк"</t>
        </is>
      </c>
      <c r="C339" t="inlineStr">
        <is>
          <t>Державний</t>
        </is>
      </c>
      <c r="D339" t="inlineStr">
        <is>
          <t>3219</t>
        </is>
      </c>
      <c r="E339" t="inlineStr">
        <is>
          <t>(без привʼязки)</t>
        </is>
      </c>
      <c r="F339" t="inlineStr">
        <is>
          <t>Резерв за борговими цінними паперами, які обліковуються за амортизованою собівартістю</t>
        </is>
      </c>
      <c r="G339" t="inlineStr">
        <is>
          <t>П</t>
        </is>
      </c>
      <c r="H339" t="n">
        <v>5.04486</v>
      </c>
      <c r="I339" t="n">
        <v>4.94051</v>
      </c>
      <c r="J339" t="n">
        <v>0.10435</v>
      </c>
      <c r="K339" t="n">
        <v>97.0154</v>
      </c>
      <c r="L339" t="n">
        <v>96.91015</v>
      </c>
      <c r="M339" t="n">
        <v>0.10525</v>
      </c>
      <c r="N339" t="n">
        <v>-6362.73766</v>
      </c>
      <c r="O339" t="n">
        <v>-6362.05314</v>
      </c>
      <c r="P339" t="n">
        <v>-0.68452</v>
      </c>
    </row>
    <row r="340">
      <c r="A340" t="inlineStr">
        <is>
          <t>2</t>
        </is>
      </c>
      <c r="B340" t="inlineStr">
        <is>
          <t>АТ "Укрексімбанк"</t>
        </is>
      </c>
      <c r="C340" t="inlineStr">
        <is>
          <t>Державний</t>
        </is>
      </c>
      <c r="D340" t="inlineStr">
        <is>
          <t>3400</t>
        </is>
      </c>
      <c r="E340" t="inlineStr">
        <is>
          <t>(без привʼязки)</t>
        </is>
      </c>
      <c r="F340" t="inlineStr">
        <is>
          <t>Запаси на складі</t>
        </is>
      </c>
      <c r="G340" t="inlineStr">
        <is>
          <t>А</t>
        </is>
      </c>
      <c r="H340" t="n">
        <v>721.56823</v>
      </c>
      <c r="I340" t="n">
        <v>721.56823</v>
      </c>
      <c r="J340" t="n">
        <v>0</v>
      </c>
      <c r="K340" t="n">
        <v>1004.245</v>
      </c>
      <c r="L340" t="n">
        <v>1004.245</v>
      </c>
      <c r="M340" t="n">
        <v>0</v>
      </c>
      <c r="N340" t="n">
        <v>9728.817429999999</v>
      </c>
      <c r="O340" t="n">
        <v>9728.817429999999</v>
      </c>
      <c r="P340" t="n">
        <v>0</v>
      </c>
    </row>
    <row r="341">
      <c r="A341" t="inlineStr">
        <is>
          <t>2</t>
        </is>
      </c>
      <c r="B341" t="inlineStr">
        <is>
          <t>АТ "Укрексімбанк"</t>
        </is>
      </c>
      <c r="C341" t="inlineStr">
        <is>
          <t>Державний</t>
        </is>
      </c>
      <c r="D341" t="inlineStr">
        <is>
          <t>3402</t>
        </is>
      </c>
      <c r="E341" t="inlineStr">
        <is>
          <t>(без привʼязки)</t>
        </is>
      </c>
      <c r="F341" t="inlineStr">
        <is>
          <t>Запаси в підзвітних осіб</t>
        </is>
      </c>
      <c r="G341" t="inlineStr">
        <is>
          <t>А</t>
        </is>
      </c>
      <c r="H341" t="n">
        <v>799.94816</v>
      </c>
      <c r="I341" t="n">
        <v>799.94816</v>
      </c>
      <c r="J341" t="n">
        <v>0</v>
      </c>
      <c r="K341" t="n">
        <v>2652.29146</v>
      </c>
      <c r="L341" t="n">
        <v>2652.29146</v>
      </c>
      <c r="M341" t="n">
        <v>0</v>
      </c>
      <c r="N341" t="n">
        <v>18640.36092</v>
      </c>
      <c r="O341" t="n">
        <v>18640.36092</v>
      </c>
      <c r="P341" t="n">
        <v>0</v>
      </c>
    </row>
    <row r="342">
      <c r="A342" t="inlineStr">
        <is>
          <t>2</t>
        </is>
      </c>
      <c r="B342" t="inlineStr">
        <is>
          <t>АТ "Укрексімбанк"</t>
        </is>
      </c>
      <c r="C342" t="inlineStr">
        <is>
          <t>Державний</t>
        </is>
      </c>
      <c r="D342" t="inlineStr">
        <is>
          <t>3403</t>
        </is>
      </c>
      <c r="E342" t="inlineStr">
        <is>
          <t>(без привʼязки)</t>
        </is>
      </c>
      <c r="F342" t="inlineStr">
        <is>
          <t>Дорогоцінні метали в банку</t>
        </is>
      </c>
      <c r="G342" t="inlineStr">
        <is>
          <t>А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2</t>
        </is>
      </c>
      <c r="B343" t="inlineStr">
        <is>
          <t>АТ "Укрексімбанк"</t>
        </is>
      </c>
      <c r="C343" t="inlineStr">
        <is>
          <t>Державний</t>
        </is>
      </c>
      <c r="D343" t="inlineStr">
        <is>
          <t>3408</t>
        </is>
      </c>
      <c r="E343" t="inlineStr">
        <is>
          <t>(без привʼязки)</t>
        </is>
      </c>
      <c r="F343" t="inlineStr">
        <is>
          <t>Необоротні активи, утримувані для продажу</t>
        </is>
      </c>
      <c r="G343" t="inlineStr">
        <is>
          <t>А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2</t>
        </is>
      </c>
      <c r="B344" t="inlineStr">
        <is>
          <t>АТ "Укрексімбанк"</t>
        </is>
      </c>
      <c r="C344" t="inlineStr">
        <is>
          <t>Державний</t>
        </is>
      </c>
      <c r="D344" t="inlineStr">
        <is>
          <t>3409</t>
        </is>
      </c>
      <c r="E344" t="inlineStr">
        <is>
          <t>(без привʼязки)</t>
        </is>
      </c>
      <c r="F344" t="inlineStr">
        <is>
          <t>Майно, що перейшло у власність банку як заставодержателя</t>
        </is>
      </c>
      <c r="G344" t="inlineStr">
        <is>
          <t>А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5941.54</v>
      </c>
      <c r="O344" t="n">
        <v>5941.54</v>
      </c>
      <c r="P344" t="n">
        <v>0</v>
      </c>
    </row>
    <row r="345">
      <c r="A345" t="inlineStr">
        <is>
          <t>2</t>
        </is>
      </c>
      <c r="B345" t="inlineStr">
        <is>
          <t>АТ "Укрексімбанк"</t>
        </is>
      </c>
      <c r="C345" t="inlineStr">
        <is>
          <t>Державний</t>
        </is>
      </c>
      <c r="D345" t="inlineStr">
        <is>
          <t>3423</t>
        </is>
      </c>
      <c r="E345" t="inlineStr">
        <is>
          <t>(без привʼязки)</t>
        </is>
      </c>
      <c r="F345" t="inlineStr">
        <is>
          <t>Інвестиції в дочірні небанківські фінансові установи, що утримуються з метою продажу</t>
        </is>
      </c>
      <c r="G345" t="inlineStr">
        <is>
          <t>А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2</t>
        </is>
      </c>
      <c r="B346" t="inlineStr">
        <is>
          <t>АТ "Укрексімбанк"</t>
        </is>
      </c>
      <c r="C346" t="inlineStr">
        <is>
          <t>Державний</t>
        </is>
      </c>
      <c r="D346" t="inlineStr">
        <is>
          <t>3425</t>
        </is>
      </c>
      <c r="E346" t="inlineStr">
        <is>
          <t>(без привʼязки)</t>
        </is>
      </c>
      <c r="F346" t="inlineStr">
        <is>
          <t>Інвестиції в інші дочірні компанії, що утримуються з метою продажу</t>
        </is>
      </c>
      <c r="G346" t="inlineStr">
        <is>
          <t>А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2</t>
        </is>
      </c>
      <c r="B347" t="inlineStr">
        <is>
          <t>АТ "Укрексімбанк"</t>
        </is>
      </c>
      <c r="C347" t="inlineStr">
        <is>
          <t>Державний</t>
        </is>
      </c>
      <c r="D347" t="inlineStr">
        <is>
          <t>3500</t>
        </is>
      </c>
      <c r="E347" t="inlineStr">
        <is>
          <t>(без привʼязки)</t>
        </is>
      </c>
      <c r="F347" t="inlineStr">
        <is>
          <t>Витрати майбутніх періодів</t>
        </is>
      </c>
      <c r="G347" t="inlineStr">
        <is>
          <t>А</t>
        </is>
      </c>
      <c r="H347" t="n">
        <v>9635.63279</v>
      </c>
      <c r="I347" t="n">
        <v>9627.17107</v>
      </c>
      <c r="J347" t="n">
        <v>8.46172</v>
      </c>
      <c r="K347" t="n">
        <v>12752.84375</v>
      </c>
      <c r="L347" t="n">
        <v>12707.28447</v>
      </c>
      <c r="M347" t="n">
        <v>45.55928</v>
      </c>
      <c r="N347" t="n">
        <v>70153.29246</v>
      </c>
      <c r="O347" t="n">
        <v>69840.58989</v>
      </c>
      <c r="P347" t="n">
        <v>312.70257</v>
      </c>
    </row>
    <row r="348">
      <c r="A348" t="inlineStr">
        <is>
          <t>2</t>
        </is>
      </c>
      <c r="B348" t="inlineStr">
        <is>
          <t>АТ "Укрексімбанк"</t>
        </is>
      </c>
      <c r="C348" t="inlineStr">
        <is>
          <t>Державний</t>
        </is>
      </c>
      <c r="D348" t="inlineStr">
        <is>
          <t>3510</t>
        </is>
      </c>
      <c r="E348" t="inlineStr">
        <is>
          <t>(без привʼязки)</t>
        </is>
      </c>
      <c r="F348" t="inlineStr">
        <is>
          <t>Дебіторська заборгованість з придбання активів</t>
        </is>
      </c>
      <c r="G348" t="inlineStr">
        <is>
          <t>А</t>
        </is>
      </c>
      <c r="H348" t="n">
        <v>26107.6804</v>
      </c>
      <c r="I348" t="n">
        <v>26107.6804</v>
      </c>
      <c r="J348" t="n">
        <v>0</v>
      </c>
      <c r="K348" t="n">
        <v>25879.17982</v>
      </c>
      <c r="L348" t="n">
        <v>25879.17982</v>
      </c>
      <c r="M348" t="n">
        <v>0</v>
      </c>
      <c r="N348" t="n">
        <v>17473.4406</v>
      </c>
      <c r="O348" t="n">
        <v>17473.4406</v>
      </c>
      <c r="P348" t="n">
        <v>0</v>
      </c>
    </row>
    <row r="349">
      <c r="A349" t="inlineStr">
        <is>
          <t>2</t>
        </is>
      </c>
      <c r="B349" t="inlineStr">
        <is>
          <t>АТ "Укрексімбанк"</t>
        </is>
      </c>
      <c r="C349" t="inlineStr">
        <is>
          <t>Державний</t>
        </is>
      </c>
      <c r="D349" t="inlineStr">
        <is>
          <t>3511</t>
        </is>
      </c>
      <c r="E349" t="inlineStr">
        <is>
          <t>(без привʼязки)</t>
        </is>
      </c>
      <c r="F349" t="inlineStr">
        <is>
          <t xml:space="preserve">Договірний актив </t>
        </is>
      </c>
      <c r="G349" t="inlineStr">
        <is>
          <t>А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2</t>
        </is>
      </c>
      <c r="B350" t="inlineStr">
        <is>
          <t>АТ "Укрексімбанк"</t>
        </is>
      </c>
      <c r="C350" t="inlineStr">
        <is>
          <t>Державний</t>
        </is>
      </c>
      <c r="D350" t="inlineStr">
        <is>
          <t>3519</t>
        </is>
      </c>
      <c r="E350" t="inlineStr">
        <is>
          <t>(без привʼязки)</t>
        </is>
      </c>
      <c r="F350" t="inlineStr">
        <is>
          <t>Дебіторська заборгованість за послуги</t>
        </is>
      </c>
      <c r="G350" t="inlineStr">
        <is>
          <t>А</t>
        </is>
      </c>
      <c r="H350" t="n">
        <v>30159.59587</v>
      </c>
      <c r="I350" t="n">
        <v>30159.59587</v>
      </c>
      <c r="J350" t="n">
        <v>0</v>
      </c>
      <c r="K350" t="n">
        <v>15930.86095</v>
      </c>
      <c r="L350" t="n">
        <v>15930.86095</v>
      </c>
      <c r="M350" t="n">
        <v>0</v>
      </c>
      <c r="N350" t="n">
        <v>54859.34124</v>
      </c>
      <c r="O350" t="n">
        <v>54859.34124</v>
      </c>
      <c r="P350" t="n">
        <v>0</v>
      </c>
    </row>
    <row r="351">
      <c r="A351" t="inlineStr">
        <is>
          <t>2</t>
        </is>
      </c>
      <c r="B351" t="inlineStr">
        <is>
          <t>АТ "Укрексімбанк"</t>
        </is>
      </c>
      <c r="C351" t="inlineStr">
        <is>
          <t>Державний</t>
        </is>
      </c>
      <c r="D351" t="inlineStr">
        <is>
          <t>3520</t>
        </is>
      </c>
      <c r="E351" t="inlineStr">
        <is>
          <t>(без привʼязки)</t>
        </is>
      </c>
      <c r="F351" t="inlineStr">
        <is>
          <t>Дебіторська заборгованість за податком на прибуток</t>
        </is>
      </c>
      <c r="G351" t="inlineStr">
        <is>
          <t>А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2</t>
        </is>
      </c>
      <c r="B352" t="inlineStr">
        <is>
          <t>АТ "Укрексімбанк"</t>
        </is>
      </c>
      <c r="C352" t="inlineStr">
        <is>
          <t>Державний</t>
        </is>
      </c>
      <c r="D352" t="inlineStr">
        <is>
          <t>3521</t>
        </is>
      </c>
      <c r="E352" t="inlineStr">
        <is>
          <t>(без привʼязки)</t>
        </is>
      </c>
      <c r="F352" t="inlineStr">
        <is>
          <t>Відстрочений податковий актив</t>
        </is>
      </c>
      <c r="G352" t="inlineStr">
        <is>
          <t>А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1687095.45403</v>
      </c>
      <c r="O352" t="n">
        <v>1687095.45403</v>
      </c>
      <c r="P352" t="n">
        <v>0</v>
      </c>
    </row>
    <row r="353">
      <c r="A353" t="inlineStr">
        <is>
          <t>2</t>
        </is>
      </c>
      <c r="B353" t="inlineStr">
        <is>
          <t>АТ "Укрексімбанк"</t>
        </is>
      </c>
      <c r="C353" t="inlineStr">
        <is>
          <t>Державний</t>
        </is>
      </c>
      <c r="D353" t="inlineStr">
        <is>
          <t>3522</t>
        </is>
      </c>
      <c r="E353" t="inlineStr">
        <is>
          <t>(без привʼязки)</t>
        </is>
      </c>
      <c r="F353" t="inlineStr">
        <is>
          <t>Дебіторська заборгованість за податками та обов'язковими платежами, крім податку на прибуток</t>
        </is>
      </c>
      <c r="G353" t="inlineStr">
        <is>
          <t>А</t>
        </is>
      </c>
      <c r="H353" t="n">
        <v>43353.43683</v>
      </c>
      <c r="I353" t="n">
        <v>43353.43683</v>
      </c>
      <c r="J353" t="n">
        <v>0</v>
      </c>
      <c r="K353" t="n">
        <v>63913.08359</v>
      </c>
      <c r="L353" t="n">
        <v>63913.08359</v>
      </c>
      <c r="M353" t="n">
        <v>0</v>
      </c>
      <c r="N353" t="n">
        <v>53376.33005</v>
      </c>
      <c r="O353" t="n">
        <v>53376.33005</v>
      </c>
      <c r="P353" t="n">
        <v>0</v>
      </c>
    </row>
    <row r="354">
      <c r="A354" t="inlineStr">
        <is>
          <t>2</t>
        </is>
      </c>
      <c r="B354" t="inlineStr">
        <is>
          <t>АТ "Укрексімбанк"</t>
        </is>
      </c>
      <c r="C354" t="inlineStr">
        <is>
          <t>Державний</t>
        </is>
      </c>
      <c r="D354" t="inlineStr">
        <is>
          <t>3540</t>
        </is>
      </c>
      <c r="E354" t="inlineStr">
        <is>
          <t>(без привʼязки)</t>
        </is>
      </c>
      <c r="F35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G354" t="inlineStr">
        <is>
          <t>А</t>
        </is>
      </c>
      <c r="H354" t="n">
        <v>78388269.38125999</v>
      </c>
      <c r="I354" t="n">
        <v>36087382.79767</v>
      </c>
      <c r="J354" t="n">
        <v>42300886.58359</v>
      </c>
      <c r="K354" t="n">
        <v>78394430.76158001</v>
      </c>
      <c r="L354" t="n">
        <v>36093544.17799</v>
      </c>
      <c r="M354" t="n">
        <v>42300886.58359</v>
      </c>
      <c r="N354" t="n">
        <v>0.90291</v>
      </c>
      <c r="O354" t="n">
        <v>0.90291</v>
      </c>
      <c r="P354" t="n">
        <v>0</v>
      </c>
    </row>
    <row r="355">
      <c r="A355" t="inlineStr">
        <is>
          <t>2</t>
        </is>
      </c>
      <c r="B355" t="inlineStr">
        <is>
          <t>АТ "Укрексімбанк"</t>
        </is>
      </c>
      <c r="C355" t="inlineStr">
        <is>
          <t>Державний</t>
        </is>
      </c>
      <c r="D355" t="inlineStr">
        <is>
          <t>3541</t>
        </is>
      </c>
      <c r="E355" t="inlineStr">
        <is>
          <t>(без привʼязки)</t>
        </is>
      </c>
      <c r="F355" t="inlineStr">
        <is>
          <t>Дебіторська заборгованість за розрахунками за цінними паперами для банку</t>
        </is>
      </c>
      <c r="G355" t="inlineStr">
        <is>
          <t>А</t>
        </is>
      </c>
      <c r="H355" t="n">
        <v>4226927.7793</v>
      </c>
      <c r="I355" t="n">
        <v>694452.53251</v>
      </c>
      <c r="J355" t="n">
        <v>3532475.24679</v>
      </c>
      <c r="K355" t="n">
        <v>4226927.7793</v>
      </c>
      <c r="L355" t="n">
        <v>694452.53251</v>
      </c>
      <c r="M355" t="n">
        <v>3532475.24679</v>
      </c>
      <c r="N355" t="n">
        <v>0</v>
      </c>
      <c r="O355" t="n">
        <v>0</v>
      </c>
      <c r="P355" t="n">
        <v>0</v>
      </c>
    </row>
    <row r="356">
      <c r="A356" t="inlineStr">
        <is>
          <t>2</t>
        </is>
      </c>
      <c r="B356" t="inlineStr">
        <is>
          <t>АТ "Укрексімбанк"</t>
        </is>
      </c>
      <c r="C356" t="inlineStr">
        <is>
          <t>Державний</t>
        </is>
      </c>
      <c r="D356" t="inlineStr">
        <is>
          <t>3542</t>
        </is>
      </c>
      <c r="E356" t="inlineStr">
        <is>
          <t>(без привʼязки)</t>
        </is>
      </c>
      <c r="F356" t="inlineStr">
        <is>
          <t>Дебіторська заборгованість за кредитними операціями</t>
        </is>
      </c>
      <c r="G356" t="inlineStr">
        <is>
          <t>А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2</t>
        </is>
      </c>
      <c r="B357" t="inlineStr">
        <is>
          <t>АТ "Укрексімбанк"</t>
        </is>
      </c>
      <c r="C357" t="inlineStr">
        <is>
          <t>Державний</t>
        </is>
      </c>
      <c r="D357" t="inlineStr">
        <is>
          <t>3548</t>
        </is>
      </c>
      <c r="E357" t="inlineStr">
        <is>
          <t>(без привʼязки)</t>
        </is>
      </c>
      <c r="F357" t="inlineStr">
        <is>
          <t>Дебіторська заборгованість за операціями з іншими фінансовими інструментами</t>
        </is>
      </c>
      <c r="G357" t="inlineStr">
        <is>
          <t>А</t>
        </is>
      </c>
      <c r="H357" t="n">
        <v>3431.57813</v>
      </c>
      <c r="I357" t="n">
        <v>3431.57813</v>
      </c>
      <c r="J357" t="n">
        <v>0</v>
      </c>
      <c r="K357" t="n">
        <v>3431.57813</v>
      </c>
      <c r="L357" t="n">
        <v>3431.57813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2</t>
        </is>
      </c>
      <c r="B358" t="inlineStr">
        <is>
          <t>АТ "Укрексімбанк"</t>
        </is>
      </c>
      <c r="C358" t="inlineStr">
        <is>
          <t>Державний</t>
        </is>
      </c>
      <c r="D358" t="inlineStr">
        <is>
          <t>3550</t>
        </is>
      </c>
      <c r="E358" t="inlineStr">
        <is>
          <t>(без привʼязки)</t>
        </is>
      </c>
      <c r="F358" t="inlineStr">
        <is>
          <t>Аванси працівникам банку на витрати з відрядження</t>
        </is>
      </c>
      <c r="G358" t="inlineStr">
        <is>
          <t>А</t>
        </is>
      </c>
      <c r="H358" t="n">
        <v>920.51279</v>
      </c>
      <c r="I358" t="n">
        <v>543.527</v>
      </c>
      <c r="J358" t="n">
        <v>376.98579</v>
      </c>
      <c r="K358" t="n">
        <v>125.61916</v>
      </c>
      <c r="L358" t="n">
        <v>124.947</v>
      </c>
      <c r="M358" t="n">
        <v>0.67216</v>
      </c>
      <c r="N358" t="n">
        <v>803.83363</v>
      </c>
      <c r="O358" t="n">
        <v>427.52</v>
      </c>
      <c r="P358" t="n">
        <v>376.31363</v>
      </c>
    </row>
    <row r="359">
      <c r="A359" t="inlineStr">
        <is>
          <t>2</t>
        </is>
      </c>
      <c r="B359" t="inlineStr">
        <is>
          <t>АТ "Укрексімбанк"</t>
        </is>
      </c>
      <c r="C359" t="inlineStr">
        <is>
          <t>Державний</t>
        </is>
      </c>
      <c r="D359" t="inlineStr">
        <is>
          <t>3551</t>
        </is>
      </c>
      <c r="E359" t="inlineStr">
        <is>
          <t>(без привʼязки)</t>
        </is>
      </c>
      <c r="F359" t="inlineStr">
        <is>
          <t>Аванси працівникам банку на господарські витрати</t>
        </is>
      </c>
      <c r="G359" t="inlineStr">
        <is>
          <t>А</t>
        </is>
      </c>
      <c r="H359" t="n">
        <v>15.38486</v>
      </c>
      <c r="I359" t="n">
        <v>15.38486</v>
      </c>
      <c r="J359" t="n">
        <v>0</v>
      </c>
      <c r="K359" t="n">
        <v>0</v>
      </c>
      <c r="L359" t="n">
        <v>0</v>
      </c>
      <c r="M359" t="n">
        <v>0</v>
      </c>
      <c r="N359" t="n">
        <v>15.38486</v>
      </c>
      <c r="O359" t="n">
        <v>15.38486</v>
      </c>
      <c r="P359" t="n">
        <v>0</v>
      </c>
    </row>
    <row r="360">
      <c r="A360" t="inlineStr">
        <is>
          <t>2</t>
        </is>
      </c>
      <c r="B360" t="inlineStr">
        <is>
          <t>АТ "Укрексімбанк"</t>
        </is>
      </c>
      <c r="C360" t="inlineStr">
        <is>
          <t>Державний</t>
        </is>
      </c>
      <c r="D360" t="inlineStr">
        <is>
          <t>3552</t>
        </is>
      </c>
      <c r="E360" t="inlineStr">
        <is>
          <t>(без привʼязки)</t>
        </is>
      </c>
      <c r="F360" t="inlineStr">
        <is>
          <t xml:space="preserve">Нестачі та інші нарахування на працівників банку </t>
        </is>
      </c>
      <c r="G360" t="inlineStr">
        <is>
          <t>А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1262.10676</v>
      </c>
      <c r="O360" t="n">
        <v>1262.10676</v>
      </c>
      <c r="P360" t="n">
        <v>0</v>
      </c>
    </row>
    <row r="361">
      <c r="A361" t="inlineStr">
        <is>
          <t>2</t>
        </is>
      </c>
      <c r="B361" t="inlineStr">
        <is>
          <t>АТ "Укрексімбанк"</t>
        </is>
      </c>
      <c r="C361" t="inlineStr">
        <is>
          <t>Державний</t>
        </is>
      </c>
      <c r="D361" t="inlineStr">
        <is>
          <t>3559</t>
        </is>
      </c>
      <c r="E361" t="inlineStr">
        <is>
          <t>(без привʼязки)</t>
        </is>
      </c>
      <c r="F361" t="inlineStr">
        <is>
          <t>Інша дебіторська заборгованість за розрахунками з працівниками банку та іншими особами</t>
        </is>
      </c>
      <c r="G361" t="inlineStr">
        <is>
          <t>А</t>
        </is>
      </c>
      <c r="H361" t="n">
        <v>59767.77362</v>
      </c>
      <c r="I361" t="n">
        <v>59767.77362</v>
      </c>
      <c r="J361" t="n">
        <v>0</v>
      </c>
      <c r="K361" t="n">
        <v>59764.46077</v>
      </c>
      <c r="L361" t="n">
        <v>59764.46077</v>
      </c>
      <c r="M361" t="n">
        <v>0</v>
      </c>
      <c r="N361" t="n">
        <v>29.95041</v>
      </c>
      <c r="O361" t="n">
        <v>29.95041</v>
      </c>
      <c r="P361" t="n">
        <v>0</v>
      </c>
    </row>
    <row r="362">
      <c r="A362" t="inlineStr">
        <is>
          <t>2</t>
        </is>
      </c>
      <c r="B362" t="inlineStr">
        <is>
          <t>АТ "Укрексімбанк"</t>
        </is>
      </c>
      <c r="C362" t="inlineStr">
        <is>
          <t>Державний</t>
        </is>
      </c>
      <c r="D362" t="inlineStr">
        <is>
          <t>3570</t>
        </is>
      </c>
      <c r="E362" t="inlineStr">
        <is>
          <t>(без привʼязки)</t>
        </is>
      </c>
      <c r="F362" t="inlineStr">
        <is>
          <t xml:space="preserve">Нараховані доходи за розрахунково-касове обслуговування </t>
        </is>
      </c>
      <c r="G362" t="inlineStr">
        <is>
          <t>А</t>
        </is>
      </c>
      <c r="H362" t="n">
        <v>31020.78276</v>
      </c>
      <c r="I362" t="n">
        <v>31020.78276</v>
      </c>
      <c r="J362" t="n">
        <v>0</v>
      </c>
      <c r="K362" t="n">
        <v>31752.06806</v>
      </c>
      <c r="L362" t="n">
        <v>31752.06806</v>
      </c>
      <c r="M362" t="n">
        <v>0</v>
      </c>
      <c r="N362" t="n">
        <v>20070.14553</v>
      </c>
      <c r="O362" t="n">
        <v>20070.14553</v>
      </c>
      <c r="P362" t="n">
        <v>0</v>
      </c>
    </row>
    <row r="363">
      <c r="A363" t="inlineStr">
        <is>
          <t>2</t>
        </is>
      </c>
      <c r="B363" t="inlineStr">
        <is>
          <t>АТ "Укрексімбанк"</t>
        </is>
      </c>
      <c r="C363" t="inlineStr">
        <is>
          <t>Державний</t>
        </is>
      </c>
      <c r="D363" t="inlineStr">
        <is>
          <t>3578</t>
        </is>
      </c>
      <c r="E363" t="inlineStr">
        <is>
          <t>(без привʼязки)</t>
        </is>
      </c>
      <c r="F363" t="inlineStr">
        <is>
          <t xml:space="preserve">Інші нараховані доходи </t>
        </is>
      </c>
      <c r="G363" t="inlineStr">
        <is>
          <t>А</t>
        </is>
      </c>
      <c r="H363" t="n">
        <v>58892.87682</v>
      </c>
      <c r="I363" t="n">
        <v>58892.87682</v>
      </c>
      <c r="J363" t="n">
        <v>0</v>
      </c>
      <c r="K363" t="n">
        <v>41234.10728</v>
      </c>
      <c r="L363" t="n">
        <v>41234.10728</v>
      </c>
      <c r="M363" t="n">
        <v>0</v>
      </c>
      <c r="N363" t="n">
        <v>105168.29585</v>
      </c>
      <c r="O363" t="n">
        <v>105168.29585</v>
      </c>
      <c r="P363" t="n">
        <v>0</v>
      </c>
    </row>
    <row r="364">
      <c r="A364" t="inlineStr">
        <is>
          <t>2</t>
        </is>
      </c>
      <c r="B364" t="inlineStr">
        <is>
          <t>АТ "Укрексімбанк"</t>
        </is>
      </c>
      <c r="C364" t="inlineStr">
        <is>
          <t>Державний</t>
        </is>
      </c>
      <c r="D364" t="inlineStr">
        <is>
          <t>3590</t>
        </is>
      </c>
      <c r="E364" t="inlineStr">
        <is>
          <t>(без привʼязки)</t>
        </is>
      </c>
      <c r="F364" t="inlineStr">
        <is>
          <t xml:space="preserve">Резерви під нефінансову дебіторську заборгованість за операціями банку </t>
        </is>
      </c>
      <c r="G364" t="inlineStr">
        <is>
          <t>П</t>
        </is>
      </c>
      <c r="H364" t="n">
        <v>6769.49394</v>
      </c>
      <c r="I364" t="n">
        <v>6769.49394</v>
      </c>
      <c r="J364" t="n">
        <v>0</v>
      </c>
      <c r="K364" t="n">
        <v>3021.54418</v>
      </c>
      <c r="L364" t="n">
        <v>3021.54418</v>
      </c>
      <c r="M364" t="n">
        <v>0</v>
      </c>
      <c r="N364" t="n">
        <v>-32071.33078</v>
      </c>
      <c r="O364" t="n">
        <v>-32071.33078</v>
      </c>
      <c r="P364" t="n">
        <v>0</v>
      </c>
    </row>
    <row r="365">
      <c r="A365" t="inlineStr">
        <is>
          <t>2</t>
        </is>
      </c>
      <c r="B365" t="inlineStr">
        <is>
          <t>АТ "Укрексімбанк"</t>
        </is>
      </c>
      <c r="C365" t="inlineStr">
        <is>
          <t>Державний</t>
        </is>
      </c>
      <c r="D365" t="inlineStr">
        <is>
          <t>3599</t>
        </is>
      </c>
      <c r="E365" t="inlineStr">
        <is>
          <t>(без привʼязки)</t>
        </is>
      </c>
      <c r="F365" t="inlineStr">
        <is>
          <t xml:space="preserve">Резерви під фінансову дебіторську заборгованість за операціями банку </t>
        </is>
      </c>
      <c r="G365" t="inlineStr">
        <is>
          <t>П</t>
        </is>
      </c>
      <c r="H365" t="n">
        <v>1640.62293</v>
      </c>
      <c r="I365" t="n">
        <v>1640.62293</v>
      </c>
      <c r="J365" t="n">
        <v>0</v>
      </c>
      <c r="K365" t="n">
        <v>3443.94039</v>
      </c>
      <c r="L365" t="n">
        <v>3443.94039</v>
      </c>
      <c r="M365" t="n">
        <v>0</v>
      </c>
      <c r="N365" t="n">
        <v>-43007.15321</v>
      </c>
      <c r="O365" t="n">
        <v>-43007.15321</v>
      </c>
      <c r="P365" t="n">
        <v>0</v>
      </c>
    </row>
    <row r="366">
      <c r="A366" t="inlineStr">
        <is>
          <t>2</t>
        </is>
      </c>
      <c r="B366" t="inlineStr">
        <is>
          <t>АТ "Укрексімбанк"</t>
        </is>
      </c>
      <c r="C366" t="inlineStr">
        <is>
          <t>Державний</t>
        </is>
      </c>
      <c r="D366" t="inlineStr">
        <is>
          <t>3705</t>
        </is>
      </c>
      <c r="E366" t="inlineStr">
        <is>
          <t>(без привʼязки)</t>
        </is>
      </c>
      <c r="F366" t="inlineStr">
        <is>
          <t>Клірингові рахунки за розрахунками платіжними картками</t>
        </is>
      </c>
      <c r="G366" t="inlineStr">
        <is>
          <t>А</t>
        </is>
      </c>
      <c r="H366" t="n">
        <v>66943899.15389</v>
      </c>
      <c r="I366" t="n">
        <v>66943899.15389</v>
      </c>
      <c r="J366" t="n">
        <v>0</v>
      </c>
      <c r="K366" t="n">
        <v>66943899.15389</v>
      </c>
      <c r="L366" t="n">
        <v>66943899.15389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2</t>
        </is>
      </c>
      <c r="B367" t="inlineStr">
        <is>
          <t>АТ "Укрексімбанк"</t>
        </is>
      </c>
      <c r="C367" t="inlineStr">
        <is>
          <t>Державний</t>
        </is>
      </c>
      <c r="D367" t="inlineStr">
        <is>
          <t>3705</t>
        </is>
      </c>
      <c r="E367" t="inlineStr">
        <is>
          <t>(без привʼязки)</t>
        </is>
      </c>
      <c r="F367" t="inlineStr">
        <is>
          <t>Клірингові рахунки за розрахунками платіжними картками</t>
        </is>
      </c>
      <c r="G367" t="inlineStr">
        <is>
          <t>П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2</t>
        </is>
      </c>
      <c r="B368" t="inlineStr">
        <is>
          <t>АТ "Укрексімбанк"</t>
        </is>
      </c>
      <c r="C368" t="inlineStr">
        <is>
          <t>Державний</t>
        </is>
      </c>
      <c r="D368" t="inlineStr">
        <is>
          <t>3706</t>
        </is>
      </c>
      <c r="E368" t="inlineStr">
        <is>
          <t>(без привʼязки)</t>
        </is>
      </c>
      <c r="F368" t="inlineStr">
        <is>
          <t>Клірингові рахунки за іншими розрахунками</t>
        </is>
      </c>
      <c r="G368" t="inlineStr">
        <is>
          <t>А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2</t>
        </is>
      </c>
      <c r="B369" t="inlineStr">
        <is>
          <t>АТ "Укрексімбанк"</t>
        </is>
      </c>
      <c r="C369" t="inlineStr">
        <is>
          <t>Державний</t>
        </is>
      </c>
      <c r="D369" t="inlineStr">
        <is>
          <t>3710</t>
        </is>
      </c>
      <c r="E369" t="inlineStr">
        <is>
          <t>(без привʼязки)</t>
        </is>
      </c>
      <c r="F369" t="inlineStr">
        <is>
          <t>Дебетові суми до з'ясування</t>
        </is>
      </c>
      <c r="G369" t="inlineStr">
        <is>
          <t>А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2</t>
        </is>
      </c>
      <c r="B370" t="inlineStr">
        <is>
          <t>АТ "Укрексімбанк"</t>
        </is>
      </c>
      <c r="C370" t="inlineStr">
        <is>
          <t>Державний</t>
        </is>
      </c>
      <c r="D370" t="inlineStr">
        <is>
          <t>3739</t>
        </is>
      </c>
      <c r="E370" t="inlineStr">
        <is>
          <t>(без привʼязки)</t>
        </is>
      </c>
      <c r="F370" t="inlineStr">
        <is>
          <t>Транзитний рахунок за іншими розрахунками</t>
        </is>
      </c>
      <c r="G370" t="inlineStr">
        <is>
          <t>А</t>
        </is>
      </c>
      <c r="H370" t="n">
        <v>948114793.89429</v>
      </c>
      <c r="I370" t="n">
        <v>663080304.61103</v>
      </c>
      <c r="J370" t="n">
        <v>285034489.28326</v>
      </c>
      <c r="K370" t="n">
        <v>948424405.7092299</v>
      </c>
      <c r="L370" t="n">
        <v>663078606.54988</v>
      </c>
      <c r="M370" t="n">
        <v>285345799.15935</v>
      </c>
      <c r="N370" t="n">
        <v>0</v>
      </c>
      <c r="O370" t="n">
        <v>0</v>
      </c>
      <c r="P370" t="n">
        <v>0</v>
      </c>
    </row>
    <row r="371">
      <c r="A371" t="inlineStr">
        <is>
          <t>2</t>
        </is>
      </c>
      <c r="B371" t="inlineStr">
        <is>
          <t>АТ "Укрексімбанк"</t>
        </is>
      </c>
      <c r="C371" t="inlineStr">
        <is>
          <t>Державний</t>
        </is>
      </c>
      <c r="D371" t="inlineStr">
        <is>
          <t>3739</t>
        </is>
      </c>
      <c r="E371" t="inlineStr">
        <is>
          <t>(без привʼязки)</t>
        </is>
      </c>
      <c r="F371" t="inlineStr">
        <is>
          <t>Транзитний рахунок за іншими розрахунками</t>
        </is>
      </c>
      <c r="G371" t="inlineStr">
        <is>
          <t>П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614949.50872</v>
      </c>
      <c r="O371" t="n">
        <v>5489.49204</v>
      </c>
      <c r="P371" t="n">
        <v>609460.01668</v>
      </c>
    </row>
    <row r="372">
      <c r="A372" t="inlineStr">
        <is>
          <t>2</t>
        </is>
      </c>
      <c r="B372" t="inlineStr">
        <is>
          <t>АТ "Укрексімбанк"</t>
        </is>
      </c>
      <c r="C372" t="inlineStr">
        <is>
          <t>Державний</t>
        </is>
      </c>
      <c r="D372" t="inlineStr">
        <is>
          <t>3800</t>
        </is>
      </c>
      <c r="E372" t="inlineStr">
        <is>
          <t>(без привʼязки)</t>
        </is>
      </c>
      <c r="F372" t="inlineStr">
        <is>
          <t>Позиція банку щодо іноземної валюти та банківських металів</t>
        </is>
      </c>
      <c r="G372" t="inlineStr">
        <is>
          <t>А</t>
        </is>
      </c>
      <c r="H372" t="n">
        <v>84374055.1859</v>
      </c>
      <c r="I372" t="n">
        <v>0</v>
      </c>
      <c r="J372" t="n">
        <v>84374055.1859</v>
      </c>
      <c r="K372" t="n">
        <v>84629281.70254</v>
      </c>
      <c r="L372" t="n">
        <v>0</v>
      </c>
      <c r="M372" t="n">
        <v>84629281.70254</v>
      </c>
      <c r="N372" t="n">
        <v>20931472.74973</v>
      </c>
      <c r="O372" t="n">
        <v>0</v>
      </c>
      <c r="P372" t="n">
        <v>20931472.74973</v>
      </c>
    </row>
    <row r="373">
      <c r="A373" t="inlineStr">
        <is>
          <t>2</t>
        </is>
      </c>
      <c r="B373" t="inlineStr">
        <is>
          <t>АТ "Укрексімбанк"</t>
        </is>
      </c>
      <c r="C373" t="inlineStr">
        <is>
          <t>Державний</t>
        </is>
      </c>
      <c r="D373" t="inlineStr">
        <is>
          <t>3800</t>
        </is>
      </c>
      <c r="E373" t="inlineStr">
        <is>
          <t>(без привʼязки)</t>
        </is>
      </c>
      <c r="F373" t="inlineStr">
        <is>
          <t>Позиція банку щодо іноземної валюти та банківських металів</t>
        </is>
      </c>
      <c r="G373" t="inlineStr">
        <is>
          <t>П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359128.83258</v>
      </c>
      <c r="O373" t="n">
        <v>0</v>
      </c>
      <c r="P373" t="n">
        <v>359128.83258</v>
      </c>
    </row>
    <row r="374">
      <c r="A374" t="inlineStr">
        <is>
          <t>2</t>
        </is>
      </c>
      <c r="B374" t="inlineStr">
        <is>
          <t>АТ "Укрексімбанк"</t>
        </is>
      </c>
      <c r="C374" t="inlineStr">
        <is>
          <t>Державний</t>
        </is>
      </c>
      <c r="D374" t="inlineStr">
        <is>
          <t>3801</t>
        </is>
      </c>
      <c r="E374" t="inlineStr">
        <is>
          <t>(без привʼязки)</t>
        </is>
      </c>
      <c r="F374" t="inlineStr">
        <is>
          <t>Еквівалент позиції банку щодо іноземної валюти та банківських металів</t>
        </is>
      </c>
      <c r="G374" t="inlineStr">
        <is>
          <t>П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-20931472.74973</v>
      </c>
      <c r="O374" t="n">
        <v>-20931472.74973</v>
      </c>
      <c r="P374" t="n">
        <v>0</v>
      </c>
    </row>
    <row r="375">
      <c r="A375" t="inlineStr">
        <is>
          <t>2</t>
        </is>
      </c>
      <c r="B375" t="inlineStr">
        <is>
          <t>АТ "Укрексімбанк"</t>
        </is>
      </c>
      <c r="C375" t="inlineStr">
        <is>
          <t>Державний</t>
        </is>
      </c>
      <c r="D375" t="inlineStr">
        <is>
          <t>3801</t>
        </is>
      </c>
      <c r="E375" t="inlineStr">
        <is>
          <t>(без привʼязки)</t>
        </is>
      </c>
      <c r="F375" t="inlineStr">
        <is>
          <t>Еквівалент позиції банку щодо іноземної валюти та банківських металів</t>
        </is>
      </c>
      <c r="G375" t="inlineStr">
        <is>
          <t>А</t>
        </is>
      </c>
      <c r="H375" t="n">
        <v>84754919.44739</v>
      </c>
      <c r="I375" t="n">
        <v>84754919.44739</v>
      </c>
      <c r="J375" t="n">
        <v>0</v>
      </c>
      <c r="K375" t="n">
        <v>84499692.93075</v>
      </c>
      <c r="L375" t="n">
        <v>84499692.93075</v>
      </c>
      <c r="M375" t="n">
        <v>0</v>
      </c>
      <c r="N375" t="n">
        <v>-359128.83258</v>
      </c>
      <c r="O375" t="n">
        <v>-359128.83258</v>
      </c>
      <c r="P375" t="n">
        <v>0</v>
      </c>
    </row>
    <row r="376">
      <c r="A376" t="inlineStr">
        <is>
          <t>2</t>
        </is>
      </c>
      <c r="B376" t="inlineStr">
        <is>
          <t>АТ "Укрексімбанк"</t>
        </is>
      </c>
      <c r="C376" t="inlineStr">
        <is>
          <t>Державний</t>
        </is>
      </c>
      <c r="D376" t="inlineStr">
        <is>
          <t>3900</t>
        </is>
      </c>
      <c r="E376" t="inlineStr">
        <is>
          <t>(без привʼязки)</t>
        </is>
      </c>
      <c r="F376" t="inlineStr">
        <is>
          <t>Рахунки філій, що відкриті в банку</t>
        </is>
      </c>
      <c r="G376" t="inlineStr">
        <is>
          <t>А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2</t>
        </is>
      </c>
      <c r="B377" t="inlineStr">
        <is>
          <t>АТ "Укрексімбанк"</t>
        </is>
      </c>
      <c r="C377" t="inlineStr">
        <is>
          <t>Державний</t>
        </is>
      </c>
      <c r="D377" t="inlineStr">
        <is>
          <t>3900</t>
        </is>
      </c>
      <c r="E377" t="inlineStr">
        <is>
          <t>(без привʼязки)</t>
        </is>
      </c>
      <c r="F377" t="inlineStr">
        <is>
          <t>Рахунки філій, що відкриті в банку</t>
        </is>
      </c>
      <c r="G377" t="inlineStr">
        <is>
          <t>П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2</t>
        </is>
      </c>
      <c r="B378" t="inlineStr">
        <is>
          <t>АТ "Укрексімбанк"</t>
        </is>
      </c>
      <c r="C378" t="inlineStr">
        <is>
          <t>Державний</t>
        </is>
      </c>
      <c r="D378" t="inlineStr">
        <is>
          <t>3901</t>
        </is>
      </c>
      <c r="E378" t="inlineStr">
        <is>
          <t>(без привʼязки)</t>
        </is>
      </c>
      <c r="F378" t="inlineStr">
        <is>
          <t>Рахунки, що відкриті для філій банку</t>
        </is>
      </c>
      <c r="G378" t="inlineStr">
        <is>
          <t>А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2</t>
        </is>
      </c>
      <c r="B379" t="inlineStr">
        <is>
          <t>АТ "Укрексімбанк"</t>
        </is>
      </c>
      <c r="C379" t="inlineStr">
        <is>
          <t>Державний</t>
        </is>
      </c>
      <c r="D379" t="inlineStr">
        <is>
          <t>3901</t>
        </is>
      </c>
      <c r="E379" t="inlineStr">
        <is>
          <t>(без привʼязки)</t>
        </is>
      </c>
      <c r="F379" t="inlineStr">
        <is>
          <t>Рахунки, що відкриті для філій банку</t>
        </is>
      </c>
      <c r="G379" t="inlineStr">
        <is>
          <t>П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2</t>
        </is>
      </c>
      <c r="B380" t="inlineStr">
        <is>
          <t>АТ "Укрексімбанк"</t>
        </is>
      </c>
      <c r="C380" t="inlineStr">
        <is>
          <t>Державний</t>
        </is>
      </c>
      <c r="D380" t="inlineStr">
        <is>
          <t>3902</t>
        </is>
      </c>
      <c r="E380" t="inlineStr">
        <is>
          <t>(без привʼязки)</t>
        </is>
      </c>
      <c r="F380" t="inlineStr">
        <is>
          <t>Розрахунки за коштами, що надані філіям банку</t>
        </is>
      </c>
      <c r="G380" t="inlineStr">
        <is>
          <t>А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2</t>
        </is>
      </c>
      <c r="B381" t="inlineStr">
        <is>
          <t>АТ "Укрексімбанк"</t>
        </is>
      </c>
      <c r="C381" t="inlineStr">
        <is>
          <t>Державний</t>
        </is>
      </c>
      <c r="D381" t="inlineStr">
        <is>
          <t>3904</t>
        </is>
      </c>
      <c r="E381" t="inlineStr">
        <is>
          <t>(без привʼязки)</t>
        </is>
      </c>
      <c r="F381" t="inlineStr">
        <is>
          <t>Нараховані доходи за коштами, що надані філіям банку</t>
        </is>
      </c>
      <c r="G381" t="inlineStr">
        <is>
          <t>А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2</t>
        </is>
      </c>
      <c r="B382" t="inlineStr">
        <is>
          <t>АТ "Укрексімбанк"</t>
        </is>
      </c>
      <c r="C382" t="inlineStr">
        <is>
          <t>Державний</t>
        </is>
      </c>
      <c r="D382" t="inlineStr">
        <is>
          <t>3906</t>
        </is>
      </c>
      <c r="E382" t="inlineStr">
        <is>
          <t>(без привʼязки)</t>
        </is>
      </c>
      <c r="F382" t="inlineStr">
        <is>
          <t>Дебіторська заборгованість за операціями з готівкою між філіями банку</t>
        </is>
      </c>
      <c r="G382" t="inlineStr">
        <is>
          <t>А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2</t>
        </is>
      </c>
      <c r="B383" t="inlineStr">
        <is>
          <t>АТ "Укрексімбанк"</t>
        </is>
      </c>
      <c r="C383" t="inlineStr">
        <is>
          <t>Державний</t>
        </is>
      </c>
      <c r="D383" t="inlineStr">
        <is>
          <t>4105</t>
        </is>
      </c>
      <c r="E383" t="inlineStr">
        <is>
          <t>(без привʼязки)</t>
        </is>
      </c>
      <c r="F383" t="inlineStr">
        <is>
          <t>Інвестиції в інші асоційовані компанії</t>
        </is>
      </c>
      <c r="G383" t="inlineStr">
        <is>
          <t>А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2</t>
        </is>
      </c>
      <c r="B384" t="inlineStr">
        <is>
          <t>АТ "Укрексімбанк"</t>
        </is>
      </c>
      <c r="C384" t="inlineStr">
        <is>
          <t>Державний</t>
        </is>
      </c>
      <c r="D384" t="inlineStr">
        <is>
          <t>4203</t>
        </is>
      </c>
      <c r="E384" t="inlineStr">
        <is>
          <t>(без привʼязки)</t>
        </is>
      </c>
      <c r="F384" t="inlineStr">
        <is>
          <t>Інвестиції в дочірні небанківські фінансові установи</t>
        </is>
      </c>
      <c r="G384" t="inlineStr">
        <is>
          <t>А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2</t>
        </is>
      </c>
      <c r="B385" t="inlineStr">
        <is>
          <t>АТ "Укрексімбанк"</t>
        </is>
      </c>
      <c r="C385" t="inlineStr">
        <is>
          <t>Державний</t>
        </is>
      </c>
      <c r="D385" t="inlineStr">
        <is>
          <t>4205</t>
        </is>
      </c>
      <c r="E385" t="inlineStr">
        <is>
          <t>(без привʼязки)</t>
        </is>
      </c>
      <c r="F385" t="inlineStr">
        <is>
          <t>Інвестиції в інші дочірні компанії</t>
        </is>
      </c>
      <c r="G385" t="inlineStr">
        <is>
          <t>А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2</t>
        </is>
      </c>
      <c r="B386" t="inlineStr">
        <is>
          <t>АТ "Укрексімбанк"</t>
        </is>
      </c>
      <c r="C386" t="inlineStr">
        <is>
          <t>Державний</t>
        </is>
      </c>
      <c r="D386" t="inlineStr">
        <is>
          <t>4300</t>
        </is>
      </c>
      <c r="E386" t="inlineStr">
        <is>
          <t>(без привʼязки)</t>
        </is>
      </c>
      <c r="F386" t="inlineStr">
        <is>
          <t>Нематеріальні активи</t>
        </is>
      </c>
      <c r="G386" t="inlineStr">
        <is>
          <t>А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340346.75469</v>
      </c>
      <c r="O386" t="n">
        <v>340346.75469</v>
      </c>
      <c r="P386" t="n">
        <v>0</v>
      </c>
    </row>
    <row r="387">
      <c r="A387" t="inlineStr">
        <is>
          <t>2</t>
        </is>
      </c>
      <c r="B387" t="inlineStr">
        <is>
          <t>АТ "Укрексімбанк"</t>
        </is>
      </c>
      <c r="C387" t="inlineStr">
        <is>
          <t>Державний</t>
        </is>
      </c>
      <c r="D387" t="inlineStr">
        <is>
          <t>4309</t>
        </is>
      </c>
      <c r="E387" t="inlineStr">
        <is>
          <t>(без привʼязки)</t>
        </is>
      </c>
      <c r="F387" t="inlineStr">
        <is>
          <t>Накопичена амортизація нематеріальних активів</t>
        </is>
      </c>
      <c r="G387" t="inlineStr">
        <is>
          <t>П</t>
        </is>
      </c>
      <c r="H387" t="n">
        <v>0</v>
      </c>
      <c r="I387" t="n">
        <v>0</v>
      </c>
      <c r="J387" t="n">
        <v>0</v>
      </c>
      <c r="K387" t="n">
        <v>3366.70879</v>
      </c>
      <c r="L387" t="n">
        <v>3366.70879</v>
      </c>
      <c r="M387" t="n">
        <v>0</v>
      </c>
      <c r="N387" t="n">
        <v>-209020.86835</v>
      </c>
      <c r="O387" t="n">
        <v>-209020.86835</v>
      </c>
      <c r="P387" t="n">
        <v>0</v>
      </c>
    </row>
    <row r="388">
      <c r="A388" t="inlineStr">
        <is>
          <t>2</t>
        </is>
      </c>
      <c r="B388" t="inlineStr">
        <is>
          <t>АТ "Укрексімбанк"</t>
        </is>
      </c>
      <c r="C388" t="inlineStr">
        <is>
          <t>Державний</t>
        </is>
      </c>
      <c r="D388" t="inlineStr">
        <is>
          <t>4310</t>
        </is>
      </c>
      <c r="E388" t="inlineStr">
        <is>
          <t>(без привʼязки)</t>
        </is>
      </c>
      <c r="F388" t="inlineStr">
        <is>
          <t>Капітальні інвестиції за не введеними в експлуатацію нематеріальними активами</t>
        </is>
      </c>
      <c r="G388" t="inlineStr">
        <is>
          <t>А</t>
        </is>
      </c>
      <c r="H388" t="n">
        <v>9231.039510000001</v>
      </c>
      <c r="I388" t="n">
        <v>9231.039510000001</v>
      </c>
      <c r="J388" t="n">
        <v>0</v>
      </c>
      <c r="K388" t="n">
        <v>0</v>
      </c>
      <c r="L388" t="n">
        <v>0</v>
      </c>
      <c r="M388" t="n">
        <v>0</v>
      </c>
      <c r="N388" t="n">
        <v>63244.82287</v>
      </c>
      <c r="O388" t="n">
        <v>63244.82287</v>
      </c>
      <c r="P388" t="n">
        <v>0</v>
      </c>
    </row>
    <row r="389">
      <c r="A389" t="inlineStr">
        <is>
          <t>2</t>
        </is>
      </c>
      <c r="B389" t="inlineStr">
        <is>
          <t>АТ "Укрексімбанк"</t>
        </is>
      </c>
      <c r="C389" t="inlineStr">
        <is>
          <t>Державний</t>
        </is>
      </c>
      <c r="D389" t="inlineStr">
        <is>
          <t>4400</t>
        </is>
      </c>
      <c r="E389" t="inlineStr">
        <is>
          <t>(без привʼязки)</t>
        </is>
      </c>
      <c r="F389" t="inlineStr">
        <is>
          <t>Основні засоби</t>
        </is>
      </c>
      <c r="G389" t="inlineStr">
        <is>
          <t>А</t>
        </is>
      </c>
      <c r="H389" t="n">
        <v>33674.59699</v>
      </c>
      <c r="I389" t="n">
        <v>33674.59699</v>
      </c>
      <c r="J389" t="n">
        <v>0</v>
      </c>
      <c r="K389" t="n">
        <v>25096.57078</v>
      </c>
      <c r="L389" t="n">
        <v>25096.57078</v>
      </c>
      <c r="M389" t="n">
        <v>0</v>
      </c>
      <c r="N389" t="n">
        <v>2212327.05109</v>
      </c>
      <c r="O389" t="n">
        <v>2212327.05109</v>
      </c>
      <c r="P389" t="n">
        <v>0</v>
      </c>
    </row>
    <row r="390">
      <c r="A390" t="inlineStr">
        <is>
          <t>2</t>
        </is>
      </c>
      <c r="B390" t="inlineStr">
        <is>
          <t>АТ "Укрексімбанк"</t>
        </is>
      </c>
      <c r="C390" t="inlineStr">
        <is>
          <t>Державний</t>
        </is>
      </c>
      <c r="D390" t="inlineStr">
        <is>
          <t>4409</t>
        </is>
      </c>
      <c r="E390" t="inlineStr">
        <is>
          <t>(без привʼязки)</t>
        </is>
      </c>
      <c r="F390" t="inlineStr">
        <is>
          <t>Знос основних засобів</t>
        </is>
      </c>
      <c r="G390" t="inlineStr">
        <is>
          <t>П</t>
        </is>
      </c>
      <c r="H390" t="n">
        <v>4719.08177</v>
      </c>
      <c r="I390" t="n">
        <v>4719.08177</v>
      </c>
      <c r="J390" t="n">
        <v>0</v>
      </c>
      <c r="K390" t="n">
        <v>5446.51699</v>
      </c>
      <c r="L390" t="n">
        <v>5446.51699</v>
      </c>
      <c r="M390" t="n">
        <v>0</v>
      </c>
      <c r="N390" t="n">
        <v>-657453.69734</v>
      </c>
      <c r="O390" t="n">
        <v>-657453.69734</v>
      </c>
      <c r="P390" t="n">
        <v>0</v>
      </c>
    </row>
    <row r="391">
      <c r="A391" t="inlineStr">
        <is>
          <t>2</t>
        </is>
      </c>
      <c r="B391" t="inlineStr">
        <is>
          <t>АТ "Укрексімбанк"</t>
        </is>
      </c>
      <c r="C391" t="inlineStr">
        <is>
          <t>Державний</t>
        </is>
      </c>
      <c r="D391" t="inlineStr">
        <is>
          <t>4410</t>
        </is>
      </c>
      <c r="E391" t="inlineStr">
        <is>
          <t>(без привʼязки)</t>
        </is>
      </c>
      <c r="F391" t="inlineStr">
        <is>
          <t>Інвестиційна нерухомість</t>
        </is>
      </c>
      <c r="G391" t="inlineStr">
        <is>
          <t>А</t>
        </is>
      </c>
      <c r="H391" t="n">
        <v>5439.21382</v>
      </c>
      <c r="I391" t="n">
        <v>5439.21382</v>
      </c>
      <c r="J391" t="n">
        <v>0</v>
      </c>
      <c r="K391" t="n">
        <v>22.54752</v>
      </c>
      <c r="L391" t="n">
        <v>22.54752</v>
      </c>
      <c r="M391" t="n">
        <v>0</v>
      </c>
      <c r="N391" t="n">
        <v>1453679.26546</v>
      </c>
      <c r="O391" t="n">
        <v>1453679.26546</v>
      </c>
      <c r="P391" t="n">
        <v>0</v>
      </c>
    </row>
    <row r="392">
      <c r="A392" t="inlineStr">
        <is>
          <t>2</t>
        </is>
      </c>
      <c r="B392" t="inlineStr">
        <is>
          <t>АТ "Укрексімбанк"</t>
        </is>
      </c>
      <c r="C392" t="inlineStr">
        <is>
          <t>Державний</t>
        </is>
      </c>
      <c r="D392" t="inlineStr">
        <is>
          <t>4419</t>
        </is>
      </c>
      <c r="E392" t="inlineStr">
        <is>
          <t>(без привʼязки)</t>
        </is>
      </c>
      <c r="F392" t="inlineStr">
        <is>
          <t>Знос інвестиційної нерухомості</t>
        </is>
      </c>
      <c r="G392" t="inlineStr">
        <is>
          <t>П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2</t>
        </is>
      </c>
      <c r="B393" t="inlineStr">
        <is>
          <t>АТ "Укрексімбанк"</t>
        </is>
      </c>
      <c r="C393" t="inlineStr">
        <is>
          <t>Державний</t>
        </is>
      </c>
      <c r="D393" t="inlineStr">
        <is>
          <t>4430</t>
        </is>
      </c>
      <c r="E393" t="inlineStr">
        <is>
          <t>(без привʼязки)</t>
        </is>
      </c>
      <c r="F393" t="inlineStr">
        <is>
          <t>Капітальні інвестиції за незавершеним будівництвом і за не введеними в експлуатацію основними засобами</t>
        </is>
      </c>
      <c r="G393" t="inlineStr">
        <is>
          <t>А</t>
        </is>
      </c>
      <c r="H393" t="n">
        <v>28033.62547</v>
      </c>
      <c r="I393" t="n">
        <v>28033.62547</v>
      </c>
      <c r="J393" t="n">
        <v>0</v>
      </c>
      <c r="K393" t="n">
        <v>33768.99055</v>
      </c>
      <c r="L393" t="n">
        <v>33768.99055</v>
      </c>
      <c r="M393" t="n">
        <v>0</v>
      </c>
      <c r="N393" t="n">
        <v>14514.28063</v>
      </c>
      <c r="O393" t="n">
        <v>14514.28063</v>
      </c>
      <c r="P393" t="n">
        <v>0</v>
      </c>
    </row>
    <row r="394">
      <c r="A394" t="inlineStr">
        <is>
          <t>2</t>
        </is>
      </c>
      <c r="B394" t="inlineStr">
        <is>
          <t>АТ "Укрексімбанк"</t>
        </is>
      </c>
      <c r="C394" t="inlineStr">
        <is>
          <t>Державний</t>
        </is>
      </c>
      <c r="D394" t="inlineStr">
        <is>
          <t>4431</t>
        </is>
      </c>
      <c r="E394" t="inlineStr">
        <is>
          <t>(без привʼязки)</t>
        </is>
      </c>
      <c r="F394" t="inlineStr">
        <is>
          <t>Обладнання, що потребує монтажу</t>
        </is>
      </c>
      <c r="G394" t="inlineStr">
        <is>
          <t>А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2</t>
        </is>
      </c>
      <c r="B395" t="inlineStr">
        <is>
          <t>АТ "Укрексімбанк"</t>
        </is>
      </c>
      <c r="C395" t="inlineStr">
        <is>
          <t>Державний</t>
        </is>
      </c>
      <c r="D395" t="inlineStr">
        <is>
          <t>4500</t>
        </is>
      </c>
      <c r="E395" t="inlineStr">
        <is>
          <t>(без привʼязки)</t>
        </is>
      </c>
      <c r="F395" t="inlineStr">
        <is>
          <t>Інші необоротні матеріальні активи</t>
        </is>
      </c>
      <c r="G395" t="inlineStr">
        <is>
          <t>А</t>
        </is>
      </c>
      <c r="H395" t="n">
        <v>94.39355999999999</v>
      </c>
      <c r="I395" t="n">
        <v>94.39355999999999</v>
      </c>
      <c r="J395" t="n">
        <v>0</v>
      </c>
      <c r="K395" t="n">
        <v>463.91123</v>
      </c>
      <c r="L395" t="n">
        <v>463.91123</v>
      </c>
      <c r="M395" t="n">
        <v>0</v>
      </c>
      <c r="N395" t="n">
        <v>90639.96971999999</v>
      </c>
      <c r="O395" t="n">
        <v>90639.96971999999</v>
      </c>
      <c r="P395" t="n">
        <v>0</v>
      </c>
    </row>
    <row r="396">
      <c r="A396" t="inlineStr">
        <is>
          <t>2</t>
        </is>
      </c>
      <c r="B396" t="inlineStr">
        <is>
          <t>АТ "Укрексімбанк"</t>
        </is>
      </c>
      <c r="C396" t="inlineStr">
        <is>
          <t>Державний</t>
        </is>
      </c>
      <c r="D396" t="inlineStr">
        <is>
          <t>4509</t>
        </is>
      </c>
      <c r="E396" t="inlineStr">
        <is>
          <t>(без привʼязки)</t>
        </is>
      </c>
      <c r="F396" t="inlineStr">
        <is>
          <t>Знос інших необоротних матеріальних активів</t>
        </is>
      </c>
      <c r="G396" t="inlineStr">
        <is>
          <t>П</t>
        </is>
      </c>
      <c r="H396" t="n">
        <v>463.91123</v>
      </c>
      <c r="I396" t="n">
        <v>463.91123</v>
      </c>
      <c r="J396" t="n">
        <v>0</v>
      </c>
      <c r="K396" t="n">
        <v>483.52812</v>
      </c>
      <c r="L396" t="n">
        <v>483.52812</v>
      </c>
      <c r="M396" t="n">
        <v>0</v>
      </c>
      <c r="N396" t="n">
        <v>-58341.80139</v>
      </c>
      <c r="O396" t="n">
        <v>-58341.80139</v>
      </c>
      <c r="P396" t="n">
        <v>0</v>
      </c>
    </row>
    <row r="397">
      <c r="A397" t="inlineStr">
        <is>
          <t>2</t>
        </is>
      </c>
      <c r="B397" t="inlineStr">
        <is>
          <t>АТ "Укрексімбанк"</t>
        </is>
      </c>
      <c r="C397" t="inlineStr">
        <is>
          <t>Державний</t>
        </is>
      </c>
      <c r="D397" t="inlineStr">
        <is>
          <t>4530</t>
        </is>
      </c>
      <c r="E397" t="inlineStr">
        <is>
          <t>(без привʼязки)</t>
        </is>
      </c>
      <c r="F397" t="inlineStr">
        <is>
          <t>Капітальні інвестиції за необоротними активами, що отримані в лізинг (оренду)</t>
        </is>
      </c>
      <c r="G397" t="inlineStr">
        <is>
          <t>А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1040.97859</v>
      </c>
      <c r="O397" t="n">
        <v>1040.97859</v>
      </c>
      <c r="P397" t="n">
        <v>0</v>
      </c>
    </row>
    <row r="398">
      <c r="A398" t="inlineStr">
        <is>
          <t>2</t>
        </is>
      </c>
      <c r="B398" t="inlineStr">
        <is>
          <t>АТ "Укрексімбанк"</t>
        </is>
      </c>
      <c r="C398" t="inlineStr">
        <is>
          <t>Державний</t>
        </is>
      </c>
      <c r="D398" t="inlineStr">
        <is>
          <t>4600</t>
        </is>
      </c>
      <c r="E398" t="inlineStr">
        <is>
          <t>(без привʼязки)</t>
        </is>
      </c>
      <c r="F398" t="inlineStr">
        <is>
          <t>Активи з права користування</t>
        </is>
      </c>
      <c r="G398" t="inlineStr">
        <is>
          <t>А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74547.65453</v>
      </c>
      <c r="O398" t="n">
        <v>74547.65453</v>
      </c>
      <c r="P398" t="n">
        <v>0</v>
      </c>
    </row>
    <row r="399">
      <c r="A399" t="inlineStr">
        <is>
          <t>2</t>
        </is>
      </c>
      <c r="B399" t="inlineStr">
        <is>
          <t>АТ "Укрексімбанк"</t>
        </is>
      </c>
      <c r="C399" t="inlineStr">
        <is>
          <t>Державний</t>
        </is>
      </c>
      <c r="D399" t="inlineStr">
        <is>
          <t>4609</t>
        </is>
      </c>
      <c r="E399" t="inlineStr">
        <is>
          <t>(без привʼязки)</t>
        </is>
      </c>
      <c r="F399" t="inlineStr">
        <is>
          <t>Накопичена амортизація активів з права користування</t>
        </is>
      </c>
      <c r="G399" t="inlineStr">
        <is>
          <t>П</t>
        </is>
      </c>
      <c r="H399" t="n">
        <v>0</v>
      </c>
      <c r="I399" t="n">
        <v>0</v>
      </c>
      <c r="J399" t="n">
        <v>0</v>
      </c>
      <c r="K399" t="n">
        <v>917.6734</v>
      </c>
      <c r="L399" t="n">
        <v>917.6734</v>
      </c>
      <c r="M399" t="n">
        <v>0</v>
      </c>
      <c r="N399" t="n">
        <v>-15521.41334</v>
      </c>
      <c r="O399" t="n">
        <v>-15521.41334</v>
      </c>
      <c r="P399" t="n">
        <v>0</v>
      </c>
    </row>
    <row r="400">
      <c r="A400" t="inlineStr">
        <is>
          <t>2</t>
        </is>
      </c>
      <c r="B400" t="inlineStr">
        <is>
          <t>АТ "Укрексімбанк"</t>
        </is>
      </c>
      <c r="C400" t="inlineStr">
        <is>
          <t>Державний</t>
        </is>
      </c>
      <c r="D400" t="inlineStr">
        <is>
          <t>1310</t>
        </is>
      </c>
      <c r="E400" t="inlineStr">
        <is>
          <t>(без привʼязки)</t>
        </is>
      </c>
      <c r="F400" t="inlineStr">
        <is>
          <t>Кредити овернайт, що отримані від Національного банку України шляхом рефінансування</t>
        </is>
      </c>
      <c r="G400" t="inlineStr">
        <is>
          <t>П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2</t>
        </is>
      </c>
      <c r="B401" t="inlineStr">
        <is>
          <t>АТ "Укрексімбанк"</t>
        </is>
      </c>
      <c r="C401" t="inlineStr">
        <is>
          <t>Державний</t>
        </is>
      </c>
      <c r="D401" t="inlineStr">
        <is>
          <t>1312</t>
        </is>
      </c>
      <c r="E401" t="inlineStr">
        <is>
          <t>(без привʼязки)</t>
        </is>
      </c>
      <c r="F401" t="inlineStr">
        <is>
          <t>Інші кредити, що отримані від Національного банку України шляхом рефінансування</t>
        </is>
      </c>
      <c r="G401" t="inlineStr">
        <is>
          <t>П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2</t>
        </is>
      </c>
      <c r="B402" t="inlineStr">
        <is>
          <t>АТ "Укрексімбанк"</t>
        </is>
      </c>
      <c r="C402" t="inlineStr">
        <is>
          <t>Державний</t>
        </is>
      </c>
      <c r="D402" t="inlineStr">
        <is>
          <t>1316</t>
        </is>
      </c>
      <c r="E402" t="inlineStr">
        <is>
          <t>(без привʼязки)</t>
        </is>
      </c>
      <c r="F402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02" t="inlineStr">
        <is>
          <t>А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2</t>
        </is>
      </c>
      <c r="B403" t="inlineStr">
        <is>
          <t>АТ "Укрексімбанк"</t>
        </is>
      </c>
      <c r="C403" t="inlineStr">
        <is>
          <t>Державний</t>
        </is>
      </c>
      <c r="D403" t="inlineStr">
        <is>
          <t>1316</t>
        </is>
      </c>
      <c r="E403" t="inlineStr">
        <is>
          <t>(без привʼязки)</t>
        </is>
      </c>
      <c r="F403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03" t="inlineStr">
        <is>
          <t>П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2</t>
        </is>
      </c>
      <c r="B404" t="inlineStr">
        <is>
          <t>АТ "Укрексімбанк"</t>
        </is>
      </c>
      <c r="C404" t="inlineStr">
        <is>
          <t>Державний</t>
        </is>
      </c>
      <c r="D404" t="inlineStr">
        <is>
          <t>1318</t>
        </is>
      </c>
      <c r="E404" t="inlineStr">
        <is>
          <t>(без привʼязки)</t>
        </is>
      </c>
      <c r="F404" t="inlineStr">
        <is>
          <t>Нараховані витрати за кредитами, що отримані від Національного банку України шляхом рефінансування</t>
        </is>
      </c>
      <c r="G404" t="inlineStr">
        <is>
          <t>П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2</t>
        </is>
      </c>
      <c r="B405" t="inlineStr">
        <is>
          <t>АТ "Укрексімбанк"</t>
        </is>
      </c>
      <c r="C405" t="inlineStr">
        <is>
          <t>Державний</t>
        </is>
      </c>
      <c r="D405" t="inlineStr">
        <is>
          <t>1507</t>
        </is>
      </c>
      <c r="E405" t="inlineStr">
        <is>
          <t>(без привʼязки)</t>
        </is>
      </c>
      <c r="F405" t="inlineStr">
        <is>
          <t>Нараховані витрати за отриманими кредитами овердрафт від інших банків</t>
        </is>
      </c>
      <c r="G405" t="inlineStr">
        <is>
          <t>П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2</t>
        </is>
      </c>
      <c r="B406" t="inlineStr">
        <is>
          <t>АТ "Укрексімбанк"</t>
        </is>
      </c>
      <c r="C406" t="inlineStr">
        <is>
          <t>Державний</t>
        </is>
      </c>
      <c r="D406" t="inlineStr">
        <is>
          <t>1602</t>
        </is>
      </c>
      <c r="E406" t="inlineStr">
        <is>
          <t>(без привʼязки)</t>
        </is>
      </c>
      <c r="F406" t="inlineStr">
        <is>
          <t>Кошти інших банків за рахунками умовного зберігання (ескроу)</t>
        </is>
      </c>
      <c r="G406" t="inlineStr">
        <is>
          <t>П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2</t>
        </is>
      </c>
      <c r="B407" t="inlineStr">
        <is>
          <t>АТ "Укрексімбанк"</t>
        </is>
      </c>
      <c r="C407" t="inlineStr">
        <is>
          <t>Державний</t>
        </is>
      </c>
      <c r="D407" t="inlineStr">
        <is>
          <t>1608</t>
        </is>
      </c>
      <c r="E407" t="inlineStr">
        <is>
          <t>(без привʼязки)</t>
        </is>
      </c>
      <c r="F407" t="inlineStr">
        <is>
          <t>Нараховані витрати за коштами на вимогу інших банків</t>
        </is>
      </c>
      <c r="G407" t="inlineStr">
        <is>
          <t>А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2</t>
        </is>
      </c>
      <c r="B408" t="inlineStr">
        <is>
          <t>АТ "Укрексімбанк"</t>
        </is>
      </c>
      <c r="C408" t="inlineStr">
        <is>
          <t>Державний</t>
        </is>
      </c>
      <c r="D408" t="inlineStr">
        <is>
          <t>1608</t>
        </is>
      </c>
      <c r="E408" t="inlineStr">
        <is>
          <t>(без привʼязки)</t>
        </is>
      </c>
      <c r="F408" t="inlineStr">
        <is>
          <t>Нараховані витрати за коштами на вимогу інших банків</t>
        </is>
      </c>
      <c r="G408" t="inlineStr">
        <is>
          <t>П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2</t>
        </is>
      </c>
      <c r="B409" t="inlineStr">
        <is>
          <t>АТ "Укрексімбанк"</t>
        </is>
      </c>
      <c r="C409" t="inlineStr">
        <is>
          <t>Державний</t>
        </is>
      </c>
      <c r="D409" t="inlineStr">
        <is>
          <t>1613</t>
        </is>
      </c>
      <c r="E409" t="inlineStr">
        <is>
          <t>(без привʼязки)</t>
        </is>
      </c>
      <c r="F409" t="inlineStr">
        <is>
          <t>Строкові вклади (депозити) інших банків, які обліковуються за амортизованою собівартістю</t>
        </is>
      </c>
      <c r="G409" t="inlineStr">
        <is>
          <t>П</t>
        </is>
      </c>
      <c r="H409" t="n">
        <v>177.4026</v>
      </c>
      <c r="I409" t="n">
        <v>0</v>
      </c>
      <c r="J409" t="n">
        <v>177.4026</v>
      </c>
      <c r="K409" t="n">
        <v>266.928</v>
      </c>
      <c r="L409" t="n">
        <v>0</v>
      </c>
      <c r="M409" t="n">
        <v>266.928</v>
      </c>
      <c r="N409" t="n">
        <v>16961.5056</v>
      </c>
      <c r="O409" t="n">
        <v>0</v>
      </c>
      <c r="P409" t="n">
        <v>16961.5056</v>
      </c>
    </row>
    <row r="410">
      <c r="A410" t="inlineStr">
        <is>
          <t>2</t>
        </is>
      </c>
      <c r="B410" t="inlineStr">
        <is>
          <t>АТ "Укрексімбанк"</t>
        </is>
      </c>
      <c r="C410" t="inlineStr">
        <is>
          <t>Державний</t>
        </is>
      </c>
      <c r="D410" t="inlineStr">
        <is>
          <t>1618</t>
        </is>
      </c>
      <c r="E410" t="inlineStr">
        <is>
          <t>(без привʼязки)</t>
        </is>
      </c>
      <c r="F410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10" t="inlineStr">
        <is>
          <t>А</t>
        </is>
      </c>
      <c r="H410" t="n">
        <v>11.29248</v>
      </c>
      <c r="I410" t="n">
        <v>0</v>
      </c>
      <c r="J410" t="n">
        <v>11.29248</v>
      </c>
      <c r="K410" t="n">
        <v>11.29248</v>
      </c>
      <c r="L410" t="n">
        <v>0</v>
      </c>
      <c r="M410" t="n">
        <v>11.29248</v>
      </c>
      <c r="N410" t="n">
        <v>0</v>
      </c>
      <c r="O410" t="n">
        <v>0</v>
      </c>
      <c r="P410" t="n">
        <v>0</v>
      </c>
    </row>
    <row r="411">
      <c r="A411" t="inlineStr">
        <is>
          <t>2</t>
        </is>
      </c>
      <c r="B411" t="inlineStr">
        <is>
          <t>АТ "Укрексімбанк"</t>
        </is>
      </c>
      <c r="C411" t="inlineStr">
        <is>
          <t>Державний</t>
        </is>
      </c>
      <c r="D411" t="inlineStr">
        <is>
          <t>1618</t>
        </is>
      </c>
      <c r="E411" t="inlineStr">
        <is>
          <t>(без привʼязки)</t>
        </is>
      </c>
      <c r="F411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11" t="inlineStr">
        <is>
          <t>П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2</t>
        </is>
      </c>
      <c r="B412" t="inlineStr">
        <is>
          <t>АТ "Укрексімбанк"</t>
        </is>
      </c>
      <c r="C412" t="inlineStr">
        <is>
          <t>Державний</t>
        </is>
      </c>
      <c r="D412" t="inlineStr">
        <is>
          <t>1616</t>
        </is>
      </c>
      <c r="E412" t="inlineStr">
        <is>
          <t>(без привʼязки)</t>
        </is>
      </c>
      <c r="F412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G412" t="inlineStr">
        <is>
          <t>А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2</t>
        </is>
      </c>
      <c r="B413" t="inlineStr">
        <is>
          <t>АТ "Укрексімбанк"</t>
        </is>
      </c>
      <c r="C413" t="inlineStr">
        <is>
          <t>Державний</t>
        </is>
      </c>
      <c r="D413" t="inlineStr">
        <is>
          <t>1621</t>
        </is>
      </c>
      <c r="E413" t="inlineStr">
        <is>
          <t>(без привʼязки)</t>
        </is>
      </c>
      <c r="F413" t="inlineStr">
        <is>
          <t>Кредити овернайт, що отримані від інших банків, які обліковуються за амортизованою собівартістю</t>
        </is>
      </c>
      <c r="G413" t="inlineStr">
        <is>
          <t>П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2</t>
        </is>
      </c>
      <c r="B414" t="inlineStr">
        <is>
          <t>АТ "Укрексімбанк"</t>
        </is>
      </c>
      <c r="C414" t="inlineStr">
        <is>
          <t>Державний</t>
        </is>
      </c>
      <c r="D414" t="inlineStr">
        <is>
          <t>1622</t>
        </is>
      </c>
      <c r="E414" t="inlineStr">
        <is>
          <t>(без привʼязки)</t>
        </is>
      </c>
      <c r="F4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G414" t="inlineStr">
        <is>
          <t>П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2</t>
        </is>
      </c>
      <c r="B415" t="inlineStr">
        <is>
          <t>АТ "Укрексімбанк"</t>
        </is>
      </c>
      <c r="C415" t="inlineStr">
        <is>
          <t>Державний</t>
        </is>
      </c>
      <c r="D415" t="inlineStr">
        <is>
          <t>1623</t>
        </is>
      </c>
      <c r="E415" t="inlineStr">
        <is>
          <t>(без привʼязки)</t>
        </is>
      </c>
      <c r="F415" t="inlineStr">
        <is>
          <t>Інші кредити, що отримані від інших банків, які обліковуються за амортизованою собівартістю</t>
        </is>
      </c>
      <c r="G415" t="inlineStr">
        <is>
          <t>П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2</t>
        </is>
      </c>
      <c r="B416" t="inlineStr">
        <is>
          <t>АТ "Укрексімбанк"</t>
        </is>
      </c>
      <c r="C416" t="inlineStr">
        <is>
          <t>Державний</t>
        </is>
      </c>
      <c r="D416" t="inlineStr">
        <is>
          <t>1626</t>
        </is>
      </c>
      <c r="E416" t="inlineStr">
        <is>
          <t>(без привʼязки)</t>
        </is>
      </c>
      <c r="F416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G416" t="inlineStr">
        <is>
          <t>А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2</t>
        </is>
      </c>
      <c r="B417" t="inlineStr">
        <is>
          <t>АТ "Укрексімбанк"</t>
        </is>
      </c>
      <c r="C417" t="inlineStr">
        <is>
          <t>Державний</t>
        </is>
      </c>
      <c r="D417" t="inlineStr">
        <is>
          <t>1628</t>
        </is>
      </c>
      <c r="E417" t="inlineStr">
        <is>
          <t>(без привʼязки)</t>
        </is>
      </c>
      <c r="F417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G417" t="inlineStr">
        <is>
          <t>П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2</t>
        </is>
      </c>
      <c r="B418" t="inlineStr">
        <is>
          <t>АТ "Укрексімбанк"</t>
        </is>
      </c>
      <c r="C418" t="inlineStr">
        <is>
          <t>Державний</t>
        </is>
      </c>
      <c r="D418" t="inlineStr">
        <is>
          <t>1911</t>
        </is>
      </c>
      <c r="E418" t="inlineStr">
        <is>
          <t>(без привʼязки)</t>
        </is>
      </c>
      <c r="F418" t="inlineStr">
        <is>
          <t>Кредиторська заборгованість за операціями з готівкою</t>
        </is>
      </c>
      <c r="G418" t="inlineStr">
        <is>
          <t>П</t>
        </is>
      </c>
      <c r="H418" t="n">
        <v>506314.94026</v>
      </c>
      <c r="I418" t="n">
        <v>374895.84</v>
      </c>
      <c r="J418" t="n">
        <v>131419.10026</v>
      </c>
      <c r="K418" t="n">
        <v>506315.11961</v>
      </c>
      <c r="L418" t="n">
        <v>374895.84</v>
      </c>
      <c r="M418" t="n">
        <v>131419.27961</v>
      </c>
      <c r="N418" t="n">
        <v>24.43595</v>
      </c>
      <c r="O418" t="n">
        <v>0</v>
      </c>
      <c r="P418" t="n">
        <v>24.43595</v>
      </c>
    </row>
    <row r="419">
      <c r="A419" t="inlineStr">
        <is>
          <t>2</t>
        </is>
      </c>
      <c r="B419" t="inlineStr">
        <is>
          <t>АТ "Укрексімбанк"</t>
        </is>
      </c>
      <c r="C419" t="inlineStr">
        <is>
          <t>Державний</t>
        </is>
      </c>
      <c r="D419" t="inlineStr">
        <is>
          <t>1919</t>
        </is>
      </c>
      <c r="E419" t="inlineStr">
        <is>
          <t>(без привʼязки)</t>
        </is>
      </c>
      <c r="F419" t="inlineStr">
        <is>
          <t>Інша кредиторська заборгованість за операціями з банками</t>
        </is>
      </c>
      <c r="G419" t="inlineStr">
        <is>
          <t>П</t>
        </is>
      </c>
      <c r="H419" t="n">
        <v>689773.86934</v>
      </c>
      <c r="I419" t="n">
        <v>699.41394</v>
      </c>
      <c r="J419" t="n">
        <v>689074.4554</v>
      </c>
      <c r="K419" t="n">
        <v>541101.50528</v>
      </c>
      <c r="L419" t="n">
        <v>699.41394</v>
      </c>
      <c r="M419" t="n">
        <v>540402.09134</v>
      </c>
      <c r="N419" t="n">
        <v>60436.3007</v>
      </c>
      <c r="O419" t="n">
        <v>0</v>
      </c>
      <c r="P419" t="n">
        <v>60436.3007</v>
      </c>
    </row>
    <row r="420">
      <c r="A420" t="inlineStr">
        <is>
          <t>2</t>
        </is>
      </c>
      <c r="B420" t="inlineStr">
        <is>
          <t>АТ "Укрексімбанк"</t>
        </is>
      </c>
      <c r="C420" t="inlineStr">
        <is>
          <t>Державний</t>
        </is>
      </c>
      <c r="D420" t="inlineStr">
        <is>
          <t>1932</t>
        </is>
      </c>
      <c r="E420" t="inlineStr">
        <is>
          <t>(без привʼязки)</t>
        </is>
      </c>
      <c r="F420" t="inlineStr">
        <is>
          <t>Кошти в розрахунках інших банків</t>
        </is>
      </c>
      <c r="G420" t="inlineStr">
        <is>
          <t>П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2</t>
        </is>
      </c>
      <c r="B421" t="inlineStr">
        <is>
          <t>АТ "Укрексімбанк"</t>
        </is>
      </c>
      <c r="C421" t="inlineStr">
        <is>
          <t>Державний</t>
        </is>
      </c>
      <c r="D421" t="inlineStr">
        <is>
          <t>2512</t>
        </is>
      </c>
      <c r="E421" t="inlineStr">
        <is>
          <t>(без привʼязки)</t>
        </is>
      </c>
      <c r="F421" t="inlineStr">
        <is>
          <t>Кошти Державного бюджету України цільового характеру</t>
        </is>
      </c>
      <c r="G421" t="inlineStr">
        <is>
          <t>П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2</t>
        </is>
      </c>
      <c r="B422" t="inlineStr">
        <is>
          <t>АТ "Укрексімбанк"</t>
        </is>
      </c>
      <c r="C422" t="inlineStr">
        <is>
          <t>Державний</t>
        </is>
      </c>
      <c r="D422" t="inlineStr">
        <is>
          <t>2513</t>
        </is>
      </c>
      <c r="E422" t="inlineStr">
        <is>
          <t>(без привʼязки)</t>
        </is>
      </c>
      <c r="F422" t="inlineStr">
        <is>
          <t>Кошти Державного казначейства України</t>
        </is>
      </c>
      <c r="G422" t="inlineStr">
        <is>
          <t>П</t>
        </is>
      </c>
      <c r="H422" t="n">
        <v>1564933.21566</v>
      </c>
      <c r="I422" t="n">
        <v>0</v>
      </c>
      <c r="J422" t="n">
        <v>1564933.21566</v>
      </c>
      <c r="K422" t="n">
        <v>5406545.32913</v>
      </c>
      <c r="L422" t="n">
        <v>0</v>
      </c>
      <c r="M422" t="n">
        <v>5406545.32913</v>
      </c>
      <c r="N422" t="n">
        <v>24368802.3222</v>
      </c>
      <c r="O422" t="n">
        <v>0</v>
      </c>
      <c r="P422" t="n">
        <v>24368802.3222</v>
      </c>
    </row>
    <row r="423">
      <c r="A423" t="inlineStr">
        <is>
          <t>2</t>
        </is>
      </c>
      <c r="B423" t="inlineStr">
        <is>
          <t>АТ "Укрексімбанк"</t>
        </is>
      </c>
      <c r="C423" t="inlineStr">
        <is>
          <t>Державний</t>
        </is>
      </c>
      <c r="D423" t="inlineStr">
        <is>
          <t>2518</t>
        </is>
      </c>
      <c r="E423" t="inlineStr">
        <is>
          <t>(без привʼязки)</t>
        </is>
      </c>
      <c r="F423" t="inlineStr">
        <is>
          <t>Нараховані витрати за коштами Державного бюджету України</t>
        </is>
      </c>
      <c r="G423" t="inlineStr">
        <is>
          <t>П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2</t>
        </is>
      </c>
      <c r="B424" t="inlineStr">
        <is>
          <t>АТ "Укрексімбанк"</t>
        </is>
      </c>
      <c r="C424" t="inlineStr">
        <is>
          <t>Державний</t>
        </is>
      </c>
      <c r="D424" t="inlineStr">
        <is>
          <t>2520</t>
        </is>
      </c>
      <c r="E424" t="inlineStr">
        <is>
          <t>(без привʼязки)</t>
        </is>
      </c>
      <c r="F424" t="inlineStr">
        <is>
          <t>Поточні рахунки клієнтів, які утримуються за рахунок Державного бюджету України</t>
        </is>
      </c>
      <c r="G424" t="inlineStr">
        <is>
          <t>П</t>
        </is>
      </c>
      <c r="H424" t="n">
        <v>8878338.169740001</v>
      </c>
      <c r="I424" t="n">
        <v>487200.79704</v>
      </c>
      <c r="J424" t="n">
        <v>8391137.3727</v>
      </c>
      <c r="K424" t="n">
        <v>8788583.67615</v>
      </c>
      <c r="L424" t="n">
        <v>328221.55703</v>
      </c>
      <c r="M424" t="n">
        <v>8460362.11912</v>
      </c>
      <c r="N424" t="n">
        <v>1080928.59943</v>
      </c>
      <c r="O424" t="n">
        <v>76618.52465000001</v>
      </c>
      <c r="P424" t="n">
        <v>1004310.07478</v>
      </c>
    </row>
    <row r="425">
      <c r="A425" t="inlineStr">
        <is>
          <t>2</t>
        </is>
      </c>
      <c r="B425" t="inlineStr">
        <is>
          <t>АТ "Укрексімбанк"</t>
        </is>
      </c>
      <c r="C425" t="inlineStr">
        <is>
          <t>Державний</t>
        </is>
      </c>
      <c r="D425" t="inlineStr">
        <is>
          <t>2523</t>
        </is>
      </c>
      <c r="E425" t="inlineStr">
        <is>
          <t>(без привʼязки)</t>
        </is>
      </c>
      <c r="F425" t="inlineStr">
        <is>
          <t>Поточні рахунки цільового характеру клієнтів, які утримуються за рахунок Державного бюджету України</t>
        </is>
      </c>
      <c r="G425" t="inlineStr">
        <is>
          <t>П</t>
        </is>
      </c>
      <c r="H425" t="n">
        <v>5542815.72838</v>
      </c>
      <c r="I425" t="n">
        <v>1448418.46426</v>
      </c>
      <c r="J425" t="n">
        <v>4094397.26412</v>
      </c>
      <c r="K425" t="n">
        <v>4104051.08881</v>
      </c>
      <c r="L425" t="n">
        <v>1417721.93962</v>
      </c>
      <c r="M425" t="n">
        <v>2686329.14919</v>
      </c>
      <c r="N425" t="n">
        <v>20895902.98761</v>
      </c>
      <c r="O425" t="n">
        <v>83500.61779</v>
      </c>
      <c r="P425" t="n">
        <v>20812402.36982</v>
      </c>
    </row>
    <row r="426">
      <c r="A426" t="inlineStr">
        <is>
          <t>2</t>
        </is>
      </c>
      <c r="B426" t="inlineStr">
        <is>
          <t>АТ "Укрексімбанк"</t>
        </is>
      </c>
      <c r="C426" t="inlineStr">
        <is>
          <t>Державний</t>
        </is>
      </c>
      <c r="D426" t="inlineStr">
        <is>
          <t>2528</t>
        </is>
      </c>
      <c r="E426" t="inlineStr">
        <is>
          <t>(без привʼязки)</t>
        </is>
      </c>
      <c r="F426" t="inlineStr">
        <is>
          <t>Нараховані витрати за коштами клієнтів банку, які утримуються за рахунок Державного бюджету України</t>
        </is>
      </c>
      <c r="G426" t="inlineStr">
        <is>
          <t>П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2</t>
        </is>
      </c>
      <c r="B427" t="inlineStr">
        <is>
          <t>АТ "Укрексімбанк"</t>
        </is>
      </c>
      <c r="C427" t="inlineStr">
        <is>
          <t>Державний</t>
        </is>
      </c>
      <c r="D427" t="inlineStr">
        <is>
          <t>2530</t>
        </is>
      </c>
      <c r="E427" t="inlineStr">
        <is>
          <t>(без привʼязки)</t>
        </is>
      </c>
      <c r="F427" t="inlineStr">
        <is>
          <t>Кошти бюджетних установ, що включаються до спеціального фонду Державного бюджету України</t>
        </is>
      </c>
      <c r="G427" t="inlineStr">
        <is>
          <t>П</t>
        </is>
      </c>
      <c r="H427" t="n">
        <v>1117200.23475</v>
      </c>
      <c r="I427" t="n">
        <v>741249.91233</v>
      </c>
      <c r="J427" t="n">
        <v>375950.32242</v>
      </c>
      <c r="K427" t="n">
        <v>919231.97176</v>
      </c>
      <c r="L427" t="n">
        <v>758260.2611</v>
      </c>
      <c r="M427" t="n">
        <v>160971.71066</v>
      </c>
      <c r="N427" t="n">
        <v>3804485.82631</v>
      </c>
      <c r="O427" t="n">
        <v>289723.853</v>
      </c>
      <c r="P427" t="n">
        <v>3514761.97331</v>
      </c>
    </row>
    <row r="428">
      <c r="A428" t="inlineStr">
        <is>
          <t>2</t>
        </is>
      </c>
      <c r="B428" t="inlineStr">
        <is>
          <t>АТ "Укрексімбанк"</t>
        </is>
      </c>
      <c r="C428" t="inlineStr">
        <is>
          <t>Державний</t>
        </is>
      </c>
      <c r="D428" t="inlineStr">
        <is>
          <t>2531</t>
        </is>
      </c>
      <c r="E428" t="inlineStr">
        <is>
          <t>(без привʼязки)</t>
        </is>
      </c>
      <c r="F428" t="inlineStr">
        <is>
          <t>Кошти, що вилучені уповноваженими органами</t>
        </is>
      </c>
      <c r="G428" t="inlineStr">
        <is>
          <t>П</t>
        </is>
      </c>
      <c r="H428" t="n">
        <v>124781.68175</v>
      </c>
      <c r="I428" t="n">
        <v>1252.33</v>
      </c>
      <c r="J428" t="n">
        <v>123529.35175</v>
      </c>
      <c r="K428" t="n">
        <v>178352.39846</v>
      </c>
      <c r="L428" t="n">
        <v>2191.7</v>
      </c>
      <c r="M428" t="n">
        <v>176160.69846</v>
      </c>
      <c r="N428" t="n">
        <v>2778354.27845</v>
      </c>
      <c r="O428" t="n">
        <v>35182.16323</v>
      </c>
      <c r="P428" t="n">
        <v>2743172.11522</v>
      </c>
    </row>
    <row r="429">
      <c r="A429" t="inlineStr">
        <is>
          <t>2</t>
        </is>
      </c>
      <c r="B429" t="inlineStr">
        <is>
          <t>АТ "Укрексімбанк"</t>
        </is>
      </c>
      <c r="C429" t="inlineStr">
        <is>
          <t>Державний</t>
        </is>
      </c>
      <c r="D429" t="inlineStr">
        <is>
          <t>2538</t>
        </is>
      </c>
      <c r="E429" t="inlineStr">
        <is>
          <t>(без привʼязки)</t>
        </is>
      </c>
      <c r="F429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G429" t="inlineStr">
        <is>
          <t>П</t>
        </is>
      </c>
      <c r="H429" t="n">
        <v>576.83419</v>
      </c>
      <c r="I429" t="n">
        <v>105.45877</v>
      </c>
      <c r="J429" t="n">
        <v>471.37542</v>
      </c>
      <c r="K429" t="n">
        <v>532.44314</v>
      </c>
      <c r="L429" t="n">
        <v>84.9442</v>
      </c>
      <c r="M429" t="n">
        <v>447.49894</v>
      </c>
      <c r="N429" t="n">
        <v>532.44314</v>
      </c>
      <c r="O429" t="n">
        <v>84.9442</v>
      </c>
      <c r="P429" t="n">
        <v>447.49894</v>
      </c>
    </row>
    <row r="430">
      <c r="A430" t="inlineStr">
        <is>
          <t>2</t>
        </is>
      </c>
      <c r="B430" t="inlineStr">
        <is>
          <t>АТ "Укрексімбанк"</t>
        </is>
      </c>
      <c r="C430" t="inlineStr">
        <is>
          <t>Державний</t>
        </is>
      </c>
      <c r="D430" t="inlineStr">
        <is>
          <t>2533</t>
        </is>
      </c>
      <c r="E430" t="inlineStr">
        <is>
          <t>(без привʼязки)</t>
        </is>
      </c>
      <c r="F430" t="inlineStr">
        <is>
          <t>Депозитні суми та кошти, стягнуті з боржника органами державної виконавчої служби</t>
        </is>
      </c>
      <c r="G430" t="inlineStr">
        <is>
          <t>П</t>
        </is>
      </c>
      <c r="H430" t="n">
        <v>12.522</v>
      </c>
      <c r="I430" t="n">
        <v>6.89401</v>
      </c>
      <c r="J430" t="n">
        <v>5.62799</v>
      </c>
      <c r="K430" t="n">
        <v>6.83549</v>
      </c>
      <c r="L430" t="n">
        <v>1.2075</v>
      </c>
      <c r="M430" t="n">
        <v>5.62799</v>
      </c>
      <c r="N430" t="n">
        <v>275.79113</v>
      </c>
      <c r="O430" t="n">
        <v>275.79113</v>
      </c>
      <c r="P430" t="n">
        <v>0</v>
      </c>
    </row>
    <row r="431">
      <c r="A431" t="inlineStr">
        <is>
          <t>2</t>
        </is>
      </c>
      <c r="B431" t="inlineStr">
        <is>
          <t>АТ "Укрексімбанк"</t>
        </is>
      </c>
      <c r="C431" t="inlineStr">
        <is>
          <t>Державний</t>
        </is>
      </c>
      <c r="D431" t="inlineStr">
        <is>
          <t>2541</t>
        </is>
      </c>
      <c r="E431" t="inlineStr">
        <is>
          <t>(без привʼязки)</t>
        </is>
      </c>
      <c r="F431" t="inlineStr">
        <is>
          <t>Кошти бюджету Автономної Республіки Крим та обласних бюджетів</t>
        </is>
      </c>
      <c r="G431" t="inlineStr">
        <is>
          <t>П</t>
        </is>
      </c>
      <c r="H431" t="n">
        <v>126.93018</v>
      </c>
      <c r="I431" t="n">
        <v>0</v>
      </c>
      <c r="J431" t="n">
        <v>126.93018</v>
      </c>
      <c r="K431" t="n">
        <v>187.05787</v>
      </c>
      <c r="L431" t="n">
        <v>0</v>
      </c>
      <c r="M431" t="n">
        <v>187.05787</v>
      </c>
      <c r="N431" t="n">
        <v>8546.531150000001</v>
      </c>
      <c r="O431" t="n">
        <v>0</v>
      </c>
      <c r="P431" t="n">
        <v>8546.531150000001</v>
      </c>
    </row>
    <row r="432">
      <c r="A432" t="inlineStr">
        <is>
          <t>2</t>
        </is>
      </c>
      <c r="B432" t="inlineStr">
        <is>
          <t>АТ "Укрексімбанк"</t>
        </is>
      </c>
      <c r="C432" t="inlineStr">
        <is>
          <t>Державний</t>
        </is>
      </c>
      <c r="D432" t="inlineStr">
        <is>
          <t>2542</t>
        </is>
      </c>
      <c r="E432" t="inlineStr">
        <is>
          <t>(без привʼязки)</t>
        </is>
      </c>
      <c r="F432" t="inlineStr">
        <is>
          <t>Кошти районних, міських, селищних та сільських бюджетів</t>
        </is>
      </c>
      <c r="G432" t="inlineStr">
        <is>
          <t>П</t>
        </is>
      </c>
      <c r="H432" t="n">
        <v>26015.65289</v>
      </c>
      <c r="I432" t="n">
        <v>0</v>
      </c>
      <c r="J432" t="n">
        <v>26015.65289</v>
      </c>
      <c r="K432" t="n">
        <v>18485.01493</v>
      </c>
      <c r="L432" t="n">
        <v>0</v>
      </c>
      <c r="M432" t="n">
        <v>18485.01493</v>
      </c>
      <c r="N432" t="n">
        <v>96477.66926</v>
      </c>
      <c r="O432" t="n">
        <v>0</v>
      </c>
      <c r="P432" t="n">
        <v>96477.66926</v>
      </c>
    </row>
    <row r="433">
      <c r="A433" t="inlineStr">
        <is>
          <t>2</t>
        </is>
      </c>
      <c r="B433" t="inlineStr">
        <is>
          <t>АТ "Укрексімбанк"</t>
        </is>
      </c>
      <c r="C433" t="inlineStr">
        <is>
          <t>Державний</t>
        </is>
      </c>
      <c r="D433" t="inlineStr">
        <is>
          <t>2544</t>
        </is>
      </c>
      <c r="E433" t="inlineStr">
        <is>
          <t>(без привʼязки)</t>
        </is>
      </c>
      <c r="F433" t="inlineStr">
        <is>
          <t>Кошти бюджету Автономної Республіки Крим та обласних бюджетів цільового характеру</t>
        </is>
      </c>
      <c r="G433" t="inlineStr">
        <is>
          <t>П</t>
        </is>
      </c>
      <c r="H433" t="n">
        <v>396.40233</v>
      </c>
      <c r="I433" t="n">
        <v>0</v>
      </c>
      <c r="J433" t="n">
        <v>396.40233</v>
      </c>
      <c r="K433" t="n">
        <v>582.75819</v>
      </c>
      <c r="L433" t="n">
        <v>0</v>
      </c>
      <c r="M433" t="n">
        <v>582.75819</v>
      </c>
      <c r="N433" t="n">
        <v>25390.4793</v>
      </c>
      <c r="O433" t="n">
        <v>0</v>
      </c>
      <c r="P433" t="n">
        <v>25390.4793</v>
      </c>
    </row>
    <row r="434">
      <c r="A434" t="inlineStr">
        <is>
          <t>2</t>
        </is>
      </c>
      <c r="B434" t="inlineStr">
        <is>
          <t>АТ "Укрексімбанк"</t>
        </is>
      </c>
      <c r="C434" t="inlineStr">
        <is>
          <t>Державний</t>
        </is>
      </c>
      <c r="D434" t="inlineStr">
        <is>
          <t>2545</t>
        </is>
      </c>
      <c r="E434" t="inlineStr">
        <is>
          <t>(без привʼязки)</t>
        </is>
      </c>
      <c r="F434" t="inlineStr">
        <is>
          <t>Кошти районних, міських, селищних та сільських бюджетів цільового характеру</t>
        </is>
      </c>
      <c r="G434" t="inlineStr">
        <is>
          <t>П</t>
        </is>
      </c>
      <c r="H434" t="n">
        <v>96510.95619</v>
      </c>
      <c r="I434" t="n">
        <v>0</v>
      </c>
      <c r="J434" t="n">
        <v>96510.95619</v>
      </c>
      <c r="K434" t="n">
        <v>93418.26020999999</v>
      </c>
      <c r="L434" t="n">
        <v>0</v>
      </c>
      <c r="M434" t="n">
        <v>93418.26020999999</v>
      </c>
      <c r="N434" t="n">
        <v>1655.24385</v>
      </c>
      <c r="O434" t="n">
        <v>0</v>
      </c>
      <c r="P434" t="n">
        <v>1655.24385</v>
      </c>
    </row>
    <row r="435">
      <c r="A435" t="inlineStr">
        <is>
          <t>2</t>
        </is>
      </c>
      <c r="B435" t="inlineStr">
        <is>
          <t>АТ "Укрексімбанк"</t>
        </is>
      </c>
      <c r="C435" t="inlineStr">
        <is>
          <t>Державний</t>
        </is>
      </c>
      <c r="D435" t="inlineStr">
        <is>
          <t>2548</t>
        </is>
      </c>
      <c r="E435" t="inlineStr">
        <is>
          <t>(без привʼязки)</t>
        </is>
      </c>
      <c r="F435" t="inlineStr">
        <is>
          <t xml:space="preserve">Нараховані витрати за коштами місцевих бюджетів </t>
        </is>
      </c>
      <c r="G435" t="inlineStr">
        <is>
          <t>П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2</t>
        </is>
      </c>
      <c r="B436" t="inlineStr">
        <is>
          <t>АТ "Укрексімбанк"</t>
        </is>
      </c>
      <c r="C436" t="inlineStr">
        <is>
          <t>Державний</t>
        </is>
      </c>
      <c r="D436" t="inlineStr">
        <is>
          <t>2550</t>
        </is>
      </c>
      <c r="E436" t="inlineStr">
        <is>
          <t>(без привʼязки)</t>
        </is>
      </c>
      <c r="F436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G436" t="inlineStr">
        <is>
          <t>П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2</t>
        </is>
      </c>
      <c r="B437" t="inlineStr">
        <is>
          <t>АТ "Укрексімбанк"</t>
        </is>
      </c>
      <c r="C437" t="inlineStr">
        <is>
          <t>Державний</t>
        </is>
      </c>
      <c r="D437" t="inlineStr">
        <is>
          <t>2551</t>
        </is>
      </c>
      <c r="E437" t="inlineStr">
        <is>
          <t>(без привʼязки)</t>
        </is>
      </c>
      <c r="F437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G437" t="inlineStr">
        <is>
          <t>П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2</t>
        </is>
      </c>
      <c r="B438" t="inlineStr">
        <is>
          <t>АТ "Укрексімбанк"</t>
        </is>
      </c>
      <c r="C438" t="inlineStr">
        <is>
          <t>Державний</t>
        </is>
      </c>
      <c r="D438" t="inlineStr">
        <is>
          <t>2552</t>
        </is>
      </c>
      <c r="E438" t="inlineStr">
        <is>
          <t>(без привʼязки)</t>
        </is>
      </c>
      <c r="F438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G438" t="inlineStr">
        <is>
          <t>П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2</t>
        </is>
      </c>
      <c r="B439" t="inlineStr">
        <is>
          <t>АТ "Укрексімбанк"</t>
        </is>
      </c>
      <c r="C439" t="inlineStr">
        <is>
          <t>Державний</t>
        </is>
      </c>
      <c r="D439" t="inlineStr">
        <is>
          <t>2553</t>
        </is>
      </c>
      <c r="E439" t="inlineStr">
        <is>
          <t>(без привʼязки)</t>
        </is>
      </c>
      <c r="F439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G439" t="inlineStr">
        <is>
          <t>П</t>
        </is>
      </c>
      <c r="H439" t="n">
        <v>30.41837</v>
      </c>
      <c r="I439" t="n">
        <v>0</v>
      </c>
      <c r="J439" t="n">
        <v>30.41837</v>
      </c>
      <c r="K439" t="n">
        <v>44.7186</v>
      </c>
      <c r="L439" t="n">
        <v>0</v>
      </c>
      <c r="M439" t="n">
        <v>44.7186</v>
      </c>
      <c r="N439" t="n">
        <v>1952.36504</v>
      </c>
      <c r="O439" t="n">
        <v>3.99829</v>
      </c>
      <c r="P439" t="n">
        <v>1948.36675</v>
      </c>
    </row>
    <row r="440">
      <c r="A440" t="inlineStr">
        <is>
          <t>2</t>
        </is>
      </c>
      <c r="B440" t="inlineStr">
        <is>
          <t>АТ "Укрексімбанк"</t>
        </is>
      </c>
      <c r="C440" t="inlineStr">
        <is>
          <t>Державний</t>
        </is>
      </c>
      <c r="D440" t="inlineStr">
        <is>
          <t>2554</t>
        </is>
      </c>
      <c r="E440" t="inlineStr">
        <is>
          <t>(без привʼязки)</t>
        </is>
      </c>
      <c r="F440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G440" t="inlineStr">
        <is>
          <t>П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2</t>
        </is>
      </c>
      <c r="B441" t="inlineStr">
        <is>
          <t>АТ "Укрексімбанк"</t>
        </is>
      </c>
      <c r="C441" t="inlineStr">
        <is>
          <t>Державний</t>
        </is>
      </c>
      <c r="D441" t="inlineStr">
        <is>
          <t>2555</t>
        </is>
      </c>
      <c r="E441" t="inlineStr">
        <is>
          <t>(без привʼязки)</t>
        </is>
      </c>
      <c r="F441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G441" t="inlineStr">
        <is>
          <t>П</t>
        </is>
      </c>
      <c r="H441" t="n">
        <v>1536.88224</v>
      </c>
      <c r="I441" t="n">
        <v>0</v>
      </c>
      <c r="J441" t="n">
        <v>1536.88224</v>
      </c>
      <c r="K441" t="n">
        <v>1568.11448</v>
      </c>
      <c r="L441" t="n">
        <v>0</v>
      </c>
      <c r="M441" t="n">
        <v>1568.11448</v>
      </c>
      <c r="N441" t="n">
        <v>4255.30713</v>
      </c>
      <c r="O441" t="n">
        <v>0</v>
      </c>
      <c r="P441" t="n">
        <v>4255.30713</v>
      </c>
    </row>
    <row r="442">
      <c r="A442" t="inlineStr">
        <is>
          <t>2</t>
        </is>
      </c>
      <c r="B442" t="inlineStr">
        <is>
          <t>АТ "Укрексімбанк"</t>
        </is>
      </c>
      <c r="C442" t="inlineStr">
        <is>
          <t>Державний</t>
        </is>
      </c>
      <c r="D442" t="inlineStr">
        <is>
          <t>2558</t>
        </is>
      </c>
      <c r="E442" t="inlineStr">
        <is>
          <t>(без привʼязки)</t>
        </is>
      </c>
      <c r="F442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G442" t="inlineStr">
        <is>
          <t>П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2</t>
        </is>
      </c>
      <c r="B443" t="inlineStr">
        <is>
          <t>АТ "Укрексімбанк"</t>
        </is>
      </c>
      <c r="C443" t="inlineStr">
        <is>
          <t>Державний</t>
        </is>
      </c>
      <c r="D443" t="inlineStr">
        <is>
          <t>2556</t>
        </is>
      </c>
      <c r="E443" t="inlineStr">
        <is>
          <t>(без привʼязки)</t>
        </is>
      </c>
      <c r="F443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G443" t="inlineStr">
        <is>
          <t>П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2</t>
        </is>
      </c>
      <c r="B444" t="inlineStr">
        <is>
          <t>АТ "Укрексімбанк"</t>
        </is>
      </c>
      <c r="C444" t="inlineStr">
        <is>
          <t>Державний</t>
        </is>
      </c>
      <c r="D444" t="inlineStr">
        <is>
          <t>2560</t>
        </is>
      </c>
      <c r="E444" t="inlineStr">
        <is>
          <t>(без привʼязки)</t>
        </is>
      </c>
      <c r="F444" t="inlineStr">
        <is>
          <t>Державні позабюджетні фонди</t>
        </is>
      </c>
      <c r="G444" t="inlineStr">
        <is>
          <t>П</t>
        </is>
      </c>
      <c r="H444" t="n">
        <v>288724.63119</v>
      </c>
      <c r="I444" t="n">
        <v>198805.34338</v>
      </c>
      <c r="J444" t="n">
        <v>89919.28780999999</v>
      </c>
      <c r="K444" t="n">
        <v>300089.4945</v>
      </c>
      <c r="L444" t="n">
        <v>210170.20669</v>
      </c>
      <c r="M444" t="n">
        <v>89919.28780999999</v>
      </c>
      <c r="N444" t="n">
        <v>14063.58993</v>
      </c>
      <c r="O444" t="n">
        <v>14063.58993</v>
      </c>
      <c r="P444" t="n">
        <v>0</v>
      </c>
    </row>
    <row r="445">
      <c r="A445" t="inlineStr">
        <is>
          <t>2</t>
        </is>
      </c>
      <c r="B445" t="inlineStr">
        <is>
          <t>АТ "Укрексімбанк"</t>
        </is>
      </c>
      <c r="C445" t="inlineStr">
        <is>
          <t>Державний</t>
        </is>
      </c>
      <c r="D445" t="inlineStr">
        <is>
          <t>2562</t>
        </is>
      </c>
      <c r="E445" t="inlineStr">
        <is>
          <t>(без привʼязки)</t>
        </is>
      </c>
      <c r="F445" t="inlineStr">
        <is>
          <t>Регіональні позабюджетні фонди</t>
        </is>
      </c>
      <c r="G445" t="inlineStr">
        <is>
          <t>П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2</t>
        </is>
      </c>
      <c r="B446" t="inlineStr">
        <is>
          <t>АТ "Укрексімбанк"</t>
        </is>
      </c>
      <c r="C446" t="inlineStr">
        <is>
          <t>Державний</t>
        </is>
      </c>
      <c r="D446" t="inlineStr">
        <is>
          <t>2565</t>
        </is>
      </c>
      <c r="E446" t="inlineStr">
        <is>
          <t>(без привʼязки)</t>
        </is>
      </c>
      <c r="F446" t="inlineStr">
        <is>
          <t>Цільові кошти позабюджетних фондів</t>
        </is>
      </c>
      <c r="G446" t="inlineStr">
        <is>
          <t>П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2</t>
        </is>
      </c>
      <c r="B447" t="inlineStr">
        <is>
          <t>АТ "Укрексімбанк"</t>
        </is>
      </c>
      <c r="C447" t="inlineStr">
        <is>
          <t>Державний</t>
        </is>
      </c>
      <c r="D447" t="inlineStr">
        <is>
          <t>2568</t>
        </is>
      </c>
      <c r="E447" t="inlineStr">
        <is>
          <t>(без привʼязки)</t>
        </is>
      </c>
      <c r="F447" t="inlineStr">
        <is>
          <t>Нараховані витрати за коштами позабюджетних фондів</t>
        </is>
      </c>
      <c r="G447" t="inlineStr">
        <is>
          <t>П</t>
        </is>
      </c>
      <c r="H447" t="n">
        <v>27.09499</v>
      </c>
      <c r="I447" t="n">
        <v>27.09499</v>
      </c>
      <c r="J447" t="n">
        <v>0</v>
      </c>
      <c r="K447" t="n">
        <v>86.26143999999999</v>
      </c>
      <c r="L447" t="n">
        <v>86.26143999999999</v>
      </c>
      <c r="M447" t="n">
        <v>0</v>
      </c>
      <c r="N447" t="n">
        <v>86.26143999999999</v>
      </c>
      <c r="O447" t="n">
        <v>86.26143999999999</v>
      </c>
      <c r="P447" t="n">
        <v>0</v>
      </c>
    </row>
    <row r="448">
      <c r="A448" t="inlineStr">
        <is>
          <t>2</t>
        </is>
      </c>
      <c r="B448" t="inlineStr">
        <is>
          <t>АТ "Укрексімбанк"</t>
        </is>
      </c>
      <c r="C448" t="inlineStr">
        <is>
          <t>Державний</t>
        </is>
      </c>
      <c r="D448" t="inlineStr">
        <is>
          <t>2570</t>
        </is>
      </c>
      <c r="E448" t="inlineStr">
        <is>
          <t>(без привʼязки)</t>
        </is>
      </c>
      <c r="F448" t="inlineStr">
        <is>
          <t>Кошти державного бюджету для виплат</t>
        </is>
      </c>
      <c r="G448" t="inlineStr">
        <is>
          <t>П</t>
        </is>
      </c>
      <c r="H448" t="n">
        <v>177720.3255</v>
      </c>
      <c r="I448" t="n">
        <v>177720.3255</v>
      </c>
      <c r="J448" t="n">
        <v>0</v>
      </c>
      <c r="K448" t="n">
        <v>177720.326</v>
      </c>
      <c r="L448" t="n">
        <v>177720.326</v>
      </c>
      <c r="M448" t="n">
        <v>0</v>
      </c>
      <c r="N448" t="n">
        <v>0.0005</v>
      </c>
      <c r="O448" t="n">
        <v>0.0005</v>
      </c>
      <c r="P448" t="n">
        <v>0</v>
      </c>
    </row>
    <row r="449">
      <c r="A449" t="inlineStr">
        <is>
          <t>2</t>
        </is>
      </c>
      <c r="B449" t="inlineStr">
        <is>
          <t>АТ "Укрексімбанк"</t>
        </is>
      </c>
      <c r="C449" t="inlineStr">
        <is>
          <t>Державний</t>
        </is>
      </c>
      <c r="D449" t="inlineStr">
        <is>
          <t>2571</t>
        </is>
      </c>
      <c r="E449" t="inlineStr">
        <is>
          <t>(без привʼязки)</t>
        </is>
      </c>
      <c r="F449" t="inlineStr">
        <is>
          <t>Кошти державного та місцевих бюджетів для цільових виплат готівкою</t>
        </is>
      </c>
      <c r="G449" t="inlineStr">
        <is>
          <t>П</t>
        </is>
      </c>
      <c r="H449" t="n">
        <v>2357.763</v>
      </c>
      <c r="I449" t="n">
        <v>2357.763</v>
      </c>
      <c r="J449" t="n">
        <v>0</v>
      </c>
      <c r="K449" t="n">
        <v>2357.763</v>
      </c>
      <c r="L449" t="n">
        <v>2357.763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2</t>
        </is>
      </c>
      <c r="B450" t="inlineStr">
        <is>
          <t>АТ "Укрексімбанк"</t>
        </is>
      </c>
      <c r="C450" t="inlineStr">
        <is>
          <t>Державний</t>
        </is>
      </c>
      <c r="D450" t="inlineStr">
        <is>
          <t>2572</t>
        </is>
      </c>
      <c r="E450" t="inlineStr">
        <is>
          <t>(без привʼязки)</t>
        </is>
      </c>
      <c r="F450" t="inlineStr">
        <is>
          <t>Кошти місцевих бюджетів для виплат</t>
        </is>
      </c>
      <c r="G450" t="inlineStr">
        <is>
          <t>П</t>
        </is>
      </c>
      <c r="H450" t="n">
        <v>4105.5049</v>
      </c>
      <c r="I450" t="n">
        <v>4105.5049</v>
      </c>
      <c r="J450" t="n">
        <v>0</v>
      </c>
      <c r="K450" t="n">
        <v>4105.5049</v>
      </c>
      <c r="L450" t="n">
        <v>4105.5049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2</t>
        </is>
      </c>
      <c r="B451" t="inlineStr">
        <is>
          <t>АТ "Укрексімбанк"</t>
        </is>
      </c>
      <c r="C451" t="inlineStr">
        <is>
          <t>Державний</t>
        </is>
      </c>
      <c r="D451" t="inlineStr">
        <is>
          <t>2601</t>
        </is>
      </c>
      <c r="E451" t="inlineStr">
        <is>
          <t>(без привʼязки)</t>
        </is>
      </c>
      <c r="F451" t="inlineStr">
        <is>
          <t>Поточні рахунки банку-управителя з довірчого управління</t>
        </is>
      </c>
      <c r="G451" t="inlineStr">
        <is>
          <t>П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2</t>
        </is>
      </c>
      <c r="B452" t="inlineStr">
        <is>
          <t>АТ "Укрексімбанк"</t>
        </is>
      </c>
      <c r="C452" t="inlineStr">
        <is>
          <t>Державний</t>
        </is>
      </c>
      <c r="D452" t="inlineStr">
        <is>
          <t>2601</t>
        </is>
      </c>
      <c r="E452" t="inlineStr">
        <is>
          <t>Кредити субʼєктам господарювання (р.20, р.23, 260)</t>
        </is>
      </c>
      <c r="F452" t="inlineStr">
        <is>
          <t>Поточні рахунки банку-управителя з довірчого управління</t>
        </is>
      </c>
      <c r="G452" t="inlineStr">
        <is>
          <t>П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2</t>
        </is>
      </c>
      <c r="B453" t="inlineStr">
        <is>
          <t>АТ "Укрексімбанк"</t>
        </is>
      </c>
      <c r="C453" t="inlineStr">
        <is>
          <t>Державний</t>
        </is>
      </c>
      <c r="D453" t="inlineStr">
        <is>
          <t>2602</t>
        </is>
      </c>
      <c r="E453" t="inlineStr">
        <is>
          <t>(без привʼязки)</t>
        </is>
      </c>
      <c r="F453" t="inlineStr">
        <is>
          <t>Кошти суб`єктів господарювання  за рахунками умовного зберігання (ескроу)</t>
        </is>
      </c>
      <c r="G453" t="inlineStr">
        <is>
          <t>П</t>
        </is>
      </c>
      <c r="H453" t="n">
        <v>12640314.05719</v>
      </c>
      <c r="I453" t="n">
        <v>147297.27057</v>
      </c>
      <c r="J453" t="n">
        <v>12493016.78662</v>
      </c>
      <c r="K453" t="n">
        <v>206171.30119</v>
      </c>
      <c r="L453" t="n">
        <v>109334.22996</v>
      </c>
      <c r="M453" t="n">
        <v>96837.07123</v>
      </c>
      <c r="N453" t="n">
        <v>1173721.18479</v>
      </c>
      <c r="O453" t="n">
        <v>779274.69201</v>
      </c>
      <c r="P453" t="n">
        <v>394446.49278</v>
      </c>
    </row>
    <row r="454">
      <c r="A454" t="inlineStr">
        <is>
          <t>2</t>
        </is>
      </c>
      <c r="B454" t="inlineStr">
        <is>
          <t>АТ "Укрексімбанк"</t>
        </is>
      </c>
      <c r="C454" t="inlineStr">
        <is>
          <t>Державний</t>
        </is>
      </c>
      <c r="D454" t="inlineStr">
        <is>
          <t>2602</t>
        </is>
      </c>
      <c r="E454" t="inlineStr">
        <is>
          <t>Кредити субʼєктам господарювання (р.20, р.23, 260)</t>
        </is>
      </c>
      <c r="F454" t="inlineStr">
        <is>
          <t>Кошти суб`єктів господарювання  за рахунками умовного зберігання (ескроу)</t>
        </is>
      </c>
      <c r="G454" t="inlineStr">
        <is>
          <t>П</t>
        </is>
      </c>
      <c r="H454" t="n">
        <v>12640314.05719</v>
      </c>
      <c r="I454" t="n">
        <v>147297.27057</v>
      </c>
      <c r="J454" t="n">
        <v>12493016.78662</v>
      </c>
      <c r="K454" t="n">
        <v>206171.30119</v>
      </c>
      <c r="L454" t="n">
        <v>109334.22996</v>
      </c>
      <c r="M454" t="n">
        <v>96837.07123</v>
      </c>
      <c r="N454" t="n">
        <v>1173721.18479</v>
      </c>
      <c r="O454" t="n">
        <v>779274.69201</v>
      </c>
      <c r="P454" t="n">
        <v>394446.49278</v>
      </c>
    </row>
    <row r="455">
      <c r="A455" t="inlineStr">
        <is>
          <t>2</t>
        </is>
      </c>
      <c r="B455" t="inlineStr">
        <is>
          <t>АТ "Укрексімбанк"</t>
        </is>
      </c>
      <c r="C455" t="inlineStr">
        <is>
          <t>Державний</t>
        </is>
      </c>
      <c r="D455" t="inlineStr">
        <is>
          <t>2603</t>
        </is>
      </c>
      <c r="E455" t="inlineStr">
        <is>
          <t>(без привʼязки)</t>
        </is>
      </c>
      <c r="F455" t="inlineStr">
        <is>
          <t>Розподільчі рахунки суб'єктів господарювання</t>
        </is>
      </c>
      <c r="G455" t="inlineStr">
        <is>
          <t>П</t>
        </is>
      </c>
      <c r="H455" t="n">
        <v>42739808.80534</v>
      </c>
      <c r="I455" t="n">
        <v>8451290.790510001</v>
      </c>
      <c r="J455" t="n">
        <v>34288518.01483</v>
      </c>
      <c r="K455" t="n">
        <v>42732914.40997</v>
      </c>
      <c r="L455" t="n">
        <v>8444396.39514</v>
      </c>
      <c r="M455" t="n">
        <v>34288518.01483</v>
      </c>
      <c r="N455" t="n">
        <v>129257.65535</v>
      </c>
      <c r="O455" t="n">
        <v>129257.65535</v>
      </c>
      <c r="P455" t="n">
        <v>0</v>
      </c>
    </row>
    <row r="456">
      <c r="A456" t="inlineStr">
        <is>
          <t>2</t>
        </is>
      </c>
      <c r="B456" t="inlineStr">
        <is>
          <t>АТ "Укрексімбанк"</t>
        </is>
      </c>
      <c r="C456" t="inlineStr">
        <is>
          <t>Державний</t>
        </is>
      </c>
      <c r="D456" t="inlineStr">
        <is>
          <t>2603</t>
        </is>
      </c>
      <c r="E456" t="inlineStr">
        <is>
          <t>Кредити субʼєктам господарювання (р.20, р.23, 260)</t>
        </is>
      </c>
      <c r="F456" t="inlineStr">
        <is>
          <t>Розподільчі рахунки суб'єктів господарювання</t>
        </is>
      </c>
      <c r="G456" t="inlineStr">
        <is>
          <t>П</t>
        </is>
      </c>
      <c r="H456" t="n">
        <v>42739808.80534</v>
      </c>
      <c r="I456" t="n">
        <v>8451290.790510001</v>
      </c>
      <c r="J456" t="n">
        <v>34288518.01483</v>
      </c>
      <c r="K456" t="n">
        <v>42732914.40997</v>
      </c>
      <c r="L456" t="n">
        <v>8444396.39514</v>
      </c>
      <c r="M456" t="n">
        <v>34288518.01483</v>
      </c>
      <c r="N456" t="n">
        <v>129257.65535</v>
      </c>
      <c r="O456" t="n">
        <v>129257.65535</v>
      </c>
      <c r="P456" t="n">
        <v>0</v>
      </c>
    </row>
    <row r="457">
      <c r="A457" t="inlineStr">
        <is>
          <t>2</t>
        </is>
      </c>
      <c r="B457" t="inlineStr">
        <is>
          <t>АТ "Укрексімбанк"</t>
        </is>
      </c>
      <c r="C457" t="inlineStr">
        <is>
          <t>Державний</t>
        </is>
      </c>
      <c r="D457" t="inlineStr">
        <is>
          <t>2604</t>
        </is>
      </c>
      <c r="E457" t="inlineStr">
        <is>
          <t>(без привʼязки)</t>
        </is>
      </c>
      <c r="F457" t="inlineStr">
        <is>
          <t>Цільові кошти на вимогу суб'єктів господарювання</t>
        </is>
      </c>
      <c r="G457" t="inlineStr">
        <is>
          <t>П</t>
        </is>
      </c>
      <c r="H457" t="n">
        <v>60816.04362</v>
      </c>
      <c r="I457" t="n">
        <v>60816.04362</v>
      </c>
      <c r="J457" t="n">
        <v>0</v>
      </c>
      <c r="K457" t="n">
        <v>60680.42394</v>
      </c>
      <c r="L457" t="n">
        <v>60680.42394</v>
      </c>
      <c r="M457" t="n">
        <v>0</v>
      </c>
      <c r="N457" t="n">
        <v>6599.86007</v>
      </c>
      <c r="O457" t="n">
        <v>6599.86007</v>
      </c>
      <c r="P457" t="n">
        <v>0</v>
      </c>
    </row>
    <row r="458">
      <c r="A458" t="inlineStr">
        <is>
          <t>2</t>
        </is>
      </c>
      <c r="B458" t="inlineStr">
        <is>
          <t>АТ "Укрексімбанк"</t>
        </is>
      </c>
      <c r="C458" t="inlineStr">
        <is>
          <t>Державний</t>
        </is>
      </c>
      <c r="D458" t="inlineStr">
        <is>
          <t>2604</t>
        </is>
      </c>
      <c r="E458" t="inlineStr">
        <is>
          <t>Кредити субʼєктам господарювання (р.20, р.23, 260)</t>
        </is>
      </c>
      <c r="F458" t="inlineStr">
        <is>
          <t>Цільові кошти на вимогу суб'єктів господарювання</t>
        </is>
      </c>
      <c r="G458" t="inlineStr">
        <is>
          <t>П</t>
        </is>
      </c>
      <c r="H458" t="n">
        <v>60816.04362</v>
      </c>
      <c r="I458" t="n">
        <v>60816.04362</v>
      </c>
      <c r="J458" t="n">
        <v>0</v>
      </c>
      <c r="K458" t="n">
        <v>60680.42394</v>
      </c>
      <c r="L458" t="n">
        <v>60680.42394</v>
      </c>
      <c r="M458" t="n">
        <v>0</v>
      </c>
      <c r="N458" t="n">
        <v>6599.86007</v>
      </c>
      <c r="O458" t="n">
        <v>6599.86007</v>
      </c>
      <c r="P458" t="n">
        <v>0</v>
      </c>
    </row>
    <row r="459">
      <c r="A459" t="inlineStr">
        <is>
          <t>2</t>
        </is>
      </c>
      <c r="B459" t="inlineStr">
        <is>
          <t>АТ "Укрексімбанк"</t>
        </is>
      </c>
      <c r="C459" t="inlineStr">
        <is>
          <t>Державний</t>
        </is>
      </c>
      <c r="D459" t="inlineStr">
        <is>
          <t>2606</t>
        </is>
      </c>
      <c r="E459" t="inlineStr">
        <is>
          <t>(без привʼязки)</t>
        </is>
      </c>
      <c r="F45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59" t="inlineStr">
        <is>
          <t>П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2</t>
        </is>
      </c>
      <c r="B460" t="inlineStr">
        <is>
          <t>АТ "Укрексімбанк"</t>
        </is>
      </c>
      <c r="C460" t="inlineStr">
        <is>
          <t>Державний</t>
        </is>
      </c>
      <c r="D460" t="inlineStr">
        <is>
          <t>2606</t>
        </is>
      </c>
      <c r="E460" t="inlineStr">
        <is>
          <t>Кредити субʼєктам господарювання (р.20, р.23, 260)</t>
        </is>
      </c>
      <c r="F460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60" t="inlineStr">
        <is>
          <t>П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2</t>
        </is>
      </c>
      <c r="B461" t="inlineStr">
        <is>
          <t>АТ "Укрексімбанк"</t>
        </is>
      </c>
      <c r="C461" t="inlineStr">
        <is>
          <t>Державний</t>
        </is>
      </c>
      <c r="D461" t="inlineStr">
        <is>
          <t>2608</t>
        </is>
      </c>
      <c r="E461" t="inlineStr">
        <is>
          <t>(без привʼязки)</t>
        </is>
      </c>
      <c r="F461" t="inlineStr">
        <is>
          <t>Нараховані витрати за коштами на вимогу суб'єктів господарювання</t>
        </is>
      </c>
      <c r="G461" t="inlineStr">
        <is>
          <t>П</t>
        </is>
      </c>
      <c r="H461" t="n">
        <v>756246.90279</v>
      </c>
      <c r="I461" t="n">
        <v>754023.62673</v>
      </c>
      <c r="J461" t="n">
        <v>2223.27606</v>
      </c>
      <c r="K461" t="n">
        <v>765719.87017</v>
      </c>
      <c r="L461" t="n">
        <v>763944.99652</v>
      </c>
      <c r="M461" t="n">
        <v>1774.87365</v>
      </c>
      <c r="N461" t="n">
        <v>754877.7356</v>
      </c>
      <c r="O461" t="n">
        <v>753674.8361899999</v>
      </c>
      <c r="P461" t="n">
        <v>1202.89941</v>
      </c>
    </row>
    <row r="462">
      <c r="A462" t="inlineStr">
        <is>
          <t>2</t>
        </is>
      </c>
      <c r="B462" t="inlineStr">
        <is>
          <t>АТ "Укрексімбанк"</t>
        </is>
      </c>
      <c r="C462" t="inlineStr">
        <is>
          <t>Державний</t>
        </is>
      </c>
      <c r="D462" t="inlineStr">
        <is>
          <t>2608</t>
        </is>
      </c>
      <c r="E462" t="inlineStr">
        <is>
          <t>Кредити субʼєктам господарювання (р.20, р.23, 260)</t>
        </is>
      </c>
      <c r="F462" t="inlineStr">
        <is>
          <t>Нараховані витрати за коштами на вимогу суб'єктів господарювання</t>
        </is>
      </c>
      <c r="G462" t="inlineStr">
        <is>
          <t>П</t>
        </is>
      </c>
      <c r="H462" t="n">
        <v>756246.90279</v>
      </c>
      <c r="I462" t="n">
        <v>754023.62673</v>
      </c>
      <c r="J462" t="n">
        <v>2223.27606</v>
      </c>
      <c r="K462" t="n">
        <v>765719.87017</v>
      </c>
      <c r="L462" t="n">
        <v>763944.99652</v>
      </c>
      <c r="M462" t="n">
        <v>1774.87365</v>
      </c>
      <c r="N462" t="n">
        <v>754877.7356</v>
      </c>
      <c r="O462" t="n">
        <v>753674.8361899999</v>
      </c>
      <c r="P462" t="n">
        <v>1202.89941</v>
      </c>
    </row>
    <row r="463">
      <c r="A463" t="inlineStr">
        <is>
          <t>2</t>
        </is>
      </c>
      <c r="B463" t="inlineStr">
        <is>
          <t>АТ "Укрексімбанк"</t>
        </is>
      </c>
      <c r="C463" t="inlineStr">
        <is>
          <t>Державний</t>
        </is>
      </c>
      <c r="D463" t="inlineStr">
        <is>
          <t>2610</t>
        </is>
      </c>
      <c r="E463" t="inlineStr">
        <is>
          <t>(без привʼязки)</t>
        </is>
      </c>
      <c r="F463" t="inlineStr">
        <is>
          <t xml:space="preserve">Строкові вклади (депозити) суб'єктів господарювання </t>
        </is>
      </c>
      <c r="G463" t="inlineStr">
        <is>
          <t>П</t>
        </is>
      </c>
      <c r="H463" t="n">
        <v>19848483.03245</v>
      </c>
      <c r="I463" t="n">
        <v>13967161.56744</v>
      </c>
      <c r="J463" t="n">
        <v>5881321.46501</v>
      </c>
      <c r="K463" t="n">
        <v>16336787.59302</v>
      </c>
      <c r="L463" t="n">
        <v>12452611.18036</v>
      </c>
      <c r="M463" t="n">
        <v>3884176.41266</v>
      </c>
      <c r="N463" t="n">
        <v>27862428.33169</v>
      </c>
      <c r="O463" t="n">
        <v>17998029.49895</v>
      </c>
      <c r="P463" t="n">
        <v>9864398.83274</v>
      </c>
    </row>
    <row r="464">
      <c r="A464" t="inlineStr">
        <is>
          <t>2</t>
        </is>
      </c>
      <c r="B464" t="inlineStr">
        <is>
          <t>АТ "Укрексімбанк"</t>
        </is>
      </c>
      <c r="C464" t="inlineStr">
        <is>
          <t>Державний</t>
        </is>
      </c>
      <c r="D464" t="inlineStr">
        <is>
          <t>2611</t>
        </is>
      </c>
      <c r="E464" t="inlineStr">
        <is>
          <t>(без привʼязки)</t>
        </is>
      </c>
      <c r="F464" t="inlineStr">
        <is>
          <t>Кошти, що отримані від суб'єктів господарювання за операціями репо</t>
        </is>
      </c>
      <c r="G464" t="inlineStr">
        <is>
          <t>П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300000.97688</v>
      </c>
      <c r="O464" t="n">
        <v>300000.97688</v>
      </c>
      <c r="P464" t="n">
        <v>0</v>
      </c>
    </row>
    <row r="465">
      <c r="A465" t="inlineStr">
        <is>
          <t>2</t>
        </is>
      </c>
      <c r="B465" t="inlineStr">
        <is>
          <t>АТ "Укрексімбанк"</t>
        </is>
      </c>
      <c r="C465" t="inlineStr">
        <is>
          <t>Державний</t>
        </is>
      </c>
      <c r="D465" t="inlineStr">
        <is>
          <t>2616</t>
        </is>
      </c>
      <c r="E465" t="inlineStr">
        <is>
          <t>(без привʼязки)</t>
        </is>
      </c>
      <c r="F465" t="inlineStr">
        <is>
          <t>Неамортизований дисконт/премія за строковими коштами суб'єктів господарювання</t>
        </is>
      </c>
      <c r="G465" t="inlineStr">
        <is>
          <t>А</t>
        </is>
      </c>
      <c r="H465" t="n">
        <v>971.01746</v>
      </c>
      <c r="I465" t="n">
        <v>927.2674</v>
      </c>
      <c r="J465" t="n">
        <v>43.75006</v>
      </c>
      <c r="K465" t="n">
        <v>1093.47348</v>
      </c>
      <c r="L465" t="n">
        <v>1053.41926</v>
      </c>
      <c r="M465" t="n">
        <v>40.05422</v>
      </c>
      <c r="N465" t="n">
        <v>-483.6793</v>
      </c>
      <c r="O465" t="n">
        <v>-466.81095</v>
      </c>
      <c r="P465" t="n">
        <v>-16.86835</v>
      </c>
    </row>
    <row r="466">
      <c r="A466" t="inlineStr">
        <is>
          <t>2</t>
        </is>
      </c>
      <c r="B466" t="inlineStr">
        <is>
          <t>АТ "Укрексімбанк"</t>
        </is>
      </c>
      <c r="C466" t="inlineStr">
        <is>
          <t>Державний</t>
        </is>
      </c>
      <c r="D466" t="inlineStr">
        <is>
          <t>2616</t>
        </is>
      </c>
      <c r="E466" t="inlineStr">
        <is>
          <t>(без привʼязки)</t>
        </is>
      </c>
      <c r="F466" t="inlineStr">
        <is>
          <t>Неамортизований дисконт/премія за строковими коштами суб'єктів господарювання</t>
        </is>
      </c>
      <c r="G466" t="inlineStr">
        <is>
          <t>П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597.71448</v>
      </c>
      <c r="O466" t="n">
        <v>568.48353</v>
      </c>
      <c r="P466" t="n">
        <v>29.23095</v>
      </c>
    </row>
    <row r="467">
      <c r="A467" t="inlineStr">
        <is>
          <t>2</t>
        </is>
      </c>
      <c r="B467" t="inlineStr">
        <is>
          <t>АТ "Укрексімбанк"</t>
        </is>
      </c>
      <c r="C467" t="inlineStr">
        <is>
          <t>Державний</t>
        </is>
      </c>
      <c r="D467" t="inlineStr">
        <is>
          <t>2618</t>
        </is>
      </c>
      <c r="E467" t="inlineStr">
        <is>
          <t>(без привʼязки)</t>
        </is>
      </c>
      <c r="F467" t="inlineStr">
        <is>
          <t>Нараховані витрати за строковими коштами суб'єктів господарювання</t>
        </is>
      </c>
      <c r="G467" t="inlineStr">
        <is>
          <t>П</t>
        </is>
      </c>
      <c r="H467" t="n">
        <v>229344.55041</v>
      </c>
      <c r="I467" t="n">
        <v>211595.744</v>
      </c>
      <c r="J467" t="n">
        <v>17748.80641</v>
      </c>
      <c r="K467" t="n">
        <v>213249.67422</v>
      </c>
      <c r="L467" t="n">
        <v>204229.06819</v>
      </c>
      <c r="M467" t="n">
        <v>9020.606030000001</v>
      </c>
      <c r="N467" t="n">
        <v>206960.17791</v>
      </c>
      <c r="O467" t="n">
        <v>181786.89283</v>
      </c>
      <c r="P467" t="n">
        <v>25173.28508</v>
      </c>
    </row>
    <row r="468">
      <c r="A468" t="inlineStr">
        <is>
          <t>2</t>
        </is>
      </c>
      <c r="B468" t="inlineStr">
        <is>
          <t>АТ "Укрексімбанк"</t>
        </is>
      </c>
      <c r="C468" t="inlineStr">
        <is>
          <t>Державний</t>
        </is>
      </c>
      <c r="D468" t="inlineStr">
        <is>
          <t>2622</t>
        </is>
      </c>
      <c r="E468" t="inlineStr">
        <is>
          <t>(без привʼязки)</t>
        </is>
      </c>
      <c r="F468" t="inlineStr">
        <is>
          <t xml:space="preserve">Кошти фізичних осіб за рахунками умовного зберігання (ескроу) </t>
        </is>
      </c>
      <c r="G468" t="inlineStr">
        <is>
          <t>П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2</t>
        </is>
      </c>
      <c r="B469" t="inlineStr">
        <is>
          <t>АТ "Укрексімбанк"</t>
        </is>
      </c>
      <c r="C469" t="inlineStr">
        <is>
          <t>Державний</t>
        </is>
      </c>
      <c r="D469" t="inlineStr">
        <is>
          <t>2622</t>
        </is>
      </c>
      <c r="E469" t="inlineStr">
        <is>
          <t>Кредити фізичним особам (р. 22, 24, 262)</t>
        </is>
      </c>
      <c r="F469" t="inlineStr">
        <is>
          <t xml:space="preserve">Кошти фізичних осіб за рахунками умовного зберігання (ескроу) </t>
        </is>
      </c>
      <c r="G469" t="inlineStr">
        <is>
          <t>П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2</t>
        </is>
      </c>
      <c r="B470" t="inlineStr">
        <is>
          <t>АТ "Укрексімбанк"</t>
        </is>
      </c>
      <c r="C470" t="inlineStr">
        <is>
          <t>Державний</t>
        </is>
      </c>
      <c r="D470" t="inlineStr">
        <is>
          <t>2628</t>
        </is>
      </c>
      <c r="E470" t="inlineStr">
        <is>
          <t>(без привʼязки)</t>
        </is>
      </c>
      <c r="F470" t="inlineStr">
        <is>
          <t xml:space="preserve">Нараховані витрати за коштами на вимогу фізичних осіб </t>
        </is>
      </c>
      <c r="G470" t="inlineStr">
        <is>
          <t>П</t>
        </is>
      </c>
      <c r="H470" t="n">
        <v>44.3087</v>
      </c>
      <c r="I470" t="n">
        <v>39.58127</v>
      </c>
      <c r="J470" t="n">
        <v>4.72743</v>
      </c>
      <c r="K470" t="n">
        <v>37.08876</v>
      </c>
      <c r="L470" t="n">
        <v>31.96417</v>
      </c>
      <c r="M470" t="n">
        <v>5.12459</v>
      </c>
      <c r="N470" t="n">
        <v>60.13609</v>
      </c>
      <c r="O470" t="n">
        <v>50.91605</v>
      </c>
      <c r="P470" t="n">
        <v>9.220039999999999</v>
      </c>
    </row>
    <row r="471">
      <c r="A471" t="inlineStr">
        <is>
          <t>2</t>
        </is>
      </c>
      <c r="B471" t="inlineStr">
        <is>
          <t>АТ "Укрексімбанк"</t>
        </is>
      </c>
      <c r="C471" t="inlineStr">
        <is>
          <t>Державний</t>
        </is>
      </c>
      <c r="D471" t="inlineStr">
        <is>
          <t>2628</t>
        </is>
      </c>
      <c r="E471" t="inlineStr">
        <is>
          <t>Кредити фізичним особам (р. 22, 24, 262)</t>
        </is>
      </c>
      <c r="F471" t="inlineStr">
        <is>
          <t xml:space="preserve">Нараховані витрати за коштами на вимогу фізичних осіб </t>
        </is>
      </c>
      <c r="G471" t="inlineStr">
        <is>
          <t>П</t>
        </is>
      </c>
      <c r="H471" t="n">
        <v>44.3087</v>
      </c>
      <c r="I471" t="n">
        <v>39.58127</v>
      </c>
      <c r="J471" t="n">
        <v>4.72743</v>
      </c>
      <c r="K471" t="n">
        <v>37.08876</v>
      </c>
      <c r="L471" t="n">
        <v>31.96417</v>
      </c>
      <c r="M471" t="n">
        <v>5.12459</v>
      </c>
      <c r="N471" t="n">
        <v>60.13609</v>
      </c>
      <c r="O471" t="n">
        <v>50.91605</v>
      </c>
      <c r="P471" t="n">
        <v>9.220039999999999</v>
      </c>
    </row>
    <row r="472">
      <c r="A472" t="inlineStr">
        <is>
          <t>2</t>
        </is>
      </c>
      <c r="B472" t="inlineStr">
        <is>
          <t>АТ "Укрексімбанк"</t>
        </is>
      </c>
      <c r="C472" t="inlineStr">
        <is>
          <t>Державний</t>
        </is>
      </c>
      <c r="D472" t="inlineStr">
        <is>
          <t>2624</t>
        </is>
      </c>
      <c r="E472" t="inlineStr">
        <is>
          <t>(без привʼязки)</t>
        </is>
      </c>
      <c r="F472" t="inlineStr">
        <is>
          <t>Кошти, що отримані суб’єктами незалежної професійної діяльності</t>
        </is>
      </c>
      <c r="G472" t="inlineStr">
        <is>
          <t>П</t>
        </is>
      </c>
      <c r="H472" t="n">
        <v>198.244</v>
      </c>
      <c r="I472" t="n">
        <v>198.244</v>
      </c>
      <c r="J472" t="n">
        <v>0</v>
      </c>
      <c r="K472" t="n">
        <v>0</v>
      </c>
      <c r="L472" t="n">
        <v>0</v>
      </c>
      <c r="M472" t="n">
        <v>0</v>
      </c>
      <c r="N472" t="n">
        <v>1329.30258</v>
      </c>
      <c r="O472" t="n">
        <v>1329.30258</v>
      </c>
      <c r="P472" t="n">
        <v>0</v>
      </c>
    </row>
    <row r="473">
      <c r="A473" t="inlineStr">
        <is>
          <t>2</t>
        </is>
      </c>
      <c r="B473" t="inlineStr">
        <is>
          <t>АТ "Укрексімбанк"</t>
        </is>
      </c>
      <c r="C473" t="inlineStr">
        <is>
          <t>Державний</t>
        </is>
      </c>
      <c r="D473" t="inlineStr">
        <is>
          <t>2624</t>
        </is>
      </c>
      <c r="E473" t="inlineStr">
        <is>
          <t>Кредити фізичним особам (р. 22, 24, 262)</t>
        </is>
      </c>
      <c r="F473" t="inlineStr">
        <is>
          <t>Кошти, що отримані суб’єктами незалежної професійної діяльності</t>
        </is>
      </c>
      <c r="G473" t="inlineStr">
        <is>
          <t>П</t>
        </is>
      </c>
      <c r="H473" t="n">
        <v>198.244</v>
      </c>
      <c r="I473" t="n">
        <v>198.244</v>
      </c>
      <c r="J473" t="n">
        <v>0</v>
      </c>
      <c r="K473" t="n">
        <v>0</v>
      </c>
      <c r="L473" t="n">
        <v>0</v>
      </c>
      <c r="M473" t="n">
        <v>0</v>
      </c>
      <c r="N473" t="n">
        <v>1329.30258</v>
      </c>
      <c r="O473" t="n">
        <v>1329.30258</v>
      </c>
      <c r="P473" t="n">
        <v>0</v>
      </c>
    </row>
    <row r="474">
      <c r="A474" t="inlineStr">
        <is>
          <t>2</t>
        </is>
      </c>
      <c r="B474" t="inlineStr">
        <is>
          <t>АТ "Укрексімбанк"</t>
        </is>
      </c>
      <c r="C474" t="inlineStr">
        <is>
          <t>Державний</t>
        </is>
      </c>
      <c r="D474" t="inlineStr">
        <is>
          <t>2630</t>
        </is>
      </c>
      <c r="E474" t="inlineStr">
        <is>
          <t>(без привʼязки)</t>
        </is>
      </c>
      <c r="F474" t="inlineStr">
        <is>
          <t xml:space="preserve">Строкові вклади (депозити) фізичних осіб </t>
        </is>
      </c>
      <c r="G474" t="inlineStr">
        <is>
          <t>П</t>
        </is>
      </c>
      <c r="H474" t="n">
        <v>2828325.83983</v>
      </c>
      <c r="I474" t="n">
        <v>577847.7268600001</v>
      </c>
      <c r="J474" t="n">
        <v>2250478.11297</v>
      </c>
      <c r="K474" t="n">
        <v>1490197.73989</v>
      </c>
      <c r="L474" t="n">
        <v>361253.54962</v>
      </c>
      <c r="M474" t="n">
        <v>1128944.19027</v>
      </c>
      <c r="N474" t="n">
        <v>18772707.67867</v>
      </c>
      <c r="O474" t="n">
        <v>6900582.76848</v>
      </c>
      <c r="P474" t="n">
        <v>11872124.91019</v>
      </c>
    </row>
    <row r="475">
      <c r="A475" t="inlineStr">
        <is>
          <t>2</t>
        </is>
      </c>
      <c r="B475" t="inlineStr">
        <is>
          <t>АТ "Укрексімбанк"</t>
        </is>
      </c>
      <c r="C475" t="inlineStr">
        <is>
          <t>Державний</t>
        </is>
      </c>
      <c r="D475" t="inlineStr">
        <is>
          <t>2636</t>
        </is>
      </c>
      <c r="E475" t="inlineStr">
        <is>
          <t>(без привʼязки)</t>
        </is>
      </c>
      <c r="F475" t="inlineStr">
        <is>
          <t>Неамортизований дисконт/премія за строковими коштами фізичних осіб</t>
        </is>
      </c>
      <c r="G475" t="inlineStr">
        <is>
          <t>А</t>
        </is>
      </c>
      <c r="H475" t="n">
        <v>265.41066</v>
      </c>
      <c r="I475" t="n">
        <v>236.38546</v>
      </c>
      <c r="J475" t="n">
        <v>29.0252</v>
      </c>
      <c r="K475" t="n">
        <v>223.78554</v>
      </c>
      <c r="L475" t="n">
        <v>196.25137</v>
      </c>
      <c r="M475" t="n">
        <v>27.53417</v>
      </c>
      <c r="N475" t="n">
        <v>-404.0186</v>
      </c>
      <c r="O475" t="n">
        <v>-397.81694</v>
      </c>
      <c r="P475" t="n">
        <v>-6.20166</v>
      </c>
    </row>
    <row r="476">
      <c r="A476" t="inlineStr">
        <is>
          <t>2</t>
        </is>
      </c>
      <c r="B476" t="inlineStr">
        <is>
          <t>АТ "Укрексімбанк"</t>
        </is>
      </c>
      <c r="C476" t="inlineStr">
        <is>
          <t>Державний</t>
        </is>
      </c>
      <c r="D476" t="inlineStr">
        <is>
          <t>2636</t>
        </is>
      </c>
      <c r="E476" t="inlineStr">
        <is>
          <t>(без привʼязки)</t>
        </is>
      </c>
      <c r="F476" t="inlineStr">
        <is>
          <t>Неамортизований дисконт/премія за строковими коштами фізичних осіб</t>
        </is>
      </c>
      <c r="G476" t="inlineStr">
        <is>
          <t>П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452.79266</v>
      </c>
      <c r="O476" t="n">
        <v>429.79411</v>
      </c>
      <c r="P476" t="n">
        <v>22.99855</v>
      </c>
    </row>
    <row r="477">
      <c r="A477" t="inlineStr">
        <is>
          <t>2</t>
        </is>
      </c>
      <c r="B477" t="inlineStr">
        <is>
          <t>АТ "Укрексімбанк"</t>
        </is>
      </c>
      <c r="C477" t="inlineStr">
        <is>
          <t>Державний</t>
        </is>
      </c>
      <c r="D477" t="inlineStr">
        <is>
          <t>2638</t>
        </is>
      </c>
      <c r="E477" t="inlineStr">
        <is>
          <t>(без привʼязки)</t>
        </is>
      </c>
      <c r="F477" t="inlineStr">
        <is>
          <t xml:space="preserve">Нараховані витрати за строковими коштами фізичних осіб </t>
        </is>
      </c>
      <c r="G477" t="inlineStr">
        <is>
          <t>П</t>
        </is>
      </c>
      <c r="H477" t="n">
        <v>76243.62224</v>
      </c>
      <c r="I477" t="n">
        <v>68640.99274</v>
      </c>
      <c r="J477" t="n">
        <v>7602.6295</v>
      </c>
      <c r="K477" t="n">
        <v>74391.82838000001</v>
      </c>
      <c r="L477" t="n">
        <v>68512.91114</v>
      </c>
      <c r="M477" t="n">
        <v>5878.91724</v>
      </c>
      <c r="N477" t="n">
        <v>46576.70991</v>
      </c>
      <c r="O477" t="n">
        <v>41564.0712</v>
      </c>
      <c r="P477" t="n">
        <v>5012.63871</v>
      </c>
    </row>
    <row r="478">
      <c r="A478" t="inlineStr">
        <is>
          <t>2</t>
        </is>
      </c>
      <c r="B478" t="inlineStr">
        <is>
          <t>АТ "Укрексімбанк"</t>
        </is>
      </c>
      <c r="C478" t="inlineStr">
        <is>
          <t>Державний</t>
        </is>
      </c>
      <c r="D478" t="inlineStr">
        <is>
          <t>2643</t>
        </is>
      </c>
      <c r="E478" t="inlineStr">
        <is>
          <t>(без привʼязки)</t>
        </is>
      </c>
      <c r="F478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G478" t="inlineStr">
        <is>
          <t>П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2</t>
        </is>
      </c>
      <c r="B479" t="inlineStr">
        <is>
          <t>АТ "Укрексімбанк"</t>
        </is>
      </c>
      <c r="C479" t="inlineStr">
        <is>
          <t>Державний</t>
        </is>
      </c>
      <c r="D479" t="inlineStr">
        <is>
          <t>2651</t>
        </is>
      </c>
      <c r="E479" t="inlineStr">
        <is>
          <t>(без привʼязки)</t>
        </is>
      </c>
      <c r="F479" t="inlineStr">
        <is>
          <t>Строкові вклади (депозити) небанківських фінансових установ</t>
        </is>
      </c>
      <c r="G479" t="inlineStr">
        <is>
          <t>П</t>
        </is>
      </c>
      <c r="H479" t="n">
        <v>4176341.22221</v>
      </c>
      <c r="I479" t="n">
        <v>55652</v>
      </c>
      <c r="J479" t="n">
        <v>4120689.22221</v>
      </c>
      <c r="K479" t="n">
        <v>4063218.35241</v>
      </c>
      <c r="L479" t="n">
        <v>130100.97151</v>
      </c>
      <c r="M479" t="n">
        <v>3933117.3809</v>
      </c>
      <c r="N479" t="n">
        <v>3097104.30566</v>
      </c>
      <c r="O479" t="n">
        <v>2424754.9699</v>
      </c>
      <c r="P479" t="n">
        <v>672349.33576</v>
      </c>
    </row>
    <row r="480">
      <c r="A480" t="inlineStr">
        <is>
          <t>2</t>
        </is>
      </c>
      <c r="B480" t="inlineStr">
        <is>
          <t>АТ "Укрексімбанк"</t>
        </is>
      </c>
      <c r="C480" t="inlineStr">
        <is>
          <t>Державний</t>
        </is>
      </c>
      <c r="D480" t="inlineStr">
        <is>
          <t>2652</t>
        </is>
      </c>
      <c r="E480" t="inlineStr">
        <is>
          <t>(без привʼязки)</t>
        </is>
      </c>
      <c r="F480" t="inlineStr">
        <is>
          <t>Кошти небанківських фінансових установ за рахунками умовного зберігання (ескроу)</t>
        </is>
      </c>
      <c r="G480" t="inlineStr">
        <is>
          <t>П</t>
        </is>
      </c>
      <c r="H480" t="n">
        <v>336.19979</v>
      </c>
      <c r="I480" t="n">
        <v>336.19979</v>
      </c>
      <c r="J480" t="n">
        <v>0</v>
      </c>
      <c r="K480" t="n">
        <v>2000</v>
      </c>
      <c r="L480" t="n">
        <v>2000</v>
      </c>
      <c r="M480" t="n">
        <v>0</v>
      </c>
      <c r="N480" t="n">
        <v>12054.4533</v>
      </c>
      <c r="O480" t="n">
        <v>12054.4533</v>
      </c>
      <c r="P480" t="n">
        <v>0</v>
      </c>
    </row>
    <row r="481">
      <c r="A481" t="inlineStr">
        <is>
          <t>2</t>
        </is>
      </c>
      <c r="B481" t="inlineStr">
        <is>
          <t>АТ "Укрексімбанк"</t>
        </is>
      </c>
      <c r="C481" t="inlineStr">
        <is>
          <t>Державний</t>
        </is>
      </c>
      <c r="D481" t="inlineStr">
        <is>
          <t>2656</t>
        </is>
      </c>
      <c r="E481" t="inlineStr">
        <is>
          <t>(без привʼязки)</t>
        </is>
      </c>
      <c r="F481" t="inlineStr">
        <is>
          <t>Неамортизований дисконт/премія за строковими коштами небанківських фінансових установ</t>
        </is>
      </c>
      <c r="G481" t="inlineStr">
        <is>
          <t>А</t>
        </is>
      </c>
      <c r="H481" t="n">
        <v>107.56098</v>
      </c>
      <c r="I481" t="n">
        <v>106.55127</v>
      </c>
      <c r="J481" t="n">
        <v>1.00971</v>
      </c>
      <c r="K481" t="n">
        <v>72.43992</v>
      </c>
      <c r="L481" t="n">
        <v>71.2169</v>
      </c>
      <c r="M481" t="n">
        <v>1.22302</v>
      </c>
      <c r="N481" t="n">
        <v>-45.97476</v>
      </c>
      <c r="O481" t="n">
        <v>-45.48401</v>
      </c>
      <c r="P481" t="n">
        <v>-0.49075</v>
      </c>
    </row>
    <row r="482">
      <c r="A482" t="inlineStr">
        <is>
          <t>2</t>
        </is>
      </c>
      <c r="B482" t="inlineStr">
        <is>
          <t>АТ "Укрексімбанк"</t>
        </is>
      </c>
      <c r="C482" t="inlineStr">
        <is>
          <t>Державний</t>
        </is>
      </c>
      <c r="D482" t="inlineStr">
        <is>
          <t>2656</t>
        </is>
      </c>
      <c r="E482" t="inlineStr">
        <is>
          <t>(без привʼязки)</t>
        </is>
      </c>
      <c r="F482" t="inlineStr">
        <is>
          <t>Неамортизований дисконт/премія за строковими коштами небанківських фінансових установ</t>
        </is>
      </c>
      <c r="G482" t="inlineStr">
        <is>
          <t>П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117.47039</v>
      </c>
      <c r="O482" t="n">
        <v>116.33771</v>
      </c>
      <c r="P482" t="n">
        <v>1.13268</v>
      </c>
    </row>
    <row r="483">
      <c r="A483" t="inlineStr">
        <is>
          <t>2</t>
        </is>
      </c>
      <c r="B483" t="inlineStr">
        <is>
          <t>АТ "Укрексімбанк"</t>
        </is>
      </c>
      <c r="C483" t="inlineStr">
        <is>
          <t>Державний</t>
        </is>
      </c>
      <c r="D483" t="inlineStr">
        <is>
          <t>2656</t>
        </is>
      </c>
      <c r="E483" t="inlineStr">
        <is>
          <t>Кредити небанківським установам (265)</t>
        </is>
      </c>
      <c r="F483" t="inlineStr">
        <is>
          <t>Неамортизований дисконт/премія за строковими коштами небанківських фінансових установ</t>
        </is>
      </c>
      <c r="G483" t="inlineStr">
        <is>
          <t>П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117.47039</v>
      </c>
      <c r="O483" t="n">
        <v>116.33771</v>
      </c>
      <c r="P483" t="n">
        <v>1.13268</v>
      </c>
    </row>
    <row r="484">
      <c r="A484" t="inlineStr">
        <is>
          <t>2</t>
        </is>
      </c>
      <c r="B484" t="inlineStr">
        <is>
          <t>АТ "Укрексімбанк"</t>
        </is>
      </c>
      <c r="C484" t="inlineStr">
        <is>
          <t>Державний</t>
        </is>
      </c>
      <c r="D484" t="inlineStr">
        <is>
          <t>2656</t>
        </is>
      </c>
      <c r="E484" t="inlineStr">
        <is>
          <t>Кредити небанківським установам (265)</t>
        </is>
      </c>
      <c r="F484" t="inlineStr">
        <is>
          <t>Неамортизований дисконт/премія за строковими коштами небанківських фінансових установ</t>
        </is>
      </c>
      <c r="G484" t="inlineStr">
        <is>
          <t>П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117.47039</v>
      </c>
      <c r="O484" t="n">
        <v>116.33771</v>
      </c>
      <c r="P484" t="n">
        <v>1.13268</v>
      </c>
    </row>
    <row r="485">
      <c r="A485" t="inlineStr">
        <is>
          <t>2</t>
        </is>
      </c>
      <c r="B485" t="inlineStr">
        <is>
          <t>АТ "Укрексімбанк"</t>
        </is>
      </c>
      <c r="C485" t="inlineStr">
        <is>
          <t>Державний</t>
        </is>
      </c>
      <c r="D485" t="inlineStr">
        <is>
          <t>2658</t>
        </is>
      </c>
      <c r="E485" t="inlineStr">
        <is>
          <t>(без привʼязки)</t>
        </is>
      </c>
      <c r="F485" t="inlineStr">
        <is>
          <t xml:space="preserve">Нараховані витрати за коштами небанківських фінансових установ </t>
        </is>
      </c>
      <c r="G485" t="inlineStr">
        <is>
          <t>П</t>
        </is>
      </c>
      <c r="H485" t="n">
        <v>59523.69402</v>
      </c>
      <c r="I485" t="n">
        <v>58937.44531</v>
      </c>
      <c r="J485" t="n">
        <v>586.24871</v>
      </c>
      <c r="K485" t="n">
        <v>67777.5569</v>
      </c>
      <c r="L485" t="n">
        <v>67383.21603</v>
      </c>
      <c r="M485" t="n">
        <v>394.34087</v>
      </c>
      <c r="N485" t="n">
        <v>69542.99609</v>
      </c>
      <c r="O485" t="n">
        <v>68765.76416999999</v>
      </c>
      <c r="P485" t="n">
        <v>777.2319199999999</v>
      </c>
    </row>
    <row r="486">
      <c r="A486" t="inlineStr">
        <is>
          <t>2</t>
        </is>
      </c>
      <c r="B486" t="inlineStr">
        <is>
          <t>АТ "Укрексімбанк"</t>
        </is>
      </c>
      <c r="C486" t="inlineStr">
        <is>
          <t>Державний</t>
        </is>
      </c>
      <c r="D486" t="inlineStr">
        <is>
          <t>2654</t>
        </is>
      </c>
      <c r="E486" t="inlineStr">
        <is>
          <t>(без привʼязки)</t>
        </is>
      </c>
      <c r="F486" t="inlineStr">
        <is>
          <t>Розрахункові рахунки небанківських надавачів фінансових платіжних послуг</t>
        </is>
      </c>
      <c r="G486" t="inlineStr">
        <is>
          <t>П</t>
        </is>
      </c>
      <c r="H486" t="n">
        <v>26081363.98116</v>
      </c>
      <c r="I486" t="n">
        <v>26081363.98116</v>
      </c>
      <c r="J486" t="n">
        <v>0</v>
      </c>
      <c r="K486" t="n">
        <v>27214606.43835</v>
      </c>
      <c r="L486" t="n">
        <v>27214606.43835</v>
      </c>
      <c r="M486" t="n">
        <v>0</v>
      </c>
      <c r="N486" t="n">
        <v>3130662.28253</v>
      </c>
      <c r="O486" t="n">
        <v>3130662.28253</v>
      </c>
      <c r="P486" t="n">
        <v>0</v>
      </c>
    </row>
    <row r="487">
      <c r="A487" t="inlineStr">
        <is>
          <t>2</t>
        </is>
      </c>
      <c r="B487" t="inlineStr">
        <is>
          <t>АТ "Укрексімбанк"</t>
        </is>
      </c>
      <c r="C487" t="inlineStr">
        <is>
          <t>Державний</t>
        </is>
      </c>
      <c r="D487" t="inlineStr">
        <is>
          <t>2701</t>
        </is>
      </c>
      <c r="E487" t="inlineStr">
        <is>
          <t>(без привʼязки)</t>
        </is>
      </c>
      <c r="F487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G487" t="inlineStr">
        <is>
          <t>П</t>
        </is>
      </c>
      <c r="H487" t="n">
        <v>507434.3916</v>
      </c>
      <c r="I487" t="n">
        <v>143666.83417</v>
      </c>
      <c r="J487" t="n">
        <v>363767.55743</v>
      </c>
      <c r="K487" t="n">
        <v>1078042.08675</v>
      </c>
      <c r="L487" t="n">
        <v>0</v>
      </c>
      <c r="M487" t="n">
        <v>1078042.08675</v>
      </c>
      <c r="N487" t="n">
        <v>22244001.68225</v>
      </c>
      <c r="O487" t="n">
        <v>695771.14886</v>
      </c>
      <c r="P487" t="n">
        <v>21548230.53339</v>
      </c>
    </row>
    <row r="488">
      <c r="A488" t="inlineStr">
        <is>
          <t>2</t>
        </is>
      </c>
      <c r="B488" t="inlineStr">
        <is>
          <t>АТ "Укрексімбанк"</t>
        </is>
      </c>
      <c r="C488" t="inlineStr">
        <is>
          <t>Державний</t>
        </is>
      </c>
      <c r="D488" t="inlineStr">
        <is>
          <t>2706</t>
        </is>
      </c>
      <c r="E488" t="inlineStr">
        <is>
          <t>(без привʼязки)</t>
        </is>
      </c>
      <c r="F488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88" t="inlineStr">
        <is>
          <t>А</t>
        </is>
      </c>
      <c r="H488" t="n">
        <v>16799.06252</v>
      </c>
      <c r="I488" t="n">
        <v>52.23155</v>
      </c>
      <c r="J488" t="n">
        <v>16746.83097</v>
      </c>
      <c r="K488" t="n">
        <v>19876.12443</v>
      </c>
      <c r="L488" t="n">
        <v>171.1237</v>
      </c>
      <c r="M488" t="n">
        <v>19705.00073</v>
      </c>
      <c r="N488" t="n">
        <v>-897331.57941</v>
      </c>
      <c r="O488" t="n">
        <v>-136.87129</v>
      </c>
      <c r="P488" t="n">
        <v>-897194.70812</v>
      </c>
    </row>
    <row r="489">
      <c r="A489" t="inlineStr">
        <is>
          <t>2</t>
        </is>
      </c>
      <c r="B489" t="inlineStr">
        <is>
          <t>АТ "Укрексімбанк"</t>
        </is>
      </c>
      <c r="C489" t="inlineStr">
        <is>
          <t>Державний</t>
        </is>
      </c>
      <c r="D489" t="inlineStr">
        <is>
          <t>2706</t>
        </is>
      </c>
      <c r="E489" t="inlineStr">
        <is>
          <t>(без привʼязки)</t>
        </is>
      </c>
      <c r="F489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89" t="inlineStr">
        <is>
          <t>П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52.45104</v>
      </c>
      <c r="O489" t="n">
        <v>2.41856</v>
      </c>
      <c r="P489" t="n">
        <v>50.03248</v>
      </c>
    </row>
    <row r="490">
      <c r="A490" t="inlineStr">
        <is>
          <t>2</t>
        </is>
      </c>
      <c r="B490" t="inlineStr">
        <is>
          <t>АТ "Укрексімбанк"</t>
        </is>
      </c>
      <c r="C490" t="inlineStr">
        <is>
          <t>Державний</t>
        </is>
      </c>
      <c r="D490" t="inlineStr">
        <is>
          <t>2708</t>
        </is>
      </c>
      <c r="E490" t="inlineStr">
        <is>
          <t>(без привʼязки)</t>
        </is>
      </c>
      <c r="F490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90" t="inlineStr">
        <is>
          <t>П</t>
        </is>
      </c>
      <c r="H490" t="n">
        <v>168222.26757</v>
      </c>
      <c r="I490" t="n">
        <v>43213.58588</v>
      </c>
      <c r="J490" t="n">
        <v>125008.68169</v>
      </c>
      <c r="K490" t="n">
        <v>107320.66351</v>
      </c>
      <c r="L490" t="n">
        <v>8711.98559</v>
      </c>
      <c r="M490" t="n">
        <v>98608.67792</v>
      </c>
      <c r="N490" t="n">
        <v>215277.25209</v>
      </c>
      <c r="O490" t="n">
        <v>6364.4293</v>
      </c>
      <c r="P490" t="n">
        <v>208912.82279</v>
      </c>
    </row>
    <row r="491">
      <c r="A491" t="inlineStr">
        <is>
          <t>2</t>
        </is>
      </c>
      <c r="B491" t="inlineStr">
        <is>
          <t>АТ "Укрексімбанк"</t>
        </is>
      </c>
      <c r="C491" t="inlineStr">
        <is>
          <t>Державний</t>
        </is>
      </c>
      <c r="D491" t="inlineStr">
        <is>
          <t>2900</t>
        </is>
      </c>
      <c r="E491" t="inlineStr">
        <is>
          <t>(без привʼязки)</t>
        </is>
      </c>
      <c r="F491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491" t="inlineStr">
        <is>
          <t>П</t>
        </is>
      </c>
      <c r="H491" t="n">
        <v>232580791.3955</v>
      </c>
      <c r="I491" t="n">
        <v>121027584.13735</v>
      </c>
      <c r="J491" t="n">
        <v>111553207.25815</v>
      </c>
      <c r="K491" t="n">
        <v>232557346.66146</v>
      </c>
      <c r="L491" t="n">
        <v>121004284.96344</v>
      </c>
      <c r="M491" t="n">
        <v>111553061.69802</v>
      </c>
      <c r="N491" t="n">
        <v>42350.3124</v>
      </c>
      <c r="O491" t="n">
        <v>42349.34229</v>
      </c>
      <c r="P491" t="n">
        <v>0.97011</v>
      </c>
    </row>
    <row r="492">
      <c r="A492" t="inlineStr">
        <is>
          <t>2</t>
        </is>
      </c>
      <c r="B492" t="inlineStr">
        <is>
          <t>АТ "Укрексімбанк"</t>
        </is>
      </c>
      <c r="C492" t="inlineStr">
        <is>
          <t>Державний</t>
        </is>
      </c>
      <c r="D492" t="inlineStr">
        <is>
          <t>2901</t>
        </is>
      </c>
      <c r="E492" t="inlineStr">
        <is>
          <t>(без привʼязки)</t>
        </is>
      </c>
      <c r="F492" t="inlineStr">
        <is>
          <t>Кредиторська заборгованість за розрахунками за цінними паперами для клієнтів</t>
        </is>
      </c>
      <c r="G492" t="inlineStr">
        <is>
          <t>П</t>
        </is>
      </c>
      <c r="H492" t="n">
        <v>3977078.02202</v>
      </c>
      <c r="I492" t="n">
        <v>1411211.29407</v>
      </c>
      <c r="J492" t="n">
        <v>2565866.72795</v>
      </c>
      <c r="K492" t="n">
        <v>3954858.42202</v>
      </c>
      <c r="L492" t="n">
        <v>1388991.69407</v>
      </c>
      <c r="M492" t="n">
        <v>2565866.72795</v>
      </c>
      <c r="N492" t="n">
        <v>4313.99738</v>
      </c>
      <c r="O492" t="n">
        <v>4313.99738</v>
      </c>
      <c r="P492" t="n">
        <v>0</v>
      </c>
    </row>
    <row r="493">
      <c r="A493" t="inlineStr">
        <is>
          <t>2</t>
        </is>
      </c>
      <c r="B493" t="inlineStr">
        <is>
          <t>АТ "Укрексімбанк"</t>
        </is>
      </c>
      <c r="C493" t="inlineStr">
        <is>
          <t>Державний</t>
        </is>
      </c>
      <c r="D493" t="inlineStr">
        <is>
          <t>2902</t>
        </is>
      </c>
      <c r="E493" t="inlineStr">
        <is>
          <t>(без привʼязки)</t>
        </is>
      </c>
      <c r="F493" t="inlineStr">
        <is>
          <t>Кредиторська заборгованість за прийняті платежі</t>
        </is>
      </c>
      <c r="G493" t="inlineStr">
        <is>
          <t>П</t>
        </is>
      </c>
      <c r="H493" t="n">
        <v>89632.77422000001</v>
      </c>
      <c r="I493" t="n">
        <v>89632.77422000001</v>
      </c>
      <c r="J493" t="n">
        <v>0</v>
      </c>
      <c r="K493" t="n">
        <v>89613.93122</v>
      </c>
      <c r="L493" t="n">
        <v>89613.93122</v>
      </c>
      <c r="M493" t="n">
        <v>0</v>
      </c>
      <c r="N493" t="n">
        <v>8.612450000000001</v>
      </c>
      <c r="O493" t="n">
        <v>8.612450000000001</v>
      </c>
      <c r="P493" t="n">
        <v>0</v>
      </c>
    </row>
    <row r="494">
      <c r="A494" t="inlineStr">
        <is>
          <t>2</t>
        </is>
      </c>
      <c r="B494" t="inlineStr">
        <is>
          <t>АТ "Укрексімбанк"</t>
        </is>
      </c>
      <c r="C494" t="inlineStr">
        <is>
          <t>Державний</t>
        </is>
      </c>
      <c r="D494" t="inlineStr">
        <is>
          <t>2903</t>
        </is>
      </c>
      <c r="E494" t="inlineStr">
        <is>
          <t>(без привʼязки)</t>
        </is>
      </c>
      <c r="F494" t="inlineStr">
        <is>
          <t>Кошти клієнтів банку за недіючими рахунками</t>
        </is>
      </c>
      <c r="G494" t="inlineStr">
        <is>
          <t>П</t>
        </is>
      </c>
      <c r="H494" t="n">
        <v>5241.76657</v>
      </c>
      <c r="I494" t="n">
        <v>3369.52188</v>
      </c>
      <c r="J494" t="n">
        <v>1872.24469</v>
      </c>
      <c r="K494" t="n">
        <v>5405.0665</v>
      </c>
      <c r="L494" t="n">
        <v>2189.43828</v>
      </c>
      <c r="M494" t="n">
        <v>3215.62822</v>
      </c>
      <c r="N494" t="n">
        <v>58964.22679</v>
      </c>
      <c r="O494" t="n">
        <v>13702.70967</v>
      </c>
      <c r="P494" t="n">
        <v>45261.51712</v>
      </c>
    </row>
    <row r="495">
      <c r="A495" t="inlineStr">
        <is>
          <t>2</t>
        </is>
      </c>
      <c r="B495" t="inlineStr">
        <is>
          <t>АТ "Укрексімбанк"</t>
        </is>
      </c>
      <c r="C495" t="inlineStr">
        <is>
          <t>Державний</t>
        </is>
      </c>
      <c r="D495" t="inlineStr">
        <is>
          <t>2904</t>
        </is>
      </c>
      <c r="E495" t="inlineStr">
        <is>
          <t>(без привʼязки)</t>
        </is>
      </c>
      <c r="F495" t="inlineStr">
        <is>
          <t>Зобов'язання банку за випущеними електронними грошима</t>
        </is>
      </c>
      <c r="G495" t="inlineStr">
        <is>
          <t>П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2</t>
        </is>
      </c>
      <c r="B496" t="inlineStr">
        <is>
          <t>АТ "Укрексімбанк"</t>
        </is>
      </c>
      <c r="C496" t="inlineStr">
        <is>
          <t>Державний</t>
        </is>
      </c>
      <c r="D496" t="inlineStr">
        <is>
          <t>2907</t>
        </is>
      </c>
      <c r="E496" t="inlineStr">
        <is>
          <t>(без привʼязки)</t>
        </is>
      </c>
      <c r="F496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G496" t="inlineStr">
        <is>
          <t>П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2</t>
        </is>
      </c>
      <c r="B497" t="inlineStr">
        <is>
          <t>АТ "Укрексімбанк"</t>
        </is>
      </c>
      <c r="C497" t="inlineStr">
        <is>
          <t>Державний</t>
        </is>
      </c>
      <c r="D497" t="inlineStr">
        <is>
          <t>2908</t>
        </is>
      </c>
      <c r="E497" t="inlineStr">
        <is>
          <t>(без привʼязки)</t>
        </is>
      </c>
      <c r="F497" t="inlineStr">
        <is>
          <t>Кредиторська заборгованість за іншими операціями колишнього СРСР</t>
        </is>
      </c>
      <c r="G497" t="inlineStr">
        <is>
          <t>П</t>
        </is>
      </c>
      <c r="H497" t="n">
        <v>41.40322</v>
      </c>
      <c r="I497" t="n">
        <v>0</v>
      </c>
      <c r="J497" t="n">
        <v>41.40322</v>
      </c>
      <c r="K497" t="n">
        <v>62.29713</v>
      </c>
      <c r="L497" t="n">
        <v>0</v>
      </c>
      <c r="M497" t="n">
        <v>62.29713</v>
      </c>
      <c r="N497" t="n">
        <v>3962.93141</v>
      </c>
      <c r="O497" t="n">
        <v>4.36368</v>
      </c>
      <c r="P497" t="n">
        <v>3958.56773</v>
      </c>
    </row>
    <row r="498">
      <c r="A498" t="inlineStr">
        <is>
          <t>2</t>
        </is>
      </c>
      <c r="B498" t="inlineStr">
        <is>
          <t>АТ "Укрексімбанк"</t>
        </is>
      </c>
      <c r="C498" t="inlineStr">
        <is>
          <t>Державний</t>
        </is>
      </c>
      <c r="D498" t="inlineStr">
        <is>
          <t>2909</t>
        </is>
      </c>
      <c r="E498" t="inlineStr">
        <is>
          <t>(без привʼязки)</t>
        </is>
      </c>
      <c r="F498" t="inlineStr">
        <is>
          <t>Інша кредиторська заборгованість за операціями з клієнтами банку</t>
        </is>
      </c>
      <c r="G498" t="inlineStr">
        <is>
          <t>П</t>
        </is>
      </c>
      <c r="H498" t="n">
        <v>862995.87973</v>
      </c>
      <c r="I498" t="n">
        <v>138374.12452</v>
      </c>
      <c r="J498" t="n">
        <v>724621.75521</v>
      </c>
      <c r="K498" t="n">
        <v>875534.9818600001</v>
      </c>
      <c r="L498" t="n">
        <v>150916.67606</v>
      </c>
      <c r="M498" t="n">
        <v>724618.3058</v>
      </c>
      <c r="N498" t="n">
        <v>40966.9032</v>
      </c>
      <c r="O498" t="n">
        <v>38817.23312</v>
      </c>
      <c r="P498" t="n">
        <v>2149.67008</v>
      </c>
    </row>
    <row r="499">
      <c r="A499" t="inlineStr">
        <is>
          <t>2</t>
        </is>
      </c>
      <c r="B499" t="inlineStr">
        <is>
          <t>АТ "Укрексімбанк"</t>
        </is>
      </c>
      <c r="C499" t="inlineStr">
        <is>
          <t>Державний</t>
        </is>
      </c>
      <c r="D499" t="inlineStr">
        <is>
          <t>2932</t>
        </is>
      </c>
      <c r="E499" t="inlineStr">
        <is>
          <t>(без привʼязки)</t>
        </is>
      </c>
      <c r="F499" t="inlineStr">
        <is>
          <t>Кошти в розрахунках суб’єктів господарювання</t>
        </is>
      </c>
      <c r="G499" t="inlineStr">
        <is>
          <t>П</t>
        </is>
      </c>
      <c r="H499" t="n">
        <v>2295564.69276</v>
      </c>
      <c r="I499" t="n">
        <v>18390.26582</v>
      </c>
      <c r="J499" t="n">
        <v>2277174.42694</v>
      </c>
      <c r="K499" t="n">
        <v>1867566.37331</v>
      </c>
      <c r="L499" t="n">
        <v>37537.81622</v>
      </c>
      <c r="M499" t="n">
        <v>1830028.55709</v>
      </c>
      <c r="N499" t="n">
        <v>5467606.16503</v>
      </c>
      <c r="O499" t="n">
        <v>521716.12311</v>
      </c>
      <c r="P499" t="n">
        <v>4945890.04192</v>
      </c>
    </row>
    <row r="500">
      <c r="A500" t="inlineStr">
        <is>
          <t>2</t>
        </is>
      </c>
      <c r="B500" t="inlineStr">
        <is>
          <t>АТ "Укрексімбанк"</t>
        </is>
      </c>
      <c r="C500" t="inlineStr">
        <is>
          <t>Державний</t>
        </is>
      </c>
      <c r="D500" t="inlineStr">
        <is>
          <t>2942</t>
        </is>
      </c>
      <c r="E500" t="inlineStr">
        <is>
          <t>(без привʼязки)</t>
        </is>
      </c>
      <c r="F500" t="inlineStr">
        <is>
          <t>Кошти в розрахунках фізичних осіб</t>
        </is>
      </c>
      <c r="G500" t="inlineStr">
        <is>
          <t>П</t>
        </is>
      </c>
      <c r="H500" t="n">
        <v>23121.6397</v>
      </c>
      <c r="I500" t="n">
        <v>23121.6397</v>
      </c>
      <c r="J500" t="n">
        <v>0</v>
      </c>
      <c r="K500" t="n">
        <v>22872.77402</v>
      </c>
      <c r="L500" t="n">
        <v>22872.77402</v>
      </c>
      <c r="M500" t="n">
        <v>0</v>
      </c>
      <c r="N500" t="n">
        <v>506.88748</v>
      </c>
      <c r="O500" t="n">
        <v>506.88748</v>
      </c>
      <c r="P500" t="n">
        <v>0</v>
      </c>
    </row>
    <row r="501">
      <c r="A501" t="inlineStr">
        <is>
          <t>2</t>
        </is>
      </c>
      <c r="B501" t="inlineStr">
        <is>
          <t>АТ "Укрексімбанк"</t>
        </is>
      </c>
      <c r="C501" t="inlineStr">
        <is>
          <t>Державний</t>
        </is>
      </c>
      <c r="D501" t="inlineStr">
        <is>
          <t>2952</t>
        </is>
      </c>
      <c r="E501" t="inlineStr">
        <is>
          <t>(без привʼязки)</t>
        </is>
      </c>
      <c r="F501" t="inlineStr">
        <is>
          <t>Кошти в розрахунках небанківських фінансових установ</t>
        </is>
      </c>
      <c r="G501" t="inlineStr">
        <is>
          <t>П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2</t>
        </is>
      </c>
      <c r="B502" t="inlineStr">
        <is>
          <t>АТ "Укрексімбанк"</t>
        </is>
      </c>
      <c r="C502" t="inlineStr">
        <is>
          <t>Державний</t>
        </is>
      </c>
      <c r="D502" t="inlineStr">
        <is>
          <t>3300</t>
        </is>
      </c>
      <c r="E502" t="inlineStr">
        <is>
          <t>(без привʼязки)</t>
        </is>
      </c>
      <c r="F502" t="inlineStr">
        <is>
          <t>Прості векселі, випущені банком, які обліковуються за амортизованою собівартістю</t>
        </is>
      </c>
      <c r="G502" t="inlineStr">
        <is>
          <t>П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2</t>
        </is>
      </c>
      <c r="B503" t="inlineStr">
        <is>
          <t>АТ "Укрексімбанк"</t>
        </is>
      </c>
      <c r="C503" t="inlineStr">
        <is>
          <t>Державний</t>
        </is>
      </c>
      <c r="D503" t="inlineStr">
        <is>
          <t>3306</t>
        </is>
      </c>
      <c r="E503" t="inlineStr">
        <is>
          <t>(без привʼязки)</t>
        </is>
      </c>
      <c r="F503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03" t="inlineStr">
        <is>
          <t>А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2</t>
        </is>
      </c>
      <c r="B504" t="inlineStr">
        <is>
          <t>АТ "Укрексімбанк"</t>
        </is>
      </c>
      <c r="C504" t="inlineStr">
        <is>
          <t>Державний</t>
        </is>
      </c>
      <c r="D504" t="inlineStr">
        <is>
          <t>3306</t>
        </is>
      </c>
      <c r="E504" t="inlineStr">
        <is>
          <t>(без привʼязки)</t>
        </is>
      </c>
      <c r="F50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04" t="inlineStr">
        <is>
          <t>П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2</t>
        </is>
      </c>
      <c r="B505" t="inlineStr">
        <is>
          <t>АТ "Укрексімбанк"</t>
        </is>
      </c>
      <c r="C505" t="inlineStr">
        <is>
          <t>Державний</t>
        </is>
      </c>
      <c r="D505" t="inlineStr">
        <is>
          <t>3308</t>
        </is>
      </c>
      <c r="E505" t="inlineStr">
        <is>
          <t>(без привʼязки)</t>
        </is>
      </c>
      <c r="F505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G505" t="inlineStr">
        <is>
          <t>П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2</t>
        </is>
      </c>
      <c r="B506" t="inlineStr">
        <is>
          <t>АТ "Укрексімбанк"</t>
        </is>
      </c>
      <c r="C506" t="inlineStr">
        <is>
          <t>Державний</t>
        </is>
      </c>
      <c r="D506" t="inlineStr">
        <is>
          <t>3303</t>
        </is>
      </c>
      <c r="E506" t="inlineStr">
        <is>
          <t>(без привʼязки)</t>
        </is>
      </c>
      <c r="F506" t="inlineStr">
        <is>
          <t>Облігації, випущені банком, які обліковуються за амортизованою собівартістю</t>
        </is>
      </c>
      <c r="G506" t="inlineStr">
        <is>
          <t>П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2</t>
        </is>
      </c>
      <c r="B507" t="inlineStr">
        <is>
          <t>АТ "Укрексімбанк"</t>
        </is>
      </c>
      <c r="C507" t="inlineStr">
        <is>
          <t>Державний</t>
        </is>
      </c>
      <c r="D507" t="inlineStr">
        <is>
          <t>3320</t>
        </is>
      </c>
      <c r="E507" t="inlineStr">
        <is>
          <t>(без привʼязки)</t>
        </is>
      </c>
      <c r="F507" t="inlineStr">
        <is>
          <t>Ощадні сертифікати, випущені банком, які обліковуються за амортизованою собівартістю</t>
        </is>
      </c>
      <c r="G507" t="inlineStr">
        <is>
          <t>П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2</t>
        </is>
      </c>
      <c r="B508" t="inlineStr">
        <is>
          <t>АТ "Укрексімбанк"</t>
        </is>
      </c>
      <c r="C508" t="inlineStr">
        <is>
          <t>Державний</t>
        </is>
      </c>
      <c r="D508" t="inlineStr">
        <is>
          <t>3326</t>
        </is>
      </c>
      <c r="E508" t="inlineStr">
        <is>
          <t>(без привʼязки)</t>
        </is>
      </c>
      <c r="F508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08" t="inlineStr">
        <is>
          <t>А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2</t>
        </is>
      </c>
      <c r="B509" t="inlineStr">
        <is>
          <t>АТ "Укрексімбанк"</t>
        </is>
      </c>
      <c r="C509" t="inlineStr">
        <is>
          <t>Державний</t>
        </is>
      </c>
      <c r="D509" t="inlineStr">
        <is>
          <t>3326</t>
        </is>
      </c>
      <c r="E509" t="inlineStr">
        <is>
          <t>(без привʼязки)</t>
        </is>
      </c>
      <c r="F509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09" t="inlineStr">
        <is>
          <t>П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2</t>
        </is>
      </c>
      <c r="B510" t="inlineStr">
        <is>
          <t>АТ "Укрексімбанк"</t>
        </is>
      </c>
      <c r="C510" t="inlineStr">
        <is>
          <t>Державний</t>
        </is>
      </c>
      <c r="D510" t="inlineStr">
        <is>
          <t>3328</t>
        </is>
      </c>
      <c r="E510" t="inlineStr">
        <is>
          <t>(без привʼязки)</t>
        </is>
      </c>
      <c r="F510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G510" t="inlineStr">
        <is>
          <t>П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2</t>
        </is>
      </c>
      <c r="B511" t="inlineStr">
        <is>
          <t>АТ "Укрексімбанк"</t>
        </is>
      </c>
      <c r="C511" t="inlineStr">
        <is>
          <t>Державний</t>
        </is>
      </c>
      <c r="D511" t="inlineStr">
        <is>
          <t>3351</t>
        </is>
      </c>
      <c r="E511" t="inlineStr">
        <is>
          <t>(без привʼязки)</t>
        </is>
      </c>
      <c r="F511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G511" t="inlineStr">
        <is>
          <t>П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2</t>
        </is>
      </c>
      <c r="B512" t="inlineStr">
        <is>
          <t>АТ "Укрексімбанк"</t>
        </is>
      </c>
      <c r="C512" t="inlineStr">
        <is>
          <t>Державний</t>
        </is>
      </c>
      <c r="D512" t="inlineStr">
        <is>
          <t>3353</t>
        </is>
      </c>
      <c r="E512" t="inlineStr">
        <is>
          <t>(без привʼязки)</t>
        </is>
      </c>
      <c r="F512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G512" t="inlineStr">
        <is>
          <t>П</t>
        </is>
      </c>
      <c r="H512" t="n">
        <v>35829.80443</v>
      </c>
      <c r="I512" t="n">
        <v>35829.80443</v>
      </c>
      <c r="J512" t="n">
        <v>0</v>
      </c>
      <c r="K512" t="n">
        <v>34007.26743</v>
      </c>
      <c r="L512" t="n">
        <v>34007.26743</v>
      </c>
      <c r="M512" t="n">
        <v>0</v>
      </c>
      <c r="N512" t="n">
        <v>312.53208</v>
      </c>
      <c r="O512" t="n">
        <v>312.53208</v>
      </c>
      <c r="P512" t="n">
        <v>0</v>
      </c>
    </row>
    <row r="513">
      <c r="A513" t="inlineStr">
        <is>
          <t>2</t>
        </is>
      </c>
      <c r="B513" t="inlineStr">
        <is>
          <t>АТ "Укрексімбанк"</t>
        </is>
      </c>
      <c r="C513" t="inlineStr">
        <is>
          <t>Державний</t>
        </is>
      </c>
      <c r="D513" t="inlineStr">
        <is>
          <t>3600</t>
        </is>
      </c>
      <c r="E513" t="inlineStr">
        <is>
          <t>(без привʼязки)</t>
        </is>
      </c>
      <c r="F513" t="inlineStr">
        <is>
          <t>Доходи майбутніх періодів</t>
        </is>
      </c>
      <c r="G513" t="inlineStr">
        <is>
          <t>П</t>
        </is>
      </c>
      <c r="H513" t="n">
        <v>33788.47985</v>
      </c>
      <c r="I513" t="n">
        <v>33258.31993</v>
      </c>
      <c r="J513" t="n">
        <v>530.1599200000001</v>
      </c>
      <c r="K513" t="n">
        <v>30834.36094</v>
      </c>
      <c r="L513" t="n">
        <v>30819.35272</v>
      </c>
      <c r="M513" t="n">
        <v>15.00822</v>
      </c>
      <c r="N513" t="n">
        <v>21224.17182</v>
      </c>
      <c r="O513" t="n">
        <v>20790.68426</v>
      </c>
      <c r="P513" t="n">
        <v>433.48756</v>
      </c>
    </row>
    <row r="514">
      <c r="A514" t="inlineStr">
        <is>
          <t>2</t>
        </is>
      </c>
      <c r="B514" t="inlineStr">
        <is>
          <t>АТ "Укрексімбанк"</t>
        </is>
      </c>
      <c r="C514" t="inlineStr">
        <is>
          <t>Державний</t>
        </is>
      </c>
      <c r="D514" t="inlineStr">
        <is>
          <t>3610</t>
        </is>
      </c>
      <c r="E514" t="inlineStr">
        <is>
          <t>(без привʼязки)</t>
        </is>
      </c>
      <c r="F514" t="inlineStr">
        <is>
          <t>Кредиторська заборгованість з придбання активів</t>
        </is>
      </c>
      <c r="G514" t="inlineStr">
        <is>
          <t>П</t>
        </is>
      </c>
      <c r="H514" t="n">
        <v>10684.59037</v>
      </c>
      <c r="I514" t="n">
        <v>10684.59037</v>
      </c>
      <c r="J514" t="n">
        <v>0</v>
      </c>
      <c r="K514" t="n">
        <v>15919.49637</v>
      </c>
      <c r="L514" t="n">
        <v>15919.49637</v>
      </c>
      <c r="M514" t="n">
        <v>0</v>
      </c>
      <c r="N514" t="n">
        <v>5257.03</v>
      </c>
      <c r="O514" t="n">
        <v>5257.03</v>
      </c>
      <c r="P514" t="n">
        <v>0</v>
      </c>
    </row>
    <row r="515">
      <c r="A515" t="inlineStr">
        <is>
          <t>2</t>
        </is>
      </c>
      <c r="B515" t="inlineStr">
        <is>
          <t>АТ "Укрексімбанк"</t>
        </is>
      </c>
      <c r="C515" t="inlineStr">
        <is>
          <t>Державний</t>
        </is>
      </c>
      <c r="D515" t="inlineStr">
        <is>
          <t>3611</t>
        </is>
      </c>
      <c r="E515" t="inlineStr">
        <is>
          <t>(без привʼязки)</t>
        </is>
      </c>
      <c r="F515" t="inlineStr">
        <is>
          <t>Договірне зобов'язання</t>
        </is>
      </c>
      <c r="G515" t="inlineStr">
        <is>
          <t>П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2</t>
        </is>
      </c>
      <c r="B516" t="inlineStr">
        <is>
          <t>АТ "Укрексімбанк"</t>
        </is>
      </c>
      <c r="C516" t="inlineStr">
        <is>
          <t>Державний</t>
        </is>
      </c>
      <c r="D516" t="inlineStr">
        <is>
          <t>3615</t>
        </is>
      </c>
      <c r="E516" t="inlineStr">
        <is>
          <t>(без привʼязки)</t>
        </is>
      </c>
      <c r="F516" t="inlineStr">
        <is>
          <t>Зобов'язання орендаря з лізингу (оренди)</t>
        </is>
      </c>
      <c r="G516" t="inlineStr">
        <is>
          <t>П</t>
        </is>
      </c>
      <c r="H516" t="n">
        <v>415.99366</v>
      </c>
      <c r="I516" t="n">
        <v>415.99366</v>
      </c>
      <c r="J516" t="n">
        <v>0</v>
      </c>
      <c r="K516" t="n">
        <v>0</v>
      </c>
      <c r="L516" t="n">
        <v>0</v>
      </c>
      <c r="M516" t="n">
        <v>0</v>
      </c>
      <c r="N516" t="n">
        <v>46005.01977</v>
      </c>
      <c r="O516" t="n">
        <v>46005.01977</v>
      </c>
      <c r="P516" t="n">
        <v>0</v>
      </c>
    </row>
    <row r="517">
      <c r="A517" t="inlineStr">
        <is>
          <t>2</t>
        </is>
      </c>
      <c r="B517" t="inlineStr">
        <is>
          <t>АТ "Укрексімбанк"</t>
        </is>
      </c>
      <c r="C517" t="inlineStr">
        <is>
          <t>Державний</t>
        </is>
      </c>
      <c r="D517" t="inlineStr">
        <is>
          <t>3619</t>
        </is>
      </c>
      <c r="E517" t="inlineStr">
        <is>
          <t>(без привʼязки)</t>
        </is>
      </c>
      <c r="F517" t="inlineStr">
        <is>
          <t>Кредиторська заборгованість за послуги</t>
        </is>
      </c>
      <c r="G517" t="inlineStr">
        <is>
          <t>П</t>
        </is>
      </c>
      <c r="H517" t="n">
        <v>6713.40191</v>
      </c>
      <c r="I517" t="n">
        <v>6466.33847</v>
      </c>
      <c r="J517" t="n">
        <v>247.06344</v>
      </c>
      <c r="K517" t="n">
        <v>7503.75696</v>
      </c>
      <c r="L517" t="n">
        <v>6087.90711</v>
      </c>
      <c r="M517" t="n">
        <v>1415.84985</v>
      </c>
      <c r="N517" t="n">
        <v>8835.38733</v>
      </c>
      <c r="O517" t="n">
        <v>2211.06879</v>
      </c>
      <c r="P517" t="n">
        <v>6624.31854</v>
      </c>
    </row>
    <row r="518">
      <c r="A518" t="inlineStr">
        <is>
          <t>2</t>
        </is>
      </c>
      <c r="B518" t="inlineStr">
        <is>
          <t>АТ "Укрексімбанк"</t>
        </is>
      </c>
      <c r="C518" t="inlineStr">
        <is>
          <t>Державний</t>
        </is>
      </c>
      <c r="D518" t="inlineStr">
        <is>
          <t>3618</t>
        </is>
      </c>
      <c r="E518" t="inlineStr">
        <is>
          <t>(без привʼязки)</t>
        </is>
      </c>
      <c r="F518" t="inlineStr">
        <is>
          <t>Нараховані витрати за зобов'язанням орендаря з лізингу (оренди)</t>
        </is>
      </c>
      <c r="G518" t="inlineStr">
        <is>
          <t>П</t>
        </is>
      </c>
      <c r="H518" t="n">
        <v>468.59136</v>
      </c>
      <c r="I518" t="n">
        <v>468.59136</v>
      </c>
      <c r="J518" t="n">
        <v>0</v>
      </c>
      <c r="K518" t="n">
        <v>468.59136</v>
      </c>
      <c r="L518" t="n">
        <v>468.59136</v>
      </c>
      <c r="M518" t="n">
        <v>0</v>
      </c>
      <c r="N518" t="n">
        <v>3.69357</v>
      </c>
      <c r="O518" t="n">
        <v>3.69357</v>
      </c>
      <c r="P518" t="n">
        <v>0</v>
      </c>
    </row>
    <row r="519">
      <c r="A519" t="inlineStr">
        <is>
          <t>2</t>
        </is>
      </c>
      <c r="B519" t="inlineStr">
        <is>
          <t>АТ "Укрексімбанк"</t>
        </is>
      </c>
      <c r="C519" t="inlineStr">
        <is>
          <t>Державний</t>
        </is>
      </c>
      <c r="D519" t="inlineStr">
        <is>
          <t>3620</t>
        </is>
      </c>
      <c r="E519" t="inlineStr">
        <is>
          <t>(без привʼязки)</t>
        </is>
      </c>
      <c r="F519" t="inlineStr">
        <is>
          <t>Кредиторська заборгованість за податком на прибуток</t>
        </is>
      </c>
      <c r="G519" t="inlineStr">
        <is>
          <t>П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2</t>
        </is>
      </c>
      <c r="B520" t="inlineStr">
        <is>
          <t>АТ "Укрексімбанк"</t>
        </is>
      </c>
      <c r="C520" t="inlineStr">
        <is>
          <t>Державний</t>
        </is>
      </c>
      <c r="D520" t="inlineStr">
        <is>
          <t>3621</t>
        </is>
      </c>
      <c r="E520" t="inlineStr">
        <is>
          <t>(без привʼязки)</t>
        </is>
      </c>
      <c r="F520" t="inlineStr">
        <is>
          <t>Відстрочені податкові зобов'язання</t>
        </is>
      </c>
      <c r="G520" t="inlineStr">
        <is>
          <t>П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2</t>
        </is>
      </c>
      <c r="B521" t="inlineStr">
        <is>
          <t>АТ "Укрексімбанк"</t>
        </is>
      </c>
      <c r="C521" t="inlineStr">
        <is>
          <t>Державний</t>
        </is>
      </c>
      <c r="D521" t="inlineStr">
        <is>
          <t>3622</t>
        </is>
      </c>
      <c r="E521" t="inlineStr">
        <is>
          <t>(без привʼязки)</t>
        </is>
      </c>
      <c r="F521" t="inlineStr">
        <is>
          <t>Кредиторська заборгованість за податками та обов'язковими платежами, крім податку на прибуток</t>
        </is>
      </c>
      <c r="G521" t="inlineStr">
        <is>
          <t>П</t>
        </is>
      </c>
      <c r="H521" t="n">
        <v>78684.11146</v>
      </c>
      <c r="I521" t="n">
        <v>78684.11146</v>
      </c>
      <c r="J521" t="n">
        <v>0</v>
      </c>
      <c r="K521" t="n">
        <v>69612.36607</v>
      </c>
      <c r="L521" t="n">
        <v>69612.36607</v>
      </c>
      <c r="M521" t="n">
        <v>0</v>
      </c>
      <c r="N521" t="n">
        <v>27030.58913</v>
      </c>
      <c r="O521" t="n">
        <v>27030.58913</v>
      </c>
      <c r="P521" t="n">
        <v>0</v>
      </c>
    </row>
    <row r="522">
      <c r="A522" t="inlineStr">
        <is>
          <t>2</t>
        </is>
      </c>
      <c r="B522" t="inlineStr">
        <is>
          <t>АТ "Укрексімбанк"</t>
        </is>
      </c>
      <c r="C522" t="inlineStr">
        <is>
          <t>Державний</t>
        </is>
      </c>
      <c r="D522" t="inlineStr">
        <is>
          <t>3623</t>
        </is>
      </c>
      <c r="E522" t="inlineStr">
        <is>
          <t>(без привʼязки)</t>
        </is>
      </c>
      <c r="F522" t="inlineStr">
        <is>
          <t>Кредиторська заборгованість за зборами до Фонду гарантування вкладів фізичних осіб</t>
        </is>
      </c>
      <c r="G522" t="inlineStr">
        <is>
          <t>П</t>
        </is>
      </c>
      <c r="H522" t="n">
        <v>0</v>
      </c>
      <c r="I522" t="n">
        <v>0</v>
      </c>
      <c r="J522" t="n">
        <v>0</v>
      </c>
      <c r="K522" t="n">
        <v>20039.82527</v>
      </c>
      <c r="L522" t="n">
        <v>20039.82527</v>
      </c>
      <c r="M522" t="n">
        <v>0</v>
      </c>
      <c r="N522" t="n">
        <v>41531.37307</v>
      </c>
      <c r="O522" t="n">
        <v>41531.37307</v>
      </c>
      <c r="P522" t="n">
        <v>0</v>
      </c>
    </row>
    <row r="523">
      <c r="A523" t="inlineStr">
        <is>
          <t>2</t>
        </is>
      </c>
      <c r="B523" t="inlineStr">
        <is>
          <t>АТ "Укрексімбанк"</t>
        </is>
      </c>
      <c r="C523" t="inlineStr">
        <is>
          <t>Державний</t>
        </is>
      </c>
      <c r="D523" t="inlineStr">
        <is>
          <t>3631</t>
        </is>
      </c>
      <c r="E523" t="inlineStr">
        <is>
          <t>(без привʼязки)</t>
        </is>
      </c>
      <c r="F523" t="inlineStr">
        <is>
          <t>Кредиторська заборгованість перед акціонерами (власниками) банку за дивідендами</t>
        </is>
      </c>
      <c r="G523" t="inlineStr">
        <is>
          <t>П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2</t>
        </is>
      </c>
      <c r="B524" t="inlineStr">
        <is>
          <t>АТ "Укрексімбанк"</t>
        </is>
      </c>
      <c r="C524" t="inlineStr">
        <is>
          <t>Державний</t>
        </is>
      </c>
      <c r="D524" t="inlineStr">
        <is>
          <t>3640</t>
        </is>
      </c>
      <c r="E524" t="inlineStr">
        <is>
          <t>(без привʼязки)</t>
        </is>
      </c>
      <c r="F52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G524" t="inlineStr">
        <is>
          <t>П</t>
        </is>
      </c>
      <c r="H524" t="n">
        <v>78344177.23185</v>
      </c>
      <c r="I524" t="n">
        <v>21719650.39538</v>
      </c>
      <c r="J524" t="n">
        <v>56624526.83647</v>
      </c>
      <c r="K524" t="n">
        <v>78347131.85313</v>
      </c>
      <c r="L524" t="n">
        <v>21722605.01666</v>
      </c>
      <c r="M524" t="n">
        <v>56624526.83647</v>
      </c>
      <c r="N524" t="n">
        <v>2969.24996</v>
      </c>
      <c r="O524" t="n">
        <v>2969.24996</v>
      </c>
      <c r="P524" t="n">
        <v>0</v>
      </c>
    </row>
    <row r="525">
      <c r="A525" t="inlineStr">
        <is>
          <t>2</t>
        </is>
      </c>
      <c r="B525" t="inlineStr">
        <is>
          <t>АТ "Укрексімбанк"</t>
        </is>
      </c>
      <c r="C525" t="inlineStr">
        <is>
          <t>Державний</t>
        </is>
      </c>
      <c r="D525" t="inlineStr">
        <is>
          <t>3641</t>
        </is>
      </c>
      <c r="E525" t="inlineStr">
        <is>
          <t>(без привʼязки)</t>
        </is>
      </c>
      <c r="F525" t="inlineStr">
        <is>
          <t>Кредиторська заборгованість за розрахунками за цінними паперами для банку</t>
        </is>
      </c>
      <c r="G525" t="inlineStr">
        <is>
          <t>П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2</t>
        </is>
      </c>
      <c r="B526" t="inlineStr">
        <is>
          <t>АТ "Укрексімбанк"</t>
        </is>
      </c>
      <c r="C526" t="inlineStr">
        <is>
          <t>Державний</t>
        </is>
      </c>
      <c r="D526" t="inlineStr">
        <is>
          <t>3648</t>
        </is>
      </c>
      <c r="E526" t="inlineStr">
        <is>
          <t>(без привʼязки)</t>
        </is>
      </c>
      <c r="F526" t="inlineStr">
        <is>
          <t>Кредиторська заборгованість за операціями з іншими фінансовими інструментами</t>
        </is>
      </c>
      <c r="G526" t="inlineStr">
        <is>
          <t>П</t>
        </is>
      </c>
      <c r="H526" t="n">
        <v>7568.29607</v>
      </c>
      <c r="I526" t="n">
        <v>7568.29607</v>
      </c>
      <c r="J526" t="n">
        <v>0</v>
      </c>
      <c r="K526" t="n">
        <v>7669.37035</v>
      </c>
      <c r="L526" t="n">
        <v>7669.37035</v>
      </c>
      <c r="M526" t="n">
        <v>0</v>
      </c>
      <c r="N526" t="n">
        <v>10872.91707</v>
      </c>
      <c r="O526" t="n">
        <v>10872.91707</v>
      </c>
      <c r="P526" t="n">
        <v>0</v>
      </c>
    </row>
    <row r="527">
      <c r="A527" t="inlineStr">
        <is>
          <t>2</t>
        </is>
      </c>
      <c r="B527" t="inlineStr">
        <is>
          <t>АТ "Укрексімбанк"</t>
        </is>
      </c>
      <c r="C527" t="inlineStr">
        <is>
          <t>Державний</t>
        </is>
      </c>
      <c r="D527" t="inlineStr">
        <is>
          <t>3642</t>
        </is>
      </c>
      <c r="E527" t="inlineStr">
        <is>
          <t>(без привʼязки)</t>
        </is>
      </c>
      <c r="F527" t="inlineStr">
        <is>
          <t>Кредиторська заборгованість за кредитними операціями</t>
        </is>
      </c>
      <c r="G527" t="inlineStr">
        <is>
          <t>П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2</t>
        </is>
      </c>
      <c r="B528" t="inlineStr">
        <is>
          <t>АТ "Укрексімбанк"</t>
        </is>
      </c>
      <c r="C528" t="inlineStr">
        <is>
          <t>Державний</t>
        </is>
      </c>
      <c r="D528" t="inlineStr">
        <is>
          <t>3650</t>
        </is>
      </c>
      <c r="E528" t="inlineStr">
        <is>
          <t>(без привʼязки)</t>
        </is>
      </c>
      <c r="F528" t="inlineStr">
        <is>
          <t>Заборгованість працівникам банку на відрядження</t>
        </is>
      </c>
      <c r="G528" t="inlineStr">
        <is>
          <t>П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2</t>
        </is>
      </c>
      <c r="B529" t="inlineStr">
        <is>
          <t>АТ "Укрексімбанк"</t>
        </is>
      </c>
      <c r="C529" t="inlineStr">
        <is>
          <t>Державний</t>
        </is>
      </c>
      <c r="D529" t="inlineStr">
        <is>
          <t>3651</t>
        </is>
      </c>
      <c r="E529" t="inlineStr">
        <is>
          <t>(без привʼязки)</t>
        </is>
      </c>
      <c r="F529" t="inlineStr">
        <is>
          <t>Заборгованість працівникам банку на господарські витрати</t>
        </is>
      </c>
      <c r="G529" t="inlineStr">
        <is>
          <t>П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2</t>
        </is>
      </c>
      <c r="B530" t="inlineStr">
        <is>
          <t>АТ "Укрексімбанк"</t>
        </is>
      </c>
      <c r="C530" t="inlineStr">
        <is>
          <t>Державний</t>
        </is>
      </c>
      <c r="D530" t="inlineStr">
        <is>
          <t>3652</t>
        </is>
      </c>
      <c r="E530" t="inlineStr">
        <is>
          <t>(без привʼязки)</t>
        </is>
      </c>
      <c r="F530" t="inlineStr">
        <is>
          <t>Нарахування працівникам банку за заробітною платою</t>
        </is>
      </c>
      <c r="G530" t="inlineStr">
        <is>
          <t>П</t>
        </is>
      </c>
      <c r="H530" t="n">
        <v>146609.24414</v>
      </c>
      <c r="I530" t="n">
        <v>146609.24414</v>
      </c>
      <c r="J530" t="n">
        <v>0</v>
      </c>
      <c r="K530" t="n">
        <v>198452.98429</v>
      </c>
      <c r="L530" t="n">
        <v>198452.98429</v>
      </c>
      <c r="M530" t="n">
        <v>0</v>
      </c>
      <c r="N530" t="n">
        <v>186690.88116</v>
      </c>
      <c r="O530" t="n">
        <v>186690.88116</v>
      </c>
      <c r="P530" t="n">
        <v>0</v>
      </c>
    </row>
    <row r="531">
      <c r="A531" t="inlineStr">
        <is>
          <t>2</t>
        </is>
      </c>
      <c r="B531" t="inlineStr">
        <is>
          <t>АТ "Укрексімбанк"</t>
        </is>
      </c>
      <c r="C531" t="inlineStr">
        <is>
          <t>Державний</t>
        </is>
      </c>
      <c r="D531" t="inlineStr">
        <is>
          <t>3653</t>
        </is>
      </c>
      <c r="E531" t="inlineStr">
        <is>
          <t>(без привʼязки)</t>
        </is>
      </c>
      <c r="F531" t="inlineStr">
        <is>
          <t>Утримання з працівників банку на користь третіх осіб</t>
        </is>
      </c>
      <c r="G531" t="inlineStr">
        <is>
          <t>П</t>
        </is>
      </c>
      <c r="H531" t="n">
        <v>35660.08554</v>
      </c>
      <c r="I531" t="n">
        <v>35660.08554</v>
      </c>
      <c r="J531" t="n">
        <v>0</v>
      </c>
      <c r="K531" t="n">
        <v>35662.43384</v>
      </c>
      <c r="L531" t="n">
        <v>35662.43384</v>
      </c>
      <c r="M531" t="n">
        <v>0</v>
      </c>
      <c r="N531" t="n">
        <v>184.11886</v>
      </c>
      <c r="O531" t="n">
        <v>184.11886</v>
      </c>
      <c r="P531" t="n">
        <v>0</v>
      </c>
    </row>
    <row r="532">
      <c r="A532" t="inlineStr">
        <is>
          <t>2</t>
        </is>
      </c>
      <c r="B532" t="inlineStr">
        <is>
          <t>АТ "Укрексімбанк"</t>
        </is>
      </c>
      <c r="C532" t="inlineStr">
        <is>
          <t>Державний</t>
        </is>
      </c>
      <c r="D532" t="inlineStr">
        <is>
          <t>3654</t>
        </is>
      </c>
      <c r="E532" t="inlineStr">
        <is>
          <t>(без привʼязки)</t>
        </is>
      </c>
      <c r="F532" t="inlineStr">
        <is>
          <t>Нараховані відпускні до сплати</t>
        </is>
      </c>
      <c r="G532" t="inlineStr">
        <is>
          <t>П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2</t>
        </is>
      </c>
      <c r="B533" t="inlineStr">
        <is>
          <t>АТ "Укрексімбанк"</t>
        </is>
      </c>
      <c r="C533" t="inlineStr">
        <is>
          <t>Державний</t>
        </is>
      </c>
      <c r="D533" t="inlineStr">
        <is>
          <t>3658</t>
        </is>
      </c>
      <c r="E533" t="inlineStr">
        <is>
          <t>(без привʼязки)</t>
        </is>
      </c>
      <c r="F533" t="inlineStr">
        <is>
          <t>Забезпечення оплати відпусток</t>
        </is>
      </c>
      <c r="G533" t="inlineStr">
        <is>
          <t>П</t>
        </is>
      </c>
      <c r="H533" t="n">
        <v>9759.58268</v>
      </c>
      <c r="I533" t="n">
        <v>9759.58268</v>
      </c>
      <c r="J533" t="n">
        <v>0</v>
      </c>
      <c r="K533" t="n">
        <v>12810.61321</v>
      </c>
      <c r="L533" t="n">
        <v>12810.61321</v>
      </c>
      <c r="M533" t="n">
        <v>0</v>
      </c>
      <c r="N533" t="n">
        <v>229698.02291</v>
      </c>
      <c r="O533" t="n">
        <v>229698.02291</v>
      </c>
      <c r="P533" t="n">
        <v>0</v>
      </c>
    </row>
    <row r="534">
      <c r="A534" t="inlineStr">
        <is>
          <t>2</t>
        </is>
      </c>
      <c r="B534" t="inlineStr">
        <is>
          <t>АТ "Укрексімбанк"</t>
        </is>
      </c>
      <c r="C534" t="inlineStr">
        <is>
          <t>Державний</t>
        </is>
      </c>
      <c r="D534" t="inlineStr">
        <is>
          <t>3659</t>
        </is>
      </c>
      <c r="E534" t="inlineStr">
        <is>
          <t>(без привʼязки)</t>
        </is>
      </c>
      <c r="F534" t="inlineStr">
        <is>
          <t>Інша кредиторська заборгованість за розрахунками з працівниками банку та іншими особами</t>
        </is>
      </c>
      <c r="G534" t="inlineStr">
        <is>
          <t>П</t>
        </is>
      </c>
      <c r="H534" t="n">
        <v>101.41975</v>
      </c>
      <c r="I534" t="n">
        <v>101.41975</v>
      </c>
      <c r="J534" t="n">
        <v>0</v>
      </c>
      <c r="K534" t="n">
        <v>88.51533999999999</v>
      </c>
      <c r="L534" t="n">
        <v>88.51533999999999</v>
      </c>
      <c r="M534" t="n">
        <v>0</v>
      </c>
      <c r="N534" t="n">
        <v>88.51533999999999</v>
      </c>
      <c r="O534" t="n">
        <v>88.51533999999999</v>
      </c>
      <c r="P534" t="n">
        <v>0</v>
      </c>
    </row>
    <row r="535">
      <c r="A535" t="inlineStr">
        <is>
          <t>2</t>
        </is>
      </c>
      <c r="B535" t="inlineStr">
        <is>
          <t>АТ "Укрексімбанк"</t>
        </is>
      </c>
      <c r="C535" t="inlineStr">
        <is>
          <t>Державний</t>
        </is>
      </c>
      <c r="D535" t="inlineStr">
        <is>
          <t>3660</t>
        </is>
      </c>
      <c r="E535" t="inlineStr">
        <is>
          <t>(без привʼязки)</t>
        </is>
      </c>
      <c r="F535" t="inlineStr">
        <is>
          <t>Субординований борг банку</t>
        </is>
      </c>
      <c r="G535" t="inlineStr">
        <is>
          <t>П</t>
        </is>
      </c>
      <c r="H535" t="n">
        <v>44130</v>
      </c>
      <c r="I535" t="n">
        <v>0</v>
      </c>
      <c r="J535" t="n">
        <v>44130</v>
      </c>
      <c r="K535" t="n">
        <v>66400</v>
      </c>
      <c r="L535" t="n">
        <v>0</v>
      </c>
      <c r="M535" t="n">
        <v>66400</v>
      </c>
      <c r="N535" t="n">
        <v>4219280</v>
      </c>
      <c r="O535" t="n">
        <v>0</v>
      </c>
      <c r="P535" t="n">
        <v>4219280</v>
      </c>
    </row>
    <row r="536">
      <c r="A536" t="inlineStr">
        <is>
          <t>2</t>
        </is>
      </c>
      <c r="B536" t="inlineStr">
        <is>
          <t>АТ "Укрексімбанк"</t>
        </is>
      </c>
      <c r="C536" t="inlineStr">
        <is>
          <t>Державний</t>
        </is>
      </c>
      <c r="D536" t="inlineStr">
        <is>
          <t>3666</t>
        </is>
      </c>
      <c r="E536" t="inlineStr">
        <is>
          <t>(без привʼязки)</t>
        </is>
      </c>
      <c r="F536" t="inlineStr">
        <is>
          <t>Неамортизований дисконт/премія за субординованим боргом</t>
        </is>
      </c>
      <c r="G536" t="inlineStr">
        <is>
          <t>А</t>
        </is>
      </c>
      <c r="H536" t="n">
        <v>855.65919</v>
      </c>
      <c r="I536" t="n">
        <v>0</v>
      </c>
      <c r="J536" t="n">
        <v>855.65919</v>
      </c>
      <c r="K536" t="n">
        <v>554.5818400000001</v>
      </c>
      <c r="L536" t="n">
        <v>0</v>
      </c>
      <c r="M536" t="n">
        <v>554.5818400000001</v>
      </c>
      <c r="N536" t="n">
        <v>0</v>
      </c>
      <c r="O536" t="n">
        <v>0</v>
      </c>
      <c r="P536" t="n">
        <v>0</v>
      </c>
    </row>
    <row r="537">
      <c r="A537" t="inlineStr">
        <is>
          <t>2</t>
        </is>
      </c>
      <c r="B537" t="inlineStr">
        <is>
          <t>АТ "Укрексімбанк"</t>
        </is>
      </c>
      <c r="C537" t="inlineStr">
        <is>
          <t>Державний</t>
        </is>
      </c>
      <c r="D537" t="inlineStr">
        <is>
          <t>3666</t>
        </is>
      </c>
      <c r="E537" t="inlineStr">
        <is>
          <t>(без привʼязки)</t>
        </is>
      </c>
      <c r="F537" t="inlineStr">
        <is>
          <t>Неамортизований дисконт/премія за субординованим боргом</t>
        </is>
      </c>
      <c r="G537" t="inlineStr">
        <is>
          <t>П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16123.07391</v>
      </c>
      <c r="O537" t="n">
        <v>0</v>
      </c>
      <c r="P537" t="n">
        <v>16123.07391</v>
      </c>
    </row>
    <row r="538">
      <c r="A538" t="inlineStr">
        <is>
          <t>2</t>
        </is>
      </c>
      <c r="B538" t="inlineStr">
        <is>
          <t>АТ "Укрексімбанк"</t>
        </is>
      </c>
      <c r="C538" t="inlineStr">
        <is>
          <t>Державний</t>
        </is>
      </c>
      <c r="D538" t="inlineStr">
        <is>
          <t>3668</t>
        </is>
      </c>
      <c r="E538" t="inlineStr">
        <is>
          <t>(без привʼязки)</t>
        </is>
      </c>
      <c r="F538" t="inlineStr">
        <is>
          <t xml:space="preserve">Нараховані витрати за субординованим боргом </t>
        </is>
      </c>
      <c r="G538" t="inlineStr">
        <is>
          <t>П</t>
        </is>
      </c>
      <c r="H538" t="n">
        <v>236683.92735</v>
      </c>
      <c r="I538" t="n">
        <v>0</v>
      </c>
      <c r="J538" t="n">
        <v>236683.92735</v>
      </c>
      <c r="K538" t="n">
        <v>40558.40522</v>
      </c>
      <c r="L538" t="n">
        <v>0</v>
      </c>
      <c r="M538" t="n">
        <v>40558.40522</v>
      </c>
      <c r="N538" t="n">
        <v>38443.59057</v>
      </c>
      <c r="O538" t="n">
        <v>0</v>
      </c>
      <c r="P538" t="n">
        <v>38443.59057</v>
      </c>
    </row>
    <row r="539">
      <c r="A539" t="inlineStr">
        <is>
          <t>2</t>
        </is>
      </c>
      <c r="B539" t="inlineStr">
        <is>
          <t>АТ "Укрексімбанк"</t>
        </is>
      </c>
      <c r="C539" t="inlineStr">
        <is>
          <t>Державний</t>
        </is>
      </c>
      <c r="D539" t="inlineStr">
        <is>
          <t>3670</t>
        </is>
      </c>
      <c r="E539" t="inlineStr">
        <is>
          <t>(без привʼязки)</t>
        </is>
      </c>
      <c r="F539" t="inlineStr">
        <is>
          <t>Нараховані витрати за розрахунково-касове обслуговування</t>
        </is>
      </c>
      <c r="G539" t="inlineStr">
        <is>
          <t>П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2</t>
        </is>
      </c>
      <c r="B540" t="inlineStr">
        <is>
          <t>АТ "Укрексімбанк"</t>
        </is>
      </c>
      <c r="C540" t="inlineStr">
        <is>
          <t>Державний</t>
        </is>
      </c>
      <c r="D540" t="inlineStr">
        <is>
          <t>3678</t>
        </is>
      </c>
      <c r="E540" t="inlineStr">
        <is>
          <t>(без привʼязки)</t>
        </is>
      </c>
      <c r="F540" t="inlineStr">
        <is>
          <t xml:space="preserve">Інші нараховані витрати </t>
        </is>
      </c>
      <c r="G540" t="inlineStr">
        <is>
          <t>П</t>
        </is>
      </c>
      <c r="H540" t="n">
        <v>36916.11032</v>
      </c>
      <c r="I540" t="n">
        <v>7096.31614</v>
      </c>
      <c r="J540" t="n">
        <v>29819.79418</v>
      </c>
      <c r="K540" t="n">
        <v>37712.92586</v>
      </c>
      <c r="L540" t="n">
        <v>6791.61829</v>
      </c>
      <c r="M540" t="n">
        <v>30921.30757</v>
      </c>
      <c r="N540" t="n">
        <v>40907.85245</v>
      </c>
      <c r="O540" t="n">
        <v>6521.17636</v>
      </c>
      <c r="P540" t="n">
        <v>34386.67609</v>
      </c>
    </row>
    <row r="541">
      <c r="A541" t="inlineStr">
        <is>
          <t>2</t>
        </is>
      </c>
      <c r="B541" t="inlineStr">
        <is>
          <t>АТ "Укрексімбанк"</t>
        </is>
      </c>
      <c r="C541" t="inlineStr">
        <is>
          <t>Державний</t>
        </is>
      </c>
      <c r="D541" t="inlineStr">
        <is>
          <t>3680</t>
        </is>
      </c>
      <c r="E541" t="inlineStr">
        <is>
          <t>(без привʼязки)</t>
        </is>
      </c>
      <c r="F541" t="inlineStr">
        <is>
          <t>Капітальний інструмент з умовами списання/конверсії</t>
        </is>
      </c>
      <c r="G541" t="inlineStr">
        <is>
          <t>П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2</t>
        </is>
      </c>
      <c r="B542" t="inlineStr">
        <is>
          <t>АТ "Укрексімбанк"</t>
        </is>
      </c>
      <c r="C542" t="inlineStr">
        <is>
          <t>Державний</t>
        </is>
      </c>
      <c r="D542" t="inlineStr">
        <is>
          <t>3686</t>
        </is>
      </c>
      <c r="E542" t="inlineStr">
        <is>
          <t>(без привʼязки)</t>
        </is>
      </c>
      <c r="F542" t="inlineStr">
        <is>
          <t>Неамортизований дисконт/премія за капітальним інструментом з умовами списання/конверсії</t>
        </is>
      </c>
      <c r="G542" t="inlineStr">
        <is>
          <t>А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2</t>
        </is>
      </c>
      <c r="B543" t="inlineStr">
        <is>
          <t>АТ "Укрексімбанк"</t>
        </is>
      </c>
      <c r="C543" t="inlineStr">
        <is>
          <t>Державний</t>
        </is>
      </c>
      <c r="D543" t="inlineStr">
        <is>
          <t>3688</t>
        </is>
      </c>
      <c r="E543" t="inlineStr">
        <is>
          <t>(без привʼязки)</t>
        </is>
      </c>
      <c r="F543" t="inlineStr">
        <is>
          <t>Нараховані витрати за капітальним інструментом з умовами списання/конверсії</t>
        </is>
      </c>
      <c r="G543" t="inlineStr">
        <is>
          <t>П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2</t>
        </is>
      </c>
      <c r="B544" t="inlineStr">
        <is>
          <t>АТ "Укрексімбанк"</t>
        </is>
      </c>
      <c r="C544" t="inlineStr">
        <is>
          <t>Державний</t>
        </is>
      </c>
      <c r="D544" t="inlineStr">
        <is>
          <t>3690</t>
        </is>
      </c>
      <c r="E544" t="inlineStr">
        <is>
          <t>(без привʼязки)</t>
        </is>
      </c>
      <c r="F544" t="inlineStr">
        <is>
          <t>Резерви за наданими фінансовими гарантіями</t>
        </is>
      </c>
      <c r="G544" t="inlineStr">
        <is>
          <t>П</t>
        </is>
      </c>
      <c r="H544" t="n">
        <v>75.97637</v>
      </c>
      <c r="I544" t="n">
        <v>23.37347</v>
      </c>
      <c r="J544" t="n">
        <v>52.6029</v>
      </c>
      <c r="K544" t="n">
        <v>317.68714</v>
      </c>
      <c r="L544" t="n">
        <v>140.72608</v>
      </c>
      <c r="M544" t="n">
        <v>176.96106</v>
      </c>
      <c r="N544" t="n">
        <v>589.23874</v>
      </c>
      <c r="O544" t="n">
        <v>213.11713</v>
      </c>
      <c r="P544" t="n">
        <v>376.12161</v>
      </c>
    </row>
    <row r="545">
      <c r="A545" t="inlineStr">
        <is>
          <t>2</t>
        </is>
      </c>
      <c r="B545" t="inlineStr">
        <is>
          <t>АТ "Укрексімбанк"</t>
        </is>
      </c>
      <c r="C545" t="inlineStr">
        <is>
          <t>Державний</t>
        </is>
      </c>
      <c r="D545" t="inlineStr">
        <is>
          <t>3699</t>
        </is>
      </c>
      <c r="E545" t="inlineStr">
        <is>
          <t>(без привʼязки)</t>
        </is>
      </c>
      <c r="F545" t="inlineStr">
        <is>
          <t>Резерви за іншими нефінансовими зобов'язаннями</t>
        </is>
      </c>
      <c r="G545" t="inlineStr">
        <is>
          <t>П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16660.28665</v>
      </c>
      <c r="O545" t="n">
        <v>16660.28665</v>
      </c>
      <c r="P545" t="n">
        <v>0</v>
      </c>
    </row>
    <row r="546">
      <c r="A546" t="inlineStr">
        <is>
          <t>2</t>
        </is>
      </c>
      <c r="B546" t="inlineStr">
        <is>
          <t>АТ "Укрексімбанк"</t>
        </is>
      </c>
      <c r="C546" t="inlineStr">
        <is>
          <t>Державний</t>
        </is>
      </c>
      <c r="D546" t="inlineStr">
        <is>
          <t>3692</t>
        </is>
      </c>
      <c r="E546" t="inlineStr">
        <is>
          <t>(без привʼязки)</t>
        </is>
      </c>
      <c r="F546" t="inlineStr">
        <is>
          <t>Резерви за кредитними зобов'язаннями</t>
        </is>
      </c>
      <c r="G546" t="inlineStr">
        <is>
          <t>П</t>
        </is>
      </c>
      <c r="H546" t="n">
        <v>29826.7632</v>
      </c>
      <c r="I546" t="n">
        <v>7365.8087</v>
      </c>
      <c r="J546" t="n">
        <v>22460.9545</v>
      </c>
      <c r="K546" t="n">
        <v>32272.16435</v>
      </c>
      <c r="L546" t="n">
        <v>2896.74838</v>
      </c>
      <c r="M546" t="n">
        <v>29375.41597</v>
      </c>
      <c r="N546" t="n">
        <v>101507.21942</v>
      </c>
      <c r="O546" t="n">
        <v>39427.09903</v>
      </c>
      <c r="P546" t="n">
        <v>62080.12039</v>
      </c>
    </row>
    <row r="547">
      <c r="A547" t="inlineStr">
        <is>
          <t>2</t>
        </is>
      </c>
      <c r="B547" t="inlineStr">
        <is>
          <t>АТ "Укрексімбанк"</t>
        </is>
      </c>
      <c r="C547" t="inlineStr">
        <is>
          <t>Державний</t>
        </is>
      </c>
      <c r="D547" t="inlineStr">
        <is>
          <t>3720</t>
        </is>
      </c>
      <c r="E547" t="inlineStr">
        <is>
          <t>(без привʼязки)</t>
        </is>
      </c>
      <c r="F547" t="inlineStr">
        <is>
          <t>Кредитові суми до з'ясування</t>
        </is>
      </c>
      <c r="G547" t="inlineStr">
        <is>
          <t>П</t>
        </is>
      </c>
      <c r="H547" t="n">
        <v>1619995.33247</v>
      </c>
      <c r="I547" t="n">
        <v>140488.12229</v>
      </c>
      <c r="J547" t="n">
        <v>1479507.21018</v>
      </c>
      <c r="K547" t="n">
        <v>1473485.33994</v>
      </c>
      <c r="L547" t="n">
        <v>140484.68938</v>
      </c>
      <c r="M547" t="n">
        <v>1333000.65056</v>
      </c>
      <c r="N547" t="n">
        <v>108907.63604</v>
      </c>
      <c r="O547" t="n">
        <v>431.06207</v>
      </c>
      <c r="P547" t="n">
        <v>108476.57397</v>
      </c>
    </row>
    <row r="548">
      <c r="A548" t="inlineStr">
        <is>
          <t>2</t>
        </is>
      </c>
      <c r="B548" t="inlineStr">
        <is>
          <t>АТ "Укрексімбанк"</t>
        </is>
      </c>
      <c r="C548" t="inlineStr">
        <is>
          <t>Державний</t>
        </is>
      </c>
      <c r="D548" t="inlineStr">
        <is>
          <t>3903</t>
        </is>
      </c>
      <c r="E548" t="inlineStr">
        <is>
          <t>(без привʼязки)</t>
        </is>
      </c>
      <c r="F548" t="inlineStr">
        <is>
          <t>Розрахунки за коштами, що отримані від філій банку</t>
        </is>
      </c>
      <c r="G548" t="inlineStr">
        <is>
          <t>П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2</t>
        </is>
      </c>
      <c r="B549" t="inlineStr">
        <is>
          <t>АТ "Укрексімбанк"</t>
        </is>
      </c>
      <c r="C549" t="inlineStr">
        <is>
          <t>Державний</t>
        </is>
      </c>
      <c r="D549" t="inlineStr">
        <is>
          <t>3905</t>
        </is>
      </c>
      <c r="E549" t="inlineStr">
        <is>
          <t>(без привʼязки)</t>
        </is>
      </c>
      <c r="F549" t="inlineStr">
        <is>
          <t>Нараховані витрати за коштами, що отримані від філій банку</t>
        </is>
      </c>
      <c r="G549" t="inlineStr">
        <is>
          <t>П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2</t>
        </is>
      </c>
      <c r="B550" t="inlineStr">
        <is>
          <t>АТ "Укрексімбанк"</t>
        </is>
      </c>
      <c r="C550" t="inlineStr">
        <is>
          <t>Державний</t>
        </is>
      </c>
      <c r="D550" t="inlineStr">
        <is>
          <t>3907</t>
        </is>
      </c>
      <c r="E550" t="inlineStr">
        <is>
          <t>(без привʼязки)</t>
        </is>
      </c>
      <c r="F550" t="inlineStr">
        <is>
          <t>Кредиторська заборгованість за операціями з готівкою між філіями банку</t>
        </is>
      </c>
      <c r="G550" t="inlineStr">
        <is>
          <t>П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2</t>
        </is>
      </c>
      <c r="B551" t="inlineStr">
        <is>
          <t>АТ "Укрексімбанк"</t>
        </is>
      </c>
      <c r="C551" t="inlineStr">
        <is>
          <t>Державний</t>
        </is>
      </c>
      <c r="D551" t="inlineStr">
        <is>
          <t>5000</t>
        </is>
      </c>
      <c r="E551" t="inlineStr">
        <is>
          <t>(без привʼязки)</t>
        </is>
      </c>
      <c r="F551" t="inlineStr">
        <is>
          <t>Статутний капітал банку</t>
        </is>
      </c>
      <c r="G551" t="inlineStr">
        <is>
          <t>П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45570041.12424</v>
      </c>
      <c r="O551" t="n">
        <v>45570041.12424</v>
      </c>
      <c r="P551" t="n">
        <v>0</v>
      </c>
    </row>
    <row r="552">
      <c r="A552" t="inlineStr">
        <is>
          <t>2</t>
        </is>
      </c>
      <c r="B552" t="inlineStr">
        <is>
          <t>АТ "Укрексімбанк"</t>
        </is>
      </c>
      <c r="C552" t="inlineStr">
        <is>
          <t>Державний</t>
        </is>
      </c>
      <c r="D552" t="inlineStr">
        <is>
          <t>5002</t>
        </is>
      </c>
      <c r="E552" t="inlineStr">
        <is>
          <t>(без привʼязки)</t>
        </is>
      </c>
      <c r="F552" t="inlineStr">
        <is>
          <t xml:space="preserve">Власні акції (частки, паї), що викуплені в акціонерів (власників) </t>
        </is>
      </c>
      <c r="G552" t="inlineStr">
        <is>
          <t>А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2</t>
        </is>
      </c>
      <c r="B553" t="inlineStr">
        <is>
          <t>АТ "Укрексімбанк"</t>
        </is>
      </c>
      <c r="C553" t="inlineStr">
        <is>
          <t>Державний</t>
        </is>
      </c>
      <c r="D553" t="inlineStr">
        <is>
          <t>5004</t>
        </is>
      </c>
      <c r="E553" t="inlineStr">
        <is>
          <t>(без привʼязки)</t>
        </is>
      </c>
      <c r="F553" t="inlineStr">
        <is>
          <t>Незареєстрований статутний капітал</t>
        </is>
      </c>
      <c r="G553" t="inlineStr">
        <is>
          <t>П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2</t>
        </is>
      </c>
      <c r="B554" t="inlineStr">
        <is>
          <t>АТ "Укрексімбанк"</t>
        </is>
      </c>
      <c r="C554" t="inlineStr">
        <is>
          <t>Державний</t>
        </is>
      </c>
      <c r="D554" t="inlineStr">
        <is>
          <t>5010</t>
        </is>
      </c>
      <c r="E554" t="inlineStr">
        <is>
          <t>(без привʼязки)</t>
        </is>
      </c>
      <c r="F554" t="inlineStr">
        <is>
          <t>Емісійні різниці</t>
        </is>
      </c>
      <c r="G554" t="inlineStr">
        <is>
          <t>П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2</t>
        </is>
      </c>
      <c r="B555" t="inlineStr">
        <is>
          <t>АТ "Укрексімбанк"</t>
        </is>
      </c>
      <c r="C555" t="inlineStr">
        <is>
          <t>Державний</t>
        </is>
      </c>
      <c r="D555" t="inlineStr">
        <is>
          <t>5011</t>
        </is>
      </c>
      <c r="E555" t="inlineStr">
        <is>
          <t>(без привʼязки)</t>
        </is>
      </c>
      <c r="F555" t="inlineStr">
        <is>
          <t>Операції з акціонерами (власниками)</t>
        </is>
      </c>
      <c r="G555" t="inlineStr">
        <is>
          <t>А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2</t>
        </is>
      </c>
      <c r="B556" t="inlineStr">
        <is>
          <t>АТ "Укрексімбанк"</t>
        </is>
      </c>
      <c r="C556" t="inlineStr">
        <is>
          <t>Державний</t>
        </is>
      </c>
      <c r="D556" t="inlineStr">
        <is>
          <t>5011</t>
        </is>
      </c>
      <c r="E556" t="inlineStr">
        <is>
          <t>(без привʼязки)</t>
        </is>
      </c>
      <c r="F556" t="inlineStr">
        <is>
          <t>Операції з акціонерами (власниками)</t>
        </is>
      </c>
      <c r="G556" t="inlineStr">
        <is>
          <t>П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2</t>
        </is>
      </c>
      <c r="B557" t="inlineStr">
        <is>
          <t>АТ "Укрексімбанк"</t>
        </is>
      </c>
      <c r="C557" t="inlineStr">
        <is>
          <t>Державний</t>
        </is>
      </c>
      <c r="D557" t="inlineStr">
        <is>
          <t>5020</t>
        </is>
      </c>
      <c r="E557" t="inlineStr">
        <is>
          <t>(без привʼязки)</t>
        </is>
      </c>
      <c r="F557" t="inlineStr">
        <is>
          <t>Загальні резерви</t>
        </is>
      </c>
      <c r="G557" t="inlineStr">
        <is>
          <t>П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2</t>
        </is>
      </c>
      <c r="B558" t="inlineStr">
        <is>
          <t>АТ "Укрексімбанк"</t>
        </is>
      </c>
      <c r="C558" t="inlineStr">
        <is>
          <t>Державний</t>
        </is>
      </c>
      <c r="D558" t="inlineStr">
        <is>
          <t>5021</t>
        </is>
      </c>
      <c r="E558" t="inlineStr">
        <is>
          <t>(без привʼязки)</t>
        </is>
      </c>
      <c r="F558" t="inlineStr">
        <is>
          <t>Резервні фонди</t>
        </is>
      </c>
      <c r="G558" t="inlineStr">
        <is>
          <t>П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2</t>
        </is>
      </c>
      <c r="B559" t="inlineStr">
        <is>
          <t>АТ "Укрексімбанк"</t>
        </is>
      </c>
      <c r="C559" t="inlineStr">
        <is>
          <t>Державний</t>
        </is>
      </c>
      <c r="D559" t="inlineStr">
        <is>
          <t>5022</t>
        </is>
      </c>
      <c r="E559" t="inlineStr">
        <is>
          <t>(без привʼязки)</t>
        </is>
      </c>
      <c r="F559" t="inlineStr">
        <is>
          <t>Інші фонди банку</t>
        </is>
      </c>
      <c r="G559" t="inlineStr">
        <is>
          <t>П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2</t>
        </is>
      </c>
      <c r="B560" t="inlineStr">
        <is>
          <t>АТ "Укрексімбанк"</t>
        </is>
      </c>
      <c r="C560" t="inlineStr">
        <is>
          <t>Державний</t>
        </is>
      </c>
      <c r="D560" t="inlineStr">
        <is>
          <t>5030</t>
        </is>
      </c>
      <c r="E560" t="inlineStr">
        <is>
          <t>(без привʼязки)</t>
        </is>
      </c>
      <c r="F560" t="inlineStr">
        <is>
          <t>Нерозподілені прибутки минулих років</t>
        </is>
      </c>
      <c r="G560" t="inlineStr">
        <is>
          <t>П</t>
        </is>
      </c>
      <c r="H560" t="n">
        <v>0</v>
      </c>
      <c r="I560" t="n">
        <v>0</v>
      </c>
      <c r="J560" t="n">
        <v>0</v>
      </c>
      <c r="K560" t="n">
        <v>1417.12692</v>
      </c>
      <c r="L560" t="n">
        <v>1417.12692</v>
      </c>
      <c r="M560" t="n">
        <v>0</v>
      </c>
      <c r="N560" t="n">
        <v>16751.34742</v>
      </c>
      <c r="O560" t="n">
        <v>16751.34742</v>
      </c>
      <c r="P560" t="n">
        <v>0</v>
      </c>
    </row>
    <row r="561">
      <c r="A561" t="inlineStr">
        <is>
          <t>2</t>
        </is>
      </c>
      <c r="B561" t="inlineStr">
        <is>
          <t>АТ "Укрексімбанк"</t>
        </is>
      </c>
      <c r="C561" t="inlineStr">
        <is>
          <t>Державний</t>
        </is>
      </c>
      <c r="D561" t="inlineStr">
        <is>
          <t>5031</t>
        </is>
      </c>
      <c r="E561" t="inlineStr">
        <is>
          <t>(без привʼязки)</t>
        </is>
      </c>
      <c r="F561" t="inlineStr">
        <is>
          <t>Непокриті збитки минулих років</t>
        </is>
      </c>
      <c r="G561" t="inlineStr">
        <is>
          <t>А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-36498893.50551</v>
      </c>
      <c r="O561" t="n">
        <v>-36498893.50551</v>
      </c>
      <c r="P561" t="n">
        <v>0</v>
      </c>
    </row>
    <row r="562">
      <c r="A562" t="inlineStr">
        <is>
          <t>2</t>
        </is>
      </c>
      <c r="B562" t="inlineStr">
        <is>
          <t>АТ "Укрексімбанк"</t>
        </is>
      </c>
      <c r="C562" t="inlineStr">
        <is>
          <t>Державний</t>
        </is>
      </c>
      <c r="D562" t="inlineStr">
        <is>
          <t>5040</t>
        </is>
      </c>
      <c r="E562" t="inlineStr">
        <is>
          <t>(без привʼязки)</t>
        </is>
      </c>
      <c r="F562" t="inlineStr">
        <is>
          <t xml:space="preserve">Прибуток звітного року </t>
        </is>
      </c>
      <c r="G562" t="inlineStr">
        <is>
          <t>П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2</t>
        </is>
      </c>
      <c r="B563" t="inlineStr">
        <is>
          <t>АТ "Укрексімбанк"</t>
        </is>
      </c>
      <c r="C563" t="inlineStr">
        <is>
          <t>Державний</t>
        </is>
      </c>
      <c r="D563" t="inlineStr">
        <is>
          <t>5040</t>
        </is>
      </c>
      <c r="E563" t="inlineStr">
        <is>
          <t>Прибуток звітного року (5040)</t>
        </is>
      </c>
      <c r="F563" t="inlineStr">
        <is>
          <t xml:space="preserve">Прибуток звітного року </t>
        </is>
      </c>
      <c r="G563" t="inlineStr">
        <is>
          <t>П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2</t>
        </is>
      </c>
      <c r="B564" t="inlineStr">
        <is>
          <t>АТ "Укрексімбанк"</t>
        </is>
      </c>
      <c r="C564" t="inlineStr">
        <is>
          <t>Державний</t>
        </is>
      </c>
      <c r="D564" t="inlineStr">
        <is>
          <t>5041</t>
        </is>
      </c>
      <c r="E564" t="inlineStr">
        <is>
          <t>(без привʼязки)</t>
        </is>
      </c>
      <c r="F564" t="inlineStr">
        <is>
          <t>Збиток звітного року</t>
        </is>
      </c>
      <c r="G564" t="inlineStr">
        <is>
          <t>А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2</t>
        </is>
      </c>
      <c r="B565" t="inlineStr">
        <is>
          <t>АТ "Укрексімбанк"</t>
        </is>
      </c>
      <c r="C565" t="inlineStr">
        <is>
          <t>Державний</t>
        </is>
      </c>
      <c r="D565" t="inlineStr">
        <is>
          <t>5041</t>
        </is>
      </c>
      <c r="E565" t="inlineStr">
        <is>
          <t>Збиток звітного року (5041)</t>
        </is>
      </c>
      <c r="F565" t="inlineStr">
        <is>
          <t>Збиток звітного року</t>
        </is>
      </c>
      <c r="G565" t="inlineStr">
        <is>
          <t>А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2</t>
        </is>
      </c>
      <c r="B566" t="inlineStr">
        <is>
          <t>АТ "Укрексімбанк"</t>
        </is>
      </c>
      <c r="C566" t="inlineStr">
        <is>
          <t>Державний</t>
        </is>
      </c>
      <c r="D566" t="inlineStr">
        <is>
          <t>5100</t>
        </is>
      </c>
      <c r="E566" t="inlineStr">
        <is>
          <t>(без привʼязки)</t>
        </is>
      </c>
      <c r="F566" t="inlineStr">
        <is>
          <t>Результати переоцінки основних засобів</t>
        </is>
      </c>
      <c r="G566" t="inlineStr">
        <is>
          <t>П</t>
        </is>
      </c>
      <c r="H566" t="n">
        <v>1417.12692</v>
      </c>
      <c r="I566" t="n">
        <v>1417.12692</v>
      </c>
      <c r="J566" t="n">
        <v>0</v>
      </c>
      <c r="K566" t="n">
        <v>0</v>
      </c>
      <c r="L566" t="n">
        <v>0</v>
      </c>
      <c r="M566" t="n">
        <v>0</v>
      </c>
      <c r="N566" t="n">
        <v>798026.40741</v>
      </c>
      <c r="O566" t="n">
        <v>798026.40741</v>
      </c>
      <c r="P566" t="n">
        <v>0</v>
      </c>
    </row>
    <row r="567">
      <c r="A567" t="inlineStr">
        <is>
          <t>2</t>
        </is>
      </c>
      <c r="B567" t="inlineStr">
        <is>
          <t>АТ "Укрексімбанк"</t>
        </is>
      </c>
      <c r="C567" t="inlineStr">
        <is>
          <t>Державний</t>
        </is>
      </c>
      <c r="D567" t="inlineStr">
        <is>
          <t>5102</t>
        </is>
      </c>
      <c r="E567" t="inlineStr">
        <is>
          <t>(без привʼязки)</t>
        </is>
      </c>
      <c r="F56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67" t="inlineStr">
        <is>
          <t>А</t>
        </is>
      </c>
      <c r="H567" t="n">
        <v>126706.94988</v>
      </c>
      <c r="I567" t="n">
        <v>126706.94988</v>
      </c>
      <c r="J567" t="n">
        <v>0</v>
      </c>
      <c r="K567" t="n">
        <v>116132.23044</v>
      </c>
      <c r="L567" t="n">
        <v>116132.23044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2</t>
        </is>
      </c>
      <c r="B568" t="inlineStr">
        <is>
          <t>АТ "Укрексімбанк"</t>
        </is>
      </c>
      <c r="C568" t="inlineStr">
        <is>
          <t>Державний</t>
        </is>
      </c>
      <c r="D568" t="inlineStr">
        <is>
          <t>5102</t>
        </is>
      </c>
      <c r="E568" t="inlineStr">
        <is>
          <t>(без привʼязки)</t>
        </is>
      </c>
      <c r="F568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68" t="inlineStr">
        <is>
          <t>П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95248.72366</v>
      </c>
      <c r="O568" t="n">
        <v>95248.72366</v>
      </c>
      <c r="P568" t="n">
        <v>0</v>
      </c>
    </row>
    <row r="569">
      <c r="A569" t="inlineStr">
        <is>
          <t>2</t>
        </is>
      </c>
      <c r="B569" t="inlineStr">
        <is>
          <t>АТ "Укрексімбанк"</t>
        </is>
      </c>
      <c r="C569" t="inlineStr">
        <is>
          <t>Державний</t>
        </is>
      </c>
      <c r="D569" t="inlineStr">
        <is>
          <t>5105</t>
        </is>
      </c>
      <c r="E569" t="inlineStr">
        <is>
          <t>(без привʼязки)</t>
        </is>
      </c>
      <c r="F569" t="inlineStr">
        <is>
          <t>Результати коригування вартості фінансових інструментів за операціями з акціонерами</t>
        </is>
      </c>
      <c r="G569" t="inlineStr">
        <is>
          <t>А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2</t>
        </is>
      </c>
      <c r="B570" t="inlineStr">
        <is>
          <t>АТ "Укрексімбанк"</t>
        </is>
      </c>
      <c r="C570" t="inlineStr">
        <is>
          <t>Державний</t>
        </is>
      </c>
      <c r="D570" t="inlineStr">
        <is>
          <t>5105</t>
        </is>
      </c>
      <c r="E570" t="inlineStr">
        <is>
          <t>(без привʼязки)</t>
        </is>
      </c>
      <c r="F570" t="inlineStr">
        <is>
          <t>Результати коригування вартості фінансових інструментів за операціями з акціонерами</t>
        </is>
      </c>
      <c r="G570" t="inlineStr">
        <is>
          <t>П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635103.73016</v>
      </c>
      <c r="O570" t="n">
        <v>635103.73016</v>
      </c>
      <c r="P570" t="n">
        <v>0</v>
      </c>
    </row>
    <row r="571">
      <c r="A571" t="inlineStr">
        <is>
          <t>2</t>
        </is>
      </c>
      <c r="B571" t="inlineStr">
        <is>
          <t>АТ "Укрексімбанк"</t>
        </is>
      </c>
      <c r="C571" t="inlineStr">
        <is>
          <t>Державний</t>
        </is>
      </c>
      <c r="D571" t="inlineStr">
        <is>
          <t>5106</t>
        </is>
      </c>
      <c r="E571" t="inlineStr">
        <is>
          <t>(без привʼязки)</t>
        </is>
      </c>
      <c r="F571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1" t="inlineStr">
        <is>
          <t>А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-53423.04069</v>
      </c>
      <c r="O571" t="n">
        <v>-53423.04069</v>
      </c>
      <c r="P571" t="n">
        <v>0</v>
      </c>
    </row>
    <row r="572">
      <c r="A572" t="inlineStr">
        <is>
          <t>2</t>
        </is>
      </c>
      <c r="B572" t="inlineStr">
        <is>
          <t>АТ "Укрексімбанк"</t>
        </is>
      </c>
      <c r="C572" t="inlineStr">
        <is>
          <t>Державний</t>
        </is>
      </c>
      <c r="D572" t="inlineStr">
        <is>
          <t>5106</t>
        </is>
      </c>
      <c r="E572" t="inlineStr">
        <is>
          <t>(без привʼязки)</t>
        </is>
      </c>
      <c r="F572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2" t="inlineStr">
        <is>
          <t>П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2</t>
        </is>
      </c>
      <c r="B573" t="inlineStr">
        <is>
          <t>АТ "Укрексімбанк"</t>
        </is>
      </c>
      <c r="C573" t="inlineStr">
        <is>
          <t>Державний</t>
        </is>
      </c>
      <c r="D573" t="inlineStr">
        <is>
          <t>5999</t>
        </is>
      </c>
      <c r="E573" t="inlineStr">
        <is>
          <t>(без привʼязки)</t>
        </is>
      </c>
      <c r="F573" t="inlineStr">
        <is>
          <t>5999</t>
        </is>
      </c>
      <c r="G573" t="inlineStr">
        <is>
          <t>П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8453586.72724</v>
      </c>
      <c r="O573" t="n">
        <v>8453586.72724</v>
      </c>
      <c r="P573" t="n">
        <v>0</v>
      </c>
    </row>
    <row r="574">
      <c r="A574" t="inlineStr">
        <is>
          <t>2</t>
        </is>
      </c>
      <c r="B574" t="inlineStr">
        <is>
          <t>АТ "Укрексімбанк"</t>
        </is>
      </c>
      <c r="C574" t="inlineStr">
        <is>
          <t>Державний</t>
        </is>
      </c>
      <c r="D574" t="inlineStr">
        <is>
          <t>6000</t>
        </is>
      </c>
      <c r="E574" t="inlineStr">
        <is>
          <t>(без привʼязки)</t>
        </is>
      </c>
      <c r="F574" t="inlineStr">
        <is>
          <t>Процентні доходи за коштами на вимогу, що розміщені в Hаціональному банку України</t>
        </is>
      </c>
      <c r="G574" t="inlineStr">
        <is>
          <t>А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2</t>
        </is>
      </c>
      <c r="B575" t="inlineStr">
        <is>
          <t>АТ "Укрексімбанк"</t>
        </is>
      </c>
      <c r="C575" t="inlineStr">
        <is>
          <t>Державний</t>
        </is>
      </c>
      <c r="D575" t="inlineStr">
        <is>
          <t>6000</t>
        </is>
      </c>
      <c r="E575" t="inlineStr">
        <is>
          <t>Процентні доходи (коди р.60,р.61)</t>
        </is>
      </c>
      <c r="F575" t="inlineStr">
        <is>
          <t>Процентні доходи за коштами на вимогу, що розміщені в Hаціональному банку України</t>
        </is>
      </c>
      <c r="G575" t="inlineStr">
        <is>
          <t>А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2</t>
        </is>
      </c>
      <c r="B576" t="inlineStr">
        <is>
          <t>АТ "Укрексімбанк"</t>
        </is>
      </c>
      <c r="C576" t="inlineStr">
        <is>
          <t>Державний</t>
        </is>
      </c>
      <c r="D576" t="inlineStr">
        <is>
          <t>6000</t>
        </is>
      </c>
      <c r="E576" t="inlineStr">
        <is>
          <t>Загальні доходи (6)</t>
        </is>
      </c>
      <c r="F576" t="inlineStr">
        <is>
          <t>Процентні доходи за коштами на вимогу, що розміщені в Hаціональному банку України</t>
        </is>
      </c>
      <c r="G576" t="inlineStr">
        <is>
          <t>А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2</t>
        </is>
      </c>
      <c r="B577" t="inlineStr">
        <is>
          <t>АТ "Укрексімбанк"</t>
        </is>
      </c>
      <c r="C577" t="inlineStr">
        <is>
          <t>Державний</t>
        </is>
      </c>
      <c r="D577" t="inlineStr">
        <is>
          <t>6000</t>
        </is>
      </c>
      <c r="E577" t="inlineStr">
        <is>
          <t>(без привʼязки)</t>
        </is>
      </c>
      <c r="F577" t="inlineStr">
        <is>
          <t>Процентні доходи за коштами на вимогу, що розміщені в Hаціональному банку України</t>
        </is>
      </c>
      <c r="G577" t="inlineStr">
        <is>
          <t>П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1092.54662</v>
      </c>
      <c r="O577" t="n">
        <v>1092.54662</v>
      </c>
      <c r="P577" t="n">
        <v>0</v>
      </c>
    </row>
    <row r="578">
      <c r="A578" t="inlineStr">
        <is>
          <t>2</t>
        </is>
      </c>
      <c r="B578" t="inlineStr">
        <is>
          <t>АТ "Укрексімбанк"</t>
        </is>
      </c>
      <c r="C578" t="inlineStr">
        <is>
          <t>Державний</t>
        </is>
      </c>
      <c r="D578" t="inlineStr">
        <is>
          <t>6000</t>
        </is>
      </c>
      <c r="E578" t="inlineStr">
        <is>
          <t>Процентні доходи (коди р.60,р.61)</t>
        </is>
      </c>
      <c r="F578" t="inlineStr">
        <is>
          <t>Процентні доходи за коштами на вимогу, що розміщені в Hаціональному банку України</t>
        </is>
      </c>
      <c r="G578" t="inlineStr">
        <is>
          <t>П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1092.54662</v>
      </c>
      <c r="O578" t="n">
        <v>1092.54662</v>
      </c>
      <c r="P578" t="n">
        <v>0</v>
      </c>
    </row>
    <row r="579">
      <c r="A579" t="inlineStr">
        <is>
          <t>2</t>
        </is>
      </c>
      <c r="B579" t="inlineStr">
        <is>
          <t>АТ "Укрексімбанк"</t>
        </is>
      </c>
      <c r="C579" t="inlineStr">
        <is>
          <t>Державний</t>
        </is>
      </c>
      <c r="D579" t="inlineStr">
        <is>
          <t>6000</t>
        </is>
      </c>
      <c r="E579" t="inlineStr">
        <is>
          <t>Загальні доходи (6)</t>
        </is>
      </c>
      <c r="F579" t="inlineStr">
        <is>
          <t>Процентні доходи за коштами на вимогу, що розміщені в Hаціональному банку України</t>
        </is>
      </c>
      <c r="G579" t="inlineStr">
        <is>
          <t>П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1092.54662</v>
      </c>
      <c r="O579" t="n">
        <v>1092.54662</v>
      </c>
      <c r="P579" t="n">
        <v>0</v>
      </c>
    </row>
    <row r="580">
      <c r="A580" t="inlineStr">
        <is>
          <t>2</t>
        </is>
      </c>
      <c r="B580" t="inlineStr">
        <is>
          <t>АТ "Укрексімбанк"</t>
        </is>
      </c>
      <c r="C580" t="inlineStr">
        <is>
          <t>Державний</t>
        </is>
      </c>
      <c r="D580" t="inlineStr">
        <is>
          <t>6010</t>
        </is>
      </c>
      <c r="E580" t="inlineStr">
        <is>
          <t>(без привʼязки)</t>
        </is>
      </c>
      <c r="F580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0" t="inlineStr">
        <is>
          <t>А</t>
        </is>
      </c>
      <c r="H580" t="n">
        <v>0</v>
      </c>
      <c r="I580" t="n">
        <v>0</v>
      </c>
      <c r="J580" t="n">
        <v>0</v>
      </c>
      <c r="K580" t="n">
        <v>45332.80476</v>
      </c>
      <c r="L580" t="n">
        <v>45332.80476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2</t>
        </is>
      </c>
      <c r="B581" t="inlineStr">
        <is>
          <t>АТ "Укрексімбанк"</t>
        </is>
      </c>
      <c r="C581" t="inlineStr">
        <is>
          <t>Державний</t>
        </is>
      </c>
      <c r="D581" t="inlineStr">
        <is>
          <t>6010</t>
        </is>
      </c>
      <c r="E581" t="inlineStr">
        <is>
          <t>Процентні доходи (коди р.60,р.61)</t>
        </is>
      </c>
      <c r="F581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1" t="inlineStr">
        <is>
          <t>А</t>
        </is>
      </c>
      <c r="H581" t="n">
        <v>0</v>
      </c>
      <c r="I581" t="n">
        <v>0</v>
      </c>
      <c r="J581" t="n">
        <v>0</v>
      </c>
      <c r="K581" t="n">
        <v>45332.80476</v>
      </c>
      <c r="L581" t="n">
        <v>45332.80476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2</t>
        </is>
      </c>
      <c r="B582" t="inlineStr">
        <is>
          <t>АТ "Укрексімбанк"</t>
        </is>
      </c>
      <c r="C582" t="inlineStr">
        <is>
          <t>Державний</t>
        </is>
      </c>
      <c r="D582" t="inlineStr">
        <is>
          <t>6010</t>
        </is>
      </c>
      <c r="E582" t="inlineStr">
        <is>
          <t>Загальні доходи (6)</t>
        </is>
      </c>
      <c r="F582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2" t="inlineStr">
        <is>
          <t>А</t>
        </is>
      </c>
      <c r="H582" t="n">
        <v>0</v>
      </c>
      <c r="I582" t="n">
        <v>0</v>
      </c>
      <c r="J582" t="n">
        <v>0</v>
      </c>
      <c r="K582" t="n">
        <v>45332.80476</v>
      </c>
      <c r="L582" t="n">
        <v>45332.80476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2</t>
        </is>
      </c>
      <c r="B583" t="inlineStr">
        <is>
          <t>АТ "Укрексімбанк"</t>
        </is>
      </c>
      <c r="C583" t="inlineStr">
        <is>
          <t>Державний</t>
        </is>
      </c>
      <c r="D583" t="inlineStr">
        <is>
          <t>6010</t>
        </is>
      </c>
      <c r="E583" t="inlineStr">
        <is>
          <t>(без привʼязки)</t>
        </is>
      </c>
      <c r="F583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3" t="inlineStr">
        <is>
          <t>П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559211.44773</v>
      </c>
      <c r="O583" t="n">
        <v>559211.44773</v>
      </c>
      <c r="P583" t="n">
        <v>0</v>
      </c>
    </row>
    <row r="584">
      <c r="A584" t="inlineStr">
        <is>
          <t>2</t>
        </is>
      </c>
      <c r="B584" t="inlineStr">
        <is>
          <t>АТ "Укрексімбанк"</t>
        </is>
      </c>
      <c r="C584" t="inlineStr">
        <is>
          <t>Державний</t>
        </is>
      </c>
      <c r="D584" t="inlineStr">
        <is>
          <t>6010</t>
        </is>
      </c>
      <c r="E584" t="inlineStr">
        <is>
          <t>Процентні доходи (коди р.60,р.61)</t>
        </is>
      </c>
      <c r="F58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4" t="inlineStr">
        <is>
          <t>П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559211.44773</v>
      </c>
      <c r="O584" t="n">
        <v>559211.44773</v>
      </c>
      <c r="P584" t="n">
        <v>0</v>
      </c>
    </row>
    <row r="585">
      <c r="A585" t="inlineStr">
        <is>
          <t>2</t>
        </is>
      </c>
      <c r="B585" t="inlineStr">
        <is>
          <t>АТ "Укрексімбанк"</t>
        </is>
      </c>
      <c r="C585" t="inlineStr">
        <is>
          <t>Державний</t>
        </is>
      </c>
      <c r="D585" t="inlineStr">
        <is>
          <t>6010</t>
        </is>
      </c>
      <c r="E585" t="inlineStr">
        <is>
          <t>Загальні доходи (6)</t>
        </is>
      </c>
      <c r="F585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5" t="inlineStr">
        <is>
          <t>П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559211.44773</v>
      </c>
      <c r="O585" t="n">
        <v>559211.44773</v>
      </c>
      <c r="P585" t="n">
        <v>0</v>
      </c>
    </row>
    <row r="586">
      <c r="A586" t="inlineStr">
        <is>
          <t>2</t>
        </is>
      </c>
      <c r="B586" t="inlineStr">
        <is>
          <t>АТ "Укрексімбанк"</t>
        </is>
      </c>
      <c r="C586" t="inlineStr">
        <is>
          <t>Державний</t>
        </is>
      </c>
      <c r="D586" t="inlineStr">
        <is>
          <t>6011</t>
        </is>
      </c>
      <c r="E586" t="inlineStr">
        <is>
          <t>(без привʼязки)</t>
        </is>
      </c>
      <c r="F586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6" t="inlineStr">
        <is>
          <t>А</t>
        </is>
      </c>
      <c r="H586" t="n">
        <v>0</v>
      </c>
      <c r="I586" t="n">
        <v>0</v>
      </c>
      <c r="J586" t="n">
        <v>0</v>
      </c>
      <c r="K586" t="n">
        <v>8462.870800000001</v>
      </c>
      <c r="L586" t="n">
        <v>8462.870800000001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2</t>
        </is>
      </c>
      <c r="B587" t="inlineStr">
        <is>
          <t>АТ "Укрексімбанк"</t>
        </is>
      </c>
      <c r="C587" t="inlineStr">
        <is>
          <t>Державний</t>
        </is>
      </c>
      <c r="D587" t="inlineStr">
        <is>
          <t>6011</t>
        </is>
      </c>
      <c r="E587" t="inlineStr">
        <is>
          <t>Процентні доходи (коди р.60,р.61)</t>
        </is>
      </c>
      <c r="F58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7" t="inlineStr">
        <is>
          <t>А</t>
        </is>
      </c>
      <c r="H587" t="n">
        <v>0</v>
      </c>
      <c r="I587" t="n">
        <v>0</v>
      </c>
      <c r="J587" t="n">
        <v>0</v>
      </c>
      <c r="K587" t="n">
        <v>8462.870800000001</v>
      </c>
      <c r="L587" t="n">
        <v>8462.870800000001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2</t>
        </is>
      </c>
      <c r="B588" t="inlineStr">
        <is>
          <t>АТ "Укрексімбанк"</t>
        </is>
      </c>
      <c r="C588" t="inlineStr">
        <is>
          <t>Державний</t>
        </is>
      </c>
      <c r="D588" t="inlineStr">
        <is>
          <t>6011</t>
        </is>
      </c>
      <c r="E588" t="inlineStr">
        <is>
          <t>Загальні доходи (6)</t>
        </is>
      </c>
      <c r="F588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8" t="inlineStr">
        <is>
          <t>А</t>
        </is>
      </c>
      <c r="H588" t="n">
        <v>0</v>
      </c>
      <c r="I588" t="n">
        <v>0</v>
      </c>
      <c r="J588" t="n">
        <v>0</v>
      </c>
      <c r="K588" t="n">
        <v>8462.870800000001</v>
      </c>
      <c r="L588" t="n">
        <v>8462.870800000001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2</t>
        </is>
      </c>
      <c r="B589" t="inlineStr">
        <is>
          <t>АТ "Укрексімбанк"</t>
        </is>
      </c>
      <c r="C589" t="inlineStr">
        <is>
          <t>Державний</t>
        </is>
      </c>
      <c r="D589" t="inlineStr">
        <is>
          <t>6011</t>
        </is>
      </c>
      <c r="E589" t="inlineStr">
        <is>
          <t>(без привʼязки)</t>
        </is>
      </c>
      <c r="F589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9" t="inlineStr">
        <is>
          <t>П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69797.33881</v>
      </c>
      <c r="O589" t="n">
        <v>69797.33881</v>
      </c>
      <c r="P589" t="n">
        <v>0</v>
      </c>
    </row>
    <row r="590">
      <c r="A590" t="inlineStr">
        <is>
          <t>2</t>
        </is>
      </c>
      <c r="B590" t="inlineStr">
        <is>
          <t>АТ "Укрексімбанк"</t>
        </is>
      </c>
      <c r="C590" t="inlineStr">
        <is>
          <t>Державний</t>
        </is>
      </c>
      <c r="D590" t="inlineStr">
        <is>
          <t>6011</t>
        </is>
      </c>
      <c r="E590" t="inlineStr">
        <is>
          <t>Процентні доходи (коди р.60,р.61)</t>
        </is>
      </c>
      <c r="F590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90" t="inlineStr">
        <is>
          <t>П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69797.33881</v>
      </c>
      <c r="O590" t="n">
        <v>69797.33881</v>
      </c>
      <c r="P590" t="n">
        <v>0</v>
      </c>
    </row>
    <row r="591">
      <c r="A591" t="inlineStr">
        <is>
          <t>2</t>
        </is>
      </c>
      <c r="B591" t="inlineStr">
        <is>
          <t>АТ "Укрексімбанк"</t>
        </is>
      </c>
      <c r="C591" t="inlineStr">
        <is>
          <t>Державний</t>
        </is>
      </c>
      <c r="D591" t="inlineStr">
        <is>
          <t>6011</t>
        </is>
      </c>
      <c r="E591" t="inlineStr">
        <is>
          <t>Загальні доходи (6)</t>
        </is>
      </c>
      <c r="F591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91" t="inlineStr">
        <is>
          <t>П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69797.33881</v>
      </c>
      <c r="O591" t="n">
        <v>69797.33881</v>
      </c>
      <c r="P591" t="n">
        <v>0</v>
      </c>
    </row>
    <row r="592">
      <c r="A592" t="inlineStr">
        <is>
          <t>2</t>
        </is>
      </c>
      <c r="B592" t="inlineStr">
        <is>
          <t>АТ "Укрексімбанк"</t>
        </is>
      </c>
      <c r="C592" t="inlineStr">
        <is>
          <t>Державний</t>
        </is>
      </c>
      <c r="D592" t="inlineStr">
        <is>
          <t>6012</t>
        </is>
      </c>
      <c r="E592" t="inlineStr">
        <is>
          <t>(без привʼязки)</t>
        </is>
      </c>
      <c r="F592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2" t="inlineStr">
        <is>
          <t>А</t>
        </is>
      </c>
      <c r="H592" t="n">
        <v>3.80329</v>
      </c>
      <c r="I592" t="n">
        <v>3.80329</v>
      </c>
      <c r="J592" t="n">
        <v>0</v>
      </c>
      <c r="K592" t="n">
        <v>44385.93083</v>
      </c>
      <c r="L592" t="n">
        <v>44385.93083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2</t>
        </is>
      </c>
      <c r="B593" t="inlineStr">
        <is>
          <t>АТ "Укрексімбанк"</t>
        </is>
      </c>
      <c r="C593" t="inlineStr">
        <is>
          <t>Державний</t>
        </is>
      </c>
      <c r="D593" t="inlineStr">
        <is>
          <t>6012</t>
        </is>
      </c>
      <c r="E593" t="inlineStr">
        <is>
          <t>Процентні доходи (коди р.60,р.61)</t>
        </is>
      </c>
      <c r="F593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3" t="inlineStr">
        <is>
          <t>А</t>
        </is>
      </c>
      <c r="H593" t="n">
        <v>3.80329</v>
      </c>
      <c r="I593" t="n">
        <v>3.80329</v>
      </c>
      <c r="J593" t="n">
        <v>0</v>
      </c>
      <c r="K593" t="n">
        <v>44385.93083</v>
      </c>
      <c r="L593" t="n">
        <v>44385.93083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2</t>
        </is>
      </c>
      <c r="B594" t="inlineStr">
        <is>
          <t>АТ "Укрексімбанк"</t>
        </is>
      </c>
      <c r="C594" t="inlineStr">
        <is>
          <t>Державний</t>
        </is>
      </c>
      <c r="D594" t="inlineStr">
        <is>
          <t>6012</t>
        </is>
      </c>
      <c r="E594" t="inlineStr">
        <is>
          <t>Загальні доходи (6)</t>
        </is>
      </c>
      <c r="F59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4" t="inlineStr">
        <is>
          <t>А</t>
        </is>
      </c>
      <c r="H594" t="n">
        <v>3.80329</v>
      </c>
      <c r="I594" t="n">
        <v>3.80329</v>
      </c>
      <c r="J594" t="n">
        <v>0</v>
      </c>
      <c r="K594" t="n">
        <v>44385.93083</v>
      </c>
      <c r="L594" t="n">
        <v>44385.93083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2</t>
        </is>
      </c>
      <c r="B595" t="inlineStr">
        <is>
          <t>АТ "Укрексімбанк"</t>
        </is>
      </c>
      <c r="C595" t="inlineStr">
        <is>
          <t>Державний</t>
        </is>
      </c>
      <c r="D595" t="inlineStr">
        <is>
          <t>6012</t>
        </is>
      </c>
      <c r="E595" t="inlineStr">
        <is>
          <t>(без привʼязки)</t>
        </is>
      </c>
      <c r="F59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5" t="inlineStr">
        <is>
          <t>П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521736.51233</v>
      </c>
      <c r="O595" t="n">
        <v>521736.51233</v>
      </c>
      <c r="P595" t="n">
        <v>0</v>
      </c>
    </row>
    <row r="596">
      <c r="A596" t="inlineStr">
        <is>
          <t>2</t>
        </is>
      </c>
      <c r="B596" t="inlineStr">
        <is>
          <t>АТ "Укрексімбанк"</t>
        </is>
      </c>
      <c r="C596" t="inlineStr">
        <is>
          <t>Державний</t>
        </is>
      </c>
      <c r="D596" t="inlineStr">
        <is>
          <t>6012</t>
        </is>
      </c>
      <c r="E596" t="inlineStr">
        <is>
          <t>Процентні доходи (коди р.60,р.61)</t>
        </is>
      </c>
      <c r="F596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6" t="inlineStr">
        <is>
          <t>П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521736.51233</v>
      </c>
      <c r="O596" t="n">
        <v>521736.51233</v>
      </c>
      <c r="P596" t="n">
        <v>0</v>
      </c>
    </row>
    <row r="597">
      <c r="A597" t="inlineStr">
        <is>
          <t>2</t>
        </is>
      </c>
      <c r="B597" t="inlineStr">
        <is>
          <t>АТ "Укрексімбанк"</t>
        </is>
      </c>
      <c r="C597" t="inlineStr">
        <is>
          <t>Державний</t>
        </is>
      </c>
      <c r="D597" t="inlineStr">
        <is>
          <t>6012</t>
        </is>
      </c>
      <c r="E597" t="inlineStr">
        <is>
          <t>Загальні доходи (6)</t>
        </is>
      </c>
      <c r="F59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7" t="inlineStr">
        <is>
          <t>П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521736.51233</v>
      </c>
      <c r="O597" t="n">
        <v>521736.51233</v>
      </c>
      <c r="P597" t="n">
        <v>0</v>
      </c>
    </row>
    <row r="598">
      <c r="A598" t="inlineStr">
        <is>
          <t>2</t>
        </is>
      </c>
      <c r="B598" t="inlineStr">
        <is>
          <t>АТ "Укрексімбанк"</t>
        </is>
      </c>
      <c r="C598" t="inlineStr">
        <is>
          <t>Державний</t>
        </is>
      </c>
      <c r="D598" t="inlineStr">
        <is>
          <t>6013</t>
        </is>
      </c>
      <c r="E598" t="inlineStr">
        <is>
          <t>(без привʼязки)</t>
        </is>
      </c>
      <c r="F598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98" t="inlineStr">
        <is>
          <t>А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2</t>
        </is>
      </c>
      <c r="B599" t="inlineStr">
        <is>
          <t>АТ "Укрексімбанк"</t>
        </is>
      </c>
      <c r="C599" t="inlineStr">
        <is>
          <t>Державний</t>
        </is>
      </c>
      <c r="D599" t="inlineStr">
        <is>
          <t>6013</t>
        </is>
      </c>
      <c r="E599" t="inlineStr">
        <is>
          <t>Процентні доходи (коди р.60,р.61)</t>
        </is>
      </c>
      <c r="F599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99" t="inlineStr">
        <is>
          <t>А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2</t>
        </is>
      </c>
      <c r="B600" t="inlineStr">
        <is>
          <t>АТ "Укрексімбанк"</t>
        </is>
      </c>
      <c r="C600" t="inlineStr">
        <is>
          <t>Державний</t>
        </is>
      </c>
      <c r="D600" t="inlineStr">
        <is>
          <t>6013</t>
        </is>
      </c>
      <c r="E600" t="inlineStr">
        <is>
          <t>Загальні доходи (6)</t>
        </is>
      </c>
      <c r="F600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0" t="inlineStr">
        <is>
          <t>А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2</t>
        </is>
      </c>
      <c r="B601" t="inlineStr">
        <is>
          <t>АТ "Укрексімбанк"</t>
        </is>
      </c>
      <c r="C601" t="inlineStr">
        <is>
          <t>Державний</t>
        </is>
      </c>
      <c r="D601" t="inlineStr">
        <is>
          <t>6013</t>
        </is>
      </c>
      <c r="E601" t="inlineStr">
        <is>
          <t>(без привʼязки)</t>
        </is>
      </c>
      <c r="F601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1" t="inlineStr">
        <is>
          <t>П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2</t>
        </is>
      </c>
      <c r="B602" t="inlineStr">
        <is>
          <t>АТ "Укрексімбанк"</t>
        </is>
      </c>
      <c r="C602" t="inlineStr">
        <is>
          <t>Державний</t>
        </is>
      </c>
      <c r="D602" t="inlineStr">
        <is>
          <t>6013</t>
        </is>
      </c>
      <c r="E602" t="inlineStr">
        <is>
          <t>Процентні доходи (коди р.60,р.61)</t>
        </is>
      </c>
      <c r="F602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2" t="inlineStr">
        <is>
          <t>П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2</t>
        </is>
      </c>
      <c r="B603" t="inlineStr">
        <is>
          <t>АТ "Укрексімбанк"</t>
        </is>
      </c>
      <c r="C603" t="inlineStr">
        <is>
          <t>Державний</t>
        </is>
      </c>
      <c r="D603" t="inlineStr">
        <is>
          <t>6013</t>
        </is>
      </c>
      <c r="E603" t="inlineStr">
        <is>
          <t>Загальні доходи (6)</t>
        </is>
      </c>
      <c r="F603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3" t="inlineStr">
        <is>
          <t>П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2</t>
        </is>
      </c>
      <c r="B604" t="inlineStr">
        <is>
          <t>АТ "Укрексімбанк"</t>
        </is>
      </c>
      <c r="C604" t="inlineStr">
        <is>
          <t>Державний</t>
        </is>
      </c>
      <c r="D604" t="inlineStr">
        <is>
          <t>6014</t>
        </is>
      </c>
      <c r="E604" t="inlineStr">
        <is>
          <t>(без привʼязки)</t>
        </is>
      </c>
      <c r="F60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4" t="inlineStr">
        <is>
          <t>А</t>
        </is>
      </c>
      <c r="H604" t="n">
        <v>49.51601</v>
      </c>
      <c r="I604" t="n">
        <v>49.51601</v>
      </c>
      <c r="J604" t="n">
        <v>0</v>
      </c>
      <c r="K604" t="n">
        <v>0</v>
      </c>
      <c r="L604" t="n">
        <v>0</v>
      </c>
      <c r="M604" t="n">
        <v>0</v>
      </c>
      <c r="N604" t="n">
        <v>-364.21522</v>
      </c>
      <c r="O604" t="n">
        <v>-364.21522</v>
      </c>
      <c r="P604" t="n">
        <v>0</v>
      </c>
    </row>
    <row r="605">
      <c r="A605" t="inlineStr">
        <is>
          <t>2</t>
        </is>
      </c>
      <c r="B605" t="inlineStr">
        <is>
          <t>АТ "Укрексімбанк"</t>
        </is>
      </c>
      <c r="C605" t="inlineStr">
        <is>
          <t>Державний</t>
        </is>
      </c>
      <c r="D605" t="inlineStr">
        <is>
          <t>6014</t>
        </is>
      </c>
      <c r="E605" t="inlineStr">
        <is>
          <t>Процентні доходи (коди р.60,р.61)</t>
        </is>
      </c>
      <c r="F60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5" t="inlineStr">
        <is>
          <t>А</t>
        </is>
      </c>
      <c r="H605" t="n">
        <v>49.51601</v>
      </c>
      <c r="I605" t="n">
        <v>49.51601</v>
      </c>
      <c r="J605" t="n">
        <v>0</v>
      </c>
      <c r="K605" t="n">
        <v>0</v>
      </c>
      <c r="L605" t="n">
        <v>0</v>
      </c>
      <c r="M605" t="n">
        <v>0</v>
      </c>
      <c r="N605" t="n">
        <v>-364.21522</v>
      </c>
      <c r="O605" t="n">
        <v>-364.21522</v>
      </c>
      <c r="P605" t="n">
        <v>0</v>
      </c>
    </row>
    <row r="606">
      <c r="A606" t="inlineStr">
        <is>
          <t>2</t>
        </is>
      </c>
      <c r="B606" t="inlineStr">
        <is>
          <t>АТ "Укрексімбанк"</t>
        </is>
      </c>
      <c r="C606" t="inlineStr">
        <is>
          <t>Державний</t>
        </is>
      </c>
      <c r="D606" t="inlineStr">
        <is>
          <t>6014</t>
        </is>
      </c>
      <c r="E606" t="inlineStr">
        <is>
          <t>Загальні доходи (6)</t>
        </is>
      </c>
      <c r="F606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6" t="inlineStr">
        <is>
          <t>А</t>
        </is>
      </c>
      <c r="H606" t="n">
        <v>49.51601</v>
      </c>
      <c r="I606" t="n">
        <v>49.51601</v>
      </c>
      <c r="J606" t="n">
        <v>0</v>
      </c>
      <c r="K606" t="n">
        <v>0</v>
      </c>
      <c r="L606" t="n">
        <v>0</v>
      </c>
      <c r="M606" t="n">
        <v>0</v>
      </c>
      <c r="N606" t="n">
        <v>-364.21522</v>
      </c>
      <c r="O606" t="n">
        <v>-364.21522</v>
      </c>
      <c r="P606" t="n">
        <v>0</v>
      </c>
    </row>
    <row r="607">
      <c r="A607" t="inlineStr">
        <is>
          <t>2</t>
        </is>
      </c>
      <c r="B607" t="inlineStr">
        <is>
          <t>АТ "Укрексімбанк"</t>
        </is>
      </c>
      <c r="C607" t="inlineStr">
        <is>
          <t>Державний</t>
        </is>
      </c>
      <c r="D607" t="inlineStr">
        <is>
          <t>6014</t>
        </is>
      </c>
      <c r="E607" t="inlineStr">
        <is>
          <t>(без привʼязки)</t>
        </is>
      </c>
      <c r="F60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7" t="inlineStr">
        <is>
          <t>П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2</t>
        </is>
      </c>
      <c r="B608" t="inlineStr">
        <is>
          <t>АТ "Укрексімбанк"</t>
        </is>
      </c>
      <c r="C608" t="inlineStr">
        <is>
          <t>Державний</t>
        </is>
      </c>
      <c r="D608" t="inlineStr">
        <is>
          <t>6014</t>
        </is>
      </c>
      <c r="E608" t="inlineStr">
        <is>
          <t>Процентні доходи (коди р.60,р.61)</t>
        </is>
      </c>
      <c r="F608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8" t="inlineStr">
        <is>
          <t>П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2</t>
        </is>
      </c>
      <c r="B609" t="inlineStr">
        <is>
          <t>АТ "Укрексімбанк"</t>
        </is>
      </c>
      <c r="C609" t="inlineStr">
        <is>
          <t>Державний</t>
        </is>
      </c>
      <c r="D609" t="inlineStr">
        <is>
          <t>6014</t>
        </is>
      </c>
      <c r="E609" t="inlineStr">
        <is>
          <t>Загальні доходи (6)</t>
        </is>
      </c>
      <c r="F609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9" t="inlineStr">
        <is>
          <t>П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2</t>
        </is>
      </c>
      <c r="B610" t="inlineStr">
        <is>
          <t>АТ "Укрексімбанк"</t>
        </is>
      </c>
      <c r="C610" t="inlineStr">
        <is>
          <t>Державний</t>
        </is>
      </c>
      <c r="D610" t="inlineStr">
        <is>
          <t>6015</t>
        </is>
      </c>
      <c r="E610" t="inlineStr">
        <is>
          <t>(без привʼязки)</t>
        </is>
      </c>
      <c r="F610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0" t="inlineStr">
        <is>
          <t>А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2</t>
        </is>
      </c>
      <c r="B611" t="inlineStr">
        <is>
          <t>АТ "Укрексімбанк"</t>
        </is>
      </c>
      <c r="C611" t="inlineStr">
        <is>
          <t>Державний</t>
        </is>
      </c>
      <c r="D611" t="inlineStr">
        <is>
          <t>6015</t>
        </is>
      </c>
      <c r="E611" t="inlineStr">
        <is>
          <t>Процентні доходи (коди р.60,р.61)</t>
        </is>
      </c>
      <c r="F611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1" t="inlineStr">
        <is>
          <t>А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2</t>
        </is>
      </c>
      <c r="B612" t="inlineStr">
        <is>
          <t>АТ "Укрексімбанк"</t>
        </is>
      </c>
      <c r="C612" t="inlineStr">
        <is>
          <t>Державний</t>
        </is>
      </c>
      <c r="D612" t="inlineStr">
        <is>
          <t>6015</t>
        </is>
      </c>
      <c r="E612" t="inlineStr">
        <is>
          <t>Загальні доходи (6)</t>
        </is>
      </c>
      <c r="F612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2" t="inlineStr">
        <is>
          <t>А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2</t>
        </is>
      </c>
      <c r="B613" t="inlineStr">
        <is>
          <t>АТ "Укрексімбанк"</t>
        </is>
      </c>
      <c r="C613" t="inlineStr">
        <is>
          <t>Державний</t>
        </is>
      </c>
      <c r="D613" t="inlineStr">
        <is>
          <t>6015</t>
        </is>
      </c>
      <c r="E613" t="inlineStr">
        <is>
          <t>(без привʼязки)</t>
        </is>
      </c>
      <c r="F613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3" t="inlineStr">
        <is>
          <t>П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2</t>
        </is>
      </c>
      <c r="B614" t="inlineStr">
        <is>
          <t>АТ "Укрексімбанк"</t>
        </is>
      </c>
      <c r="C614" t="inlineStr">
        <is>
          <t>Державний</t>
        </is>
      </c>
      <c r="D614" t="inlineStr">
        <is>
          <t>6015</t>
        </is>
      </c>
      <c r="E614" t="inlineStr">
        <is>
          <t>Процентні доходи (коди р.60,р.61)</t>
        </is>
      </c>
      <c r="F6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4" t="inlineStr">
        <is>
          <t>П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2</t>
        </is>
      </c>
      <c r="B615" t="inlineStr">
        <is>
          <t>АТ "Укрексімбанк"</t>
        </is>
      </c>
      <c r="C615" t="inlineStr">
        <is>
          <t>Державний</t>
        </is>
      </c>
      <c r="D615" t="inlineStr">
        <is>
          <t>6015</t>
        </is>
      </c>
      <c r="E615" t="inlineStr">
        <is>
          <t>Загальні доходи (6)</t>
        </is>
      </c>
      <c r="F615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5" t="inlineStr">
        <is>
          <t>П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2</t>
        </is>
      </c>
      <c r="B616" t="inlineStr">
        <is>
          <t>АТ "Укрексімбанк"</t>
        </is>
      </c>
      <c r="C616" t="inlineStr">
        <is>
          <t>Державний</t>
        </is>
      </c>
      <c r="D616" t="inlineStr">
        <is>
          <t>6020</t>
        </is>
      </c>
      <c r="E616" t="inlineStr">
        <is>
          <t>(без привʼязки)</t>
        </is>
      </c>
      <c r="F616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6" t="inlineStr">
        <is>
          <t>А</t>
        </is>
      </c>
      <c r="H616" t="n">
        <v>0.36733</v>
      </c>
      <c r="I616" t="n">
        <v>0.36733</v>
      </c>
      <c r="J616" t="n">
        <v>0</v>
      </c>
      <c r="K616" t="n">
        <v>5801.48744</v>
      </c>
      <c r="L616" t="n">
        <v>5801.48744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2</t>
        </is>
      </c>
      <c r="B617" t="inlineStr">
        <is>
          <t>АТ "Укрексімбанк"</t>
        </is>
      </c>
      <c r="C617" t="inlineStr">
        <is>
          <t>Державний</t>
        </is>
      </c>
      <c r="D617" t="inlineStr">
        <is>
          <t>6020</t>
        </is>
      </c>
      <c r="E617" t="inlineStr">
        <is>
          <t>Процентні доходи (коди р.60,р.61)</t>
        </is>
      </c>
      <c r="F61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7" t="inlineStr">
        <is>
          <t>А</t>
        </is>
      </c>
      <c r="H617" t="n">
        <v>0.36733</v>
      </c>
      <c r="I617" t="n">
        <v>0.36733</v>
      </c>
      <c r="J617" t="n">
        <v>0</v>
      </c>
      <c r="K617" t="n">
        <v>5801.48744</v>
      </c>
      <c r="L617" t="n">
        <v>5801.48744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2</t>
        </is>
      </c>
      <c r="B618" t="inlineStr">
        <is>
          <t>АТ "Укрексімбанк"</t>
        </is>
      </c>
      <c r="C618" t="inlineStr">
        <is>
          <t>Державний</t>
        </is>
      </c>
      <c r="D618" t="inlineStr">
        <is>
          <t>6020</t>
        </is>
      </c>
      <c r="E618" t="inlineStr">
        <is>
          <t>Проценти за кредитами НК (коди 602, 603, 609)</t>
        </is>
      </c>
      <c r="F618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8" t="inlineStr">
        <is>
          <t>А</t>
        </is>
      </c>
      <c r="H618" t="n">
        <v>0.36733</v>
      </c>
      <c r="I618" t="n">
        <v>0.36733</v>
      </c>
      <c r="J618" t="n">
        <v>0</v>
      </c>
      <c r="K618" t="n">
        <v>5801.48744</v>
      </c>
      <c r="L618" t="n">
        <v>5801.48744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2</t>
        </is>
      </c>
      <c r="B619" t="inlineStr">
        <is>
          <t>АТ "Укрексімбанк"</t>
        </is>
      </c>
      <c r="C619" t="inlineStr">
        <is>
          <t>Державний</t>
        </is>
      </c>
      <c r="D619" t="inlineStr">
        <is>
          <t>6020</t>
        </is>
      </c>
      <c r="E619" t="inlineStr">
        <is>
          <t>Загальні доходи (6)</t>
        </is>
      </c>
      <c r="F619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9" t="inlineStr">
        <is>
          <t>А</t>
        </is>
      </c>
      <c r="H619" t="n">
        <v>0.36733</v>
      </c>
      <c r="I619" t="n">
        <v>0.36733</v>
      </c>
      <c r="J619" t="n">
        <v>0</v>
      </c>
      <c r="K619" t="n">
        <v>5801.48744</v>
      </c>
      <c r="L619" t="n">
        <v>5801.48744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2</t>
        </is>
      </c>
      <c r="B620" t="inlineStr">
        <is>
          <t>АТ "Укрексімбанк"</t>
        </is>
      </c>
      <c r="C620" t="inlineStr">
        <is>
          <t>Державний</t>
        </is>
      </c>
      <c r="D620" t="inlineStr">
        <is>
          <t>6020</t>
        </is>
      </c>
      <c r="E620" t="inlineStr">
        <is>
          <t>(без привʼязки)</t>
        </is>
      </c>
      <c r="F620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0" t="inlineStr">
        <is>
          <t>П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69451.21752999999</v>
      </c>
      <c r="O620" t="n">
        <v>69451.21752999999</v>
      </c>
      <c r="P620" t="n">
        <v>0</v>
      </c>
    </row>
    <row r="621">
      <c r="A621" t="inlineStr">
        <is>
          <t>2</t>
        </is>
      </c>
      <c r="B621" t="inlineStr">
        <is>
          <t>АТ "Укрексімбанк"</t>
        </is>
      </c>
      <c r="C621" t="inlineStr">
        <is>
          <t>Державний</t>
        </is>
      </c>
      <c r="D621" t="inlineStr">
        <is>
          <t>6020</t>
        </is>
      </c>
      <c r="E621" t="inlineStr">
        <is>
          <t>Процентні доходи (коди р.60,р.61)</t>
        </is>
      </c>
      <c r="F621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1" t="inlineStr">
        <is>
          <t>П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69451.21752999999</v>
      </c>
      <c r="O621" t="n">
        <v>69451.21752999999</v>
      </c>
      <c r="P621" t="n">
        <v>0</v>
      </c>
    </row>
    <row r="622">
      <c r="A622" t="inlineStr">
        <is>
          <t>2</t>
        </is>
      </c>
      <c r="B622" t="inlineStr">
        <is>
          <t>АТ "Укрексімбанк"</t>
        </is>
      </c>
      <c r="C622" t="inlineStr">
        <is>
          <t>Державний</t>
        </is>
      </c>
      <c r="D622" t="inlineStr">
        <is>
          <t>6020</t>
        </is>
      </c>
      <c r="E622" t="inlineStr">
        <is>
          <t>Проценти за кредитами НК (коди 602, 603, 609)</t>
        </is>
      </c>
      <c r="F622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2" t="inlineStr">
        <is>
          <t>П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69451.21752999999</v>
      </c>
      <c r="O622" t="n">
        <v>69451.21752999999</v>
      </c>
      <c r="P622" t="n">
        <v>0</v>
      </c>
    </row>
    <row r="623">
      <c r="A623" t="inlineStr">
        <is>
          <t>2</t>
        </is>
      </c>
      <c r="B623" t="inlineStr">
        <is>
          <t>АТ "Укрексімбанк"</t>
        </is>
      </c>
      <c r="C623" t="inlineStr">
        <is>
          <t>Державний</t>
        </is>
      </c>
      <c r="D623" t="inlineStr">
        <is>
          <t>6020</t>
        </is>
      </c>
      <c r="E623" t="inlineStr">
        <is>
          <t>Загальні доходи (6)</t>
        </is>
      </c>
      <c r="F623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3" t="inlineStr">
        <is>
          <t>П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69451.21752999999</v>
      </c>
      <c r="O623" t="n">
        <v>69451.21752999999</v>
      </c>
      <c r="P623" t="n">
        <v>0</v>
      </c>
    </row>
    <row r="624">
      <c r="A624" t="inlineStr">
        <is>
          <t>2</t>
        </is>
      </c>
      <c r="B624" t="inlineStr">
        <is>
          <t>АТ "Укрексімбанк"</t>
        </is>
      </c>
      <c r="C624" t="inlineStr">
        <is>
          <t>Державний</t>
        </is>
      </c>
      <c r="D624" t="inlineStr">
        <is>
          <t>6021</t>
        </is>
      </c>
      <c r="E624" t="inlineStr">
        <is>
          <t>(без привʼязки)</t>
        </is>
      </c>
      <c r="F62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4" t="inlineStr">
        <is>
          <t>А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2</t>
        </is>
      </c>
      <c r="B625" t="inlineStr">
        <is>
          <t>АТ "Укрексімбанк"</t>
        </is>
      </c>
      <c r="C625" t="inlineStr">
        <is>
          <t>Державний</t>
        </is>
      </c>
      <c r="D625" t="inlineStr">
        <is>
          <t>6021</t>
        </is>
      </c>
      <c r="E625" t="inlineStr">
        <is>
          <t>Процентні доходи (коди р.60,р.61)</t>
        </is>
      </c>
      <c r="F62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5" t="inlineStr">
        <is>
          <t>А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2</t>
        </is>
      </c>
      <c r="B626" t="inlineStr">
        <is>
          <t>АТ "Укрексімбанк"</t>
        </is>
      </c>
      <c r="C626" t="inlineStr">
        <is>
          <t>Державний</t>
        </is>
      </c>
      <c r="D626" t="inlineStr">
        <is>
          <t>6021</t>
        </is>
      </c>
      <c r="E626" t="inlineStr">
        <is>
          <t>Проценти за кредитами НК (коди 602, 603, 609)</t>
        </is>
      </c>
      <c r="F626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6" t="inlineStr">
        <is>
          <t>А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2</t>
        </is>
      </c>
      <c r="B627" t="inlineStr">
        <is>
          <t>АТ "Укрексімбанк"</t>
        </is>
      </c>
      <c r="C627" t="inlineStr">
        <is>
          <t>Державний</t>
        </is>
      </c>
      <c r="D627" t="inlineStr">
        <is>
          <t>6021</t>
        </is>
      </c>
      <c r="E627" t="inlineStr">
        <is>
          <t>Загальні доходи (6)</t>
        </is>
      </c>
      <c r="F62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7" t="inlineStr">
        <is>
          <t>А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2</t>
        </is>
      </c>
      <c r="B628" t="inlineStr">
        <is>
          <t>АТ "Укрексімбанк"</t>
        </is>
      </c>
      <c r="C628" t="inlineStr">
        <is>
          <t>Державний</t>
        </is>
      </c>
      <c r="D628" t="inlineStr">
        <is>
          <t>6021</t>
        </is>
      </c>
      <c r="E628" t="inlineStr">
        <is>
          <t>(без привʼязки)</t>
        </is>
      </c>
      <c r="F628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8" t="inlineStr">
        <is>
          <t>П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0.02362</v>
      </c>
      <c r="O628" t="n">
        <v>0.02362</v>
      </c>
      <c r="P628" t="n">
        <v>0</v>
      </c>
    </row>
    <row r="629">
      <c r="A629" t="inlineStr">
        <is>
          <t>2</t>
        </is>
      </c>
      <c r="B629" t="inlineStr">
        <is>
          <t>АТ "Укрексімбанк"</t>
        </is>
      </c>
      <c r="C629" t="inlineStr">
        <is>
          <t>Державний</t>
        </is>
      </c>
      <c r="D629" t="inlineStr">
        <is>
          <t>6021</t>
        </is>
      </c>
      <c r="E629" t="inlineStr">
        <is>
          <t>Процентні доходи (коди р.60,р.61)</t>
        </is>
      </c>
      <c r="F629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9" t="inlineStr">
        <is>
          <t>П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0.02362</v>
      </c>
      <c r="O629" t="n">
        <v>0.02362</v>
      </c>
      <c r="P629" t="n">
        <v>0</v>
      </c>
    </row>
    <row r="630">
      <c r="A630" t="inlineStr">
        <is>
          <t>2</t>
        </is>
      </c>
      <c r="B630" t="inlineStr">
        <is>
          <t>АТ "Укрексімбанк"</t>
        </is>
      </c>
      <c r="C630" t="inlineStr">
        <is>
          <t>Державний</t>
        </is>
      </c>
      <c r="D630" t="inlineStr">
        <is>
          <t>6021</t>
        </is>
      </c>
      <c r="E630" t="inlineStr">
        <is>
          <t>Проценти за кредитами НК (коди 602, 603, 609)</t>
        </is>
      </c>
      <c r="F630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30" t="inlineStr">
        <is>
          <t>П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0.02362</v>
      </c>
      <c r="O630" t="n">
        <v>0.02362</v>
      </c>
      <c r="P630" t="n">
        <v>0</v>
      </c>
    </row>
    <row r="631">
      <c r="A631" t="inlineStr">
        <is>
          <t>2</t>
        </is>
      </c>
      <c r="B631" t="inlineStr">
        <is>
          <t>АТ "Укрексімбанк"</t>
        </is>
      </c>
      <c r="C631" t="inlineStr">
        <is>
          <t>Державний</t>
        </is>
      </c>
      <c r="D631" t="inlineStr">
        <is>
          <t>6021</t>
        </is>
      </c>
      <c r="E631" t="inlineStr">
        <is>
          <t>Загальні доходи (6)</t>
        </is>
      </c>
      <c r="F631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31" t="inlineStr">
        <is>
          <t>П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0.02362</v>
      </c>
      <c r="O631" t="n">
        <v>0.02362</v>
      </c>
      <c r="P631" t="n">
        <v>0</v>
      </c>
    </row>
    <row r="632">
      <c r="A632" t="inlineStr">
        <is>
          <t>2</t>
        </is>
      </c>
      <c r="B632" t="inlineStr">
        <is>
          <t>АТ "Укрексімбанк"</t>
        </is>
      </c>
      <c r="C632" t="inlineStr">
        <is>
          <t>Державний</t>
        </is>
      </c>
      <c r="D632" t="inlineStr">
        <is>
          <t>6022</t>
        </is>
      </c>
      <c r="E632" t="inlineStr">
        <is>
          <t>(без привʼязки)</t>
        </is>
      </c>
      <c r="F632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2" t="inlineStr">
        <is>
          <t>А</t>
        </is>
      </c>
      <c r="H632" t="n">
        <v>0</v>
      </c>
      <c r="I632" t="n">
        <v>0</v>
      </c>
      <c r="J632" t="n">
        <v>0</v>
      </c>
      <c r="K632" t="n">
        <v>42.7567</v>
      </c>
      <c r="L632" t="n">
        <v>42.7567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2</t>
        </is>
      </c>
      <c r="B633" t="inlineStr">
        <is>
          <t>АТ "Укрексімбанк"</t>
        </is>
      </c>
      <c r="C633" t="inlineStr">
        <is>
          <t>Державний</t>
        </is>
      </c>
      <c r="D633" t="inlineStr">
        <is>
          <t>6022</t>
        </is>
      </c>
      <c r="E633" t="inlineStr">
        <is>
          <t>Процентні доходи (коди р.60,р.61)</t>
        </is>
      </c>
      <c r="F633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3" t="inlineStr">
        <is>
          <t>А</t>
        </is>
      </c>
      <c r="H633" t="n">
        <v>0</v>
      </c>
      <c r="I633" t="n">
        <v>0</v>
      </c>
      <c r="J633" t="n">
        <v>0</v>
      </c>
      <c r="K633" t="n">
        <v>42.7567</v>
      </c>
      <c r="L633" t="n">
        <v>42.7567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2</t>
        </is>
      </c>
      <c r="B634" t="inlineStr">
        <is>
          <t>АТ "Укрексімбанк"</t>
        </is>
      </c>
      <c r="C634" t="inlineStr">
        <is>
          <t>Державний</t>
        </is>
      </c>
      <c r="D634" t="inlineStr">
        <is>
          <t>6022</t>
        </is>
      </c>
      <c r="E634" t="inlineStr">
        <is>
          <t>Проценти за кредитами НК (коди 602, 603, 609)</t>
        </is>
      </c>
      <c r="F63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4" t="inlineStr">
        <is>
          <t>А</t>
        </is>
      </c>
      <c r="H634" t="n">
        <v>0</v>
      </c>
      <c r="I634" t="n">
        <v>0</v>
      </c>
      <c r="J634" t="n">
        <v>0</v>
      </c>
      <c r="K634" t="n">
        <v>42.7567</v>
      </c>
      <c r="L634" t="n">
        <v>42.7567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2</t>
        </is>
      </c>
      <c r="B635" t="inlineStr">
        <is>
          <t>АТ "Укрексімбанк"</t>
        </is>
      </c>
      <c r="C635" t="inlineStr">
        <is>
          <t>Державний</t>
        </is>
      </c>
      <c r="D635" t="inlineStr">
        <is>
          <t>6022</t>
        </is>
      </c>
      <c r="E635" t="inlineStr">
        <is>
          <t>Загальні доходи (6)</t>
        </is>
      </c>
      <c r="F63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5" t="inlineStr">
        <is>
          <t>А</t>
        </is>
      </c>
      <c r="H635" t="n">
        <v>0</v>
      </c>
      <c r="I635" t="n">
        <v>0</v>
      </c>
      <c r="J635" t="n">
        <v>0</v>
      </c>
      <c r="K635" t="n">
        <v>42.7567</v>
      </c>
      <c r="L635" t="n">
        <v>42.7567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2</t>
        </is>
      </c>
      <c r="B636" t="inlineStr">
        <is>
          <t>АТ "Укрексімбанк"</t>
        </is>
      </c>
      <c r="C636" t="inlineStr">
        <is>
          <t>Державний</t>
        </is>
      </c>
      <c r="D636" t="inlineStr">
        <is>
          <t>6022</t>
        </is>
      </c>
      <c r="E636" t="inlineStr">
        <is>
          <t>(без привʼязки)</t>
        </is>
      </c>
      <c r="F636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6" t="inlineStr">
        <is>
          <t>П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9859.66792</v>
      </c>
      <c r="O636" t="n">
        <v>9859.66792</v>
      </c>
      <c r="P636" t="n">
        <v>0</v>
      </c>
    </row>
    <row r="637">
      <c r="A637" t="inlineStr">
        <is>
          <t>2</t>
        </is>
      </c>
      <c r="B637" t="inlineStr">
        <is>
          <t>АТ "Укрексімбанк"</t>
        </is>
      </c>
      <c r="C637" t="inlineStr">
        <is>
          <t>Державний</t>
        </is>
      </c>
      <c r="D637" t="inlineStr">
        <is>
          <t>6022</t>
        </is>
      </c>
      <c r="E637" t="inlineStr">
        <is>
          <t>Процентні доходи (коди р.60,р.61)</t>
        </is>
      </c>
      <c r="F63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7" t="inlineStr">
        <is>
          <t>П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9859.66792</v>
      </c>
      <c r="O637" t="n">
        <v>9859.66792</v>
      </c>
      <c r="P637" t="n">
        <v>0</v>
      </c>
    </row>
    <row r="638">
      <c r="A638" t="inlineStr">
        <is>
          <t>2</t>
        </is>
      </c>
      <c r="B638" t="inlineStr">
        <is>
          <t>АТ "Укрексімбанк"</t>
        </is>
      </c>
      <c r="C638" t="inlineStr">
        <is>
          <t>Державний</t>
        </is>
      </c>
      <c r="D638" t="inlineStr">
        <is>
          <t>6022</t>
        </is>
      </c>
      <c r="E638" t="inlineStr">
        <is>
          <t>Проценти за кредитами НК (коди 602, 603, 609)</t>
        </is>
      </c>
      <c r="F638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8" t="inlineStr">
        <is>
          <t>П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9859.66792</v>
      </c>
      <c r="O638" t="n">
        <v>9859.66792</v>
      </c>
      <c r="P638" t="n">
        <v>0</v>
      </c>
    </row>
    <row r="639">
      <c r="A639" t="inlineStr">
        <is>
          <t>2</t>
        </is>
      </c>
      <c r="B639" t="inlineStr">
        <is>
          <t>АТ "Укрексімбанк"</t>
        </is>
      </c>
      <c r="C639" t="inlineStr">
        <is>
          <t>Державний</t>
        </is>
      </c>
      <c r="D639" t="inlineStr">
        <is>
          <t>6022</t>
        </is>
      </c>
      <c r="E639" t="inlineStr">
        <is>
          <t>Загальні доходи (6)</t>
        </is>
      </c>
      <c r="F639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9" t="inlineStr">
        <is>
          <t>П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9859.66792</v>
      </c>
      <c r="O639" t="n">
        <v>9859.66792</v>
      </c>
      <c r="P639" t="n">
        <v>0</v>
      </c>
    </row>
    <row r="640">
      <c r="A640" t="inlineStr">
        <is>
          <t>2</t>
        </is>
      </c>
      <c r="B640" t="inlineStr">
        <is>
          <t>АТ "Укрексімбанк"</t>
        </is>
      </c>
      <c r="C640" t="inlineStr">
        <is>
          <t>Державний</t>
        </is>
      </c>
      <c r="D640" t="inlineStr">
        <is>
          <t>6023</t>
        </is>
      </c>
      <c r="E640" t="inlineStr">
        <is>
          <t>(без привʼязки)</t>
        </is>
      </c>
      <c r="F640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0" t="inlineStr">
        <is>
          <t>А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2</t>
        </is>
      </c>
      <c r="B641" t="inlineStr">
        <is>
          <t>АТ "Укрексімбанк"</t>
        </is>
      </c>
      <c r="C641" t="inlineStr">
        <is>
          <t>Державний</t>
        </is>
      </c>
      <c r="D641" t="inlineStr">
        <is>
          <t>6023</t>
        </is>
      </c>
      <c r="E641" t="inlineStr">
        <is>
          <t>Процентні доходи (коди р.60,р.61)</t>
        </is>
      </c>
      <c r="F641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1" t="inlineStr">
        <is>
          <t>А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2</t>
        </is>
      </c>
      <c r="B642" t="inlineStr">
        <is>
          <t>АТ "Укрексімбанк"</t>
        </is>
      </c>
      <c r="C642" t="inlineStr">
        <is>
          <t>Державний</t>
        </is>
      </c>
      <c r="D642" t="inlineStr">
        <is>
          <t>6023</t>
        </is>
      </c>
      <c r="E642" t="inlineStr">
        <is>
          <t>Проценти за кредитами НК (коди 602, 603, 609)</t>
        </is>
      </c>
      <c r="F642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2" t="inlineStr">
        <is>
          <t>А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2</t>
        </is>
      </c>
      <c r="B643" t="inlineStr">
        <is>
          <t>АТ "Укрексімбанк"</t>
        </is>
      </c>
      <c r="C643" t="inlineStr">
        <is>
          <t>Державний</t>
        </is>
      </c>
      <c r="D643" t="inlineStr">
        <is>
          <t>6023</t>
        </is>
      </c>
      <c r="E643" t="inlineStr">
        <is>
          <t>Загальні доходи (6)</t>
        </is>
      </c>
      <c r="F643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3" t="inlineStr">
        <is>
          <t>А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inlineStr">
        <is>
          <t>2</t>
        </is>
      </c>
      <c r="B644" t="inlineStr">
        <is>
          <t>АТ "Укрексімбанк"</t>
        </is>
      </c>
      <c r="C644" t="inlineStr">
        <is>
          <t>Державний</t>
        </is>
      </c>
      <c r="D644" t="inlineStr">
        <is>
          <t>6023</t>
        </is>
      </c>
      <c r="E644" t="inlineStr">
        <is>
          <t>(без привʼязки)</t>
        </is>
      </c>
      <c r="F64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4" t="inlineStr">
        <is>
          <t>П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inlineStr">
        <is>
          <t>2</t>
        </is>
      </c>
      <c r="B645" t="inlineStr">
        <is>
          <t>АТ "Укрексімбанк"</t>
        </is>
      </c>
      <c r="C645" t="inlineStr">
        <is>
          <t>Державний</t>
        </is>
      </c>
      <c r="D645" t="inlineStr">
        <is>
          <t>6023</t>
        </is>
      </c>
      <c r="E645" t="inlineStr">
        <is>
          <t>Процентні доходи (коди р.60,р.61)</t>
        </is>
      </c>
      <c r="F64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5" t="inlineStr">
        <is>
          <t>П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2</t>
        </is>
      </c>
      <c r="B646" t="inlineStr">
        <is>
          <t>АТ "Укрексімбанк"</t>
        </is>
      </c>
      <c r="C646" t="inlineStr">
        <is>
          <t>Державний</t>
        </is>
      </c>
      <c r="D646" t="inlineStr">
        <is>
          <t>6023</t>
        </is>
      </c>
      <c r="E646" t="inlineStr">
        <is>
          <t>Проценти за кредитами НК (коди 602, 603, 609)</t>
        </is>
      </c>
      <c r="F64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6" t="inlineStr">
        <is>
          <t>П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inlineStr">
        <is>
          <t>2</t>
        </is>
      </c>
      <c r="B647" t="inlineStr">
        <is>
          <t>АТ "Укрексімбанк"</t>
        </is>
      </c>
      <c r="C647" t="inlineStr">
        <is>
          <t>Державний</t>
        </is>
      </c>
      <c r="D647" t="inlineStr">
        <is>
          <t>6023</t>
        </is>
      </c>
      <c r="E647" t="inlineStr">
        <is>
          <t>Загальні доходи (6)</t>
        </is>
      </c>
      <c r="F64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7" t="inlineStr">
        <is>
          <t>П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inlineStr">
        <is>
          <t>2</t>
        </is>
      </c>
      <c r="B648" t="inlineStr">
        <is>
          <t>АТ "Укрексімбанк"</t>
        </is>
      </c>
      <c r="C648" t="inlineStr">
        <is>
          <t>Державний</t>
        </is>
      </c>
      <c r="D648" t="inlineStr">
        <is>
          <t>6024</t>
        </is>
      </c>
      <c r="E648" t="inlineStr">
        <is>
          <t>(без привʼязки)</t>
        </is>
      </c>
      <c r="F648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48" t="inlineStr">
        <is>
          <t>А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inlineStr">
        <is>
          <t>2</t>
        </is>
      </c>
      <c r="B649" t="inlineStr">
        <is>
          <t>АТ "Укрексімбанк"</t>
        </is>
      </c>
      <c r="C649" t="inlineStr">
        <is>
          <t>Державний</t>
        </is>
      </c>
      <c r="D649" t="inlineStr">
        <is>
          <t>6024</t>
        </is>
      </c>
      <c r="E649" t="inlineStr">
        <is>
          <t>Процентні доходи (коди р.60,р.61)</t>
        </is>
      </c>
      <c r="F649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49" t="inlineStr">
        <is>
          <t>А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t="inlineStr">
        <is>
          <t>2</t>
        </is>
      </c>
      <c r="B650" t="inlineStr">
        <is>
          <t>АТ "Укрексімбанк"</t>
        </is>
      </c>
      <c r="C650" t="inlineStr">
        <is>
          <t>Державний</t>
        </is>
      </c>
      <c r="D650" t="inlineStr">
        <is>
          <t>6024</t>
        </is>
      </c>
      <c r="E650" t="inlineStr">
        <is>
          <t>Проценти за кредитами НК (коди 602, 603, 609)</t>
        </is>
      </c>
      <c r="F650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0" t="inlineStr">
        <is>
          <t>А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2</t>
        </is>
      </c>
      <c r="B651" t="inlineStr">
        <is>
          <t>АТ "Укрексімбанк"</t>
        </is>
      </c>
      <c r="C651" t="inlineStr">
        <is>
          <t>Державний</t>
        </is>
      </c>
      <c r="D651" t="inlineStr">
        <is>
          <t>6024</t>
        </is>
      </c>
      <c r="E651" t="inlineStr">
        <is>
          <t>Загальні доходи (6)</t>
        </is>
      </c>
      <c r="F65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1" t="inlineStr">
        <is>
          <t>А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inlineStr">
        <is>
          <t>2</t>
        </is>
      </c>
      <c r="B652" t="inlineStr">
        <is>
          <t>АТ "Укрексімбанк"</t>
        </is>
      </c>
      <c r="C652" t="inlineStr">
        <is>
          <t>Державний</t>
        </is>
      </c>
      <c r="D652" t="inlineStr">
        <is>
          <t>6024</t>
        </is>
      </c>
      <c r="E652" t="inlineStr">
        <is>
          <t>(без привʼязки)</t>
        </is>
      </c>
      <c r="F652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2" t="inlineStr">
        <is>
          <t>П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inlineStr">
        <is>
          <t>2</t>
        </is>
      </c>
      <c r="B653" t="inlineStr">
        <is>
          <t>АТ "Укрексімбанк"</t>
        </is>
      </c>
      <c r="C653" t="inlineStr">
        <is>
          <t>Державний</t>
        </is>
      </c>
      <c r="D653" t="inlineStr">
        <is>
          <t>6024</t>
        </is>
      </c>
      <c r="E653" t="inlineStr">
        <is>
          <t>Процентні доходи (коди р.60,р.61)</t>
        </is>
      </c>
      <c r="F653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3" t="inlineStr">
        <is>
          <t>П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>
        <is>
          <t>2</t>
        </is>
      </c>
      <c r="B654" t="inlineStr">
        <is>
          <t>АТ "Укрексімбанк"</t>
        </is>
      </c>
      <c r="C654" t="inlineStr">
        <is>
          <t>Державний</t>
        </is>
      </c>
      <c r="D654" t="inlineStr">
        <is>
          <t>6024</t>
        </is>
      </c>
      <c r="E654" t="inlineStr">
        <is>
          <t>Проценти за кредитами НК (коди 602, 603, 609)</t>
        </is>
      </c>
      <c r="F65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4" t="inlineStr">
        <is>
          <t>П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2</t>
        </is>
      </c>
      <c r="B655" t="inlineStr">
        <is>
          <t>АТ "Укрексімбанк"</t>
        </is>
      </c>
      <c r="C655" t="inlineStr">
        <is>
          <t>Державний</t>
        </is>
      </c>
      <c r="D655" t="inlineStr">
        <is>
          <t>6024</t>
        </is>
      </c>
      <c r="E655" t="inlineStr">
        <is>
          <t>Загальні доходи (6)</t>
        </is>
      </c>
      <c r="F65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5" t="inlineStr">
        <is>
          <t>П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inlineStr">
        <is>
          <t>2</t>
        </is>
      </c>
      <c r="B656" t="inlineStr">
        <is>
          <t>АТ "Укрексімбанк"</t>
        </is>
      </c>
      <c r="C656" t="inlineStr">
        <is>
          <t>Державний</t>
        </is>
      </c>
      <c r="D656" t="inlineStr">
        <is>
          <t>6025</t>
        </is>
      </c>
      <c r="E656" t="inlineStr">
        <is>
          <t>(без привʼязки)</t>
        </is>
      </c>
      <c r="F656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6" t="inlineStr">
        <is>
          <t>А</t>
        </is>
      </c>
      <c r="H656" t="n">
        <v>59447.52965</v>
      </c>
      <c r="I656" t="n">
        <v>59447.52965</v>
      </c>
      <c r="J656" t="n">
        <v>0</v>
      </c>
      <c r="K656" t="n">
        <v>915305.24703</v>
      </c>
      <c r="L656" t="n">
        <v>915305.24703</v>
      </c>
      <c r="M656" t="n">
        <v>0</v>
      </c>
      <c r="N656" t="n">
        <v>0</v>
      </c>
      <c r="O656" t="n">
        <v>0</v>
      </c>
      <c r="P656" t="n">
        <v>0</v>
      </c>
    </row>
    <row r="657">
      <c r="A657" t="inlineStr">
        <is>
          <t>2</t>
        </is>
      </c>
      <c r="B657" t="inlineStr">
        <is>
          <t>АТ "Укрексімбанк"</t>
        </is>
      </c>
      <c r="C657" t="inlineStr">
        <is>
          <t>Державний</t>
        </is>
      </c>
      <c r="D657" t="inlineStr">
        <is>
          <t>6025</t>
        </is>
      </c>
      <c r="E657" t="inlineStr">
        <is>
          <t>Процентні доходи (коди р.60,р.61)</t>
        </is>
      </c>
      <c r="F65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7" t="inlineStr">
        <is>
          <t>А</t>
        </is>
      </c>
      <c r="H657" t="n">
        <v>59447.52965</v>
      </c>
      <c r="I657" t="n">
        <v>59447.52965</v>
      </c>
      <c r="J657" t="n">
        <v>0</v>
      </c>
      <c r="K657" t="n">
        <v>915305.24703</v>
      </c>
      <c r="L657" t="n">
        <v>915305.24703</v>
      </c>
      <c r="M657" t="n">
        <v>0</v>
      </c>
      <c r="N657" t="n">
        <v>0</v>
      </c>
      <c r="O657" t="n">
        <v>0</v>
      </c>
      <c r="P657" t="n">
        <v>0</v>
      </c>
    </row>
    <row r="658">
      <c r="A658" t="inlineStr">
        <is>
          <t>2</t>
        </is>
      </c>
      <c r="B658" t="inlineStr">
        <is>
          <t>АТ "Укрексімбанк"</t>
        </is>
      </c>
      <c r="C658" t="inlineStr">
        <is>
          <t>Державний</t>
        </is>
      </c>
      <c r="D658" t="inlineStr">
        <is>
          <t>6025</t>
        </is>
      </c>
      <c r="E658" t="inlineStr">
        <is>
          <t>Проценти за кредитами НК (коди 602, 603, 609)</t>
        </is>
      </c>
      <c r="F658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8" t="inlineStr">
        <is>
          <t>А</t>
        </is>
      </c>
      <c r="H658" t="n">
        <v>59447.52965</v>
      </c>
      <c r="I658" t="n">
        <v>59447.52965</v>
      </c>
      <c r="J658" t="n">
        <v>0</v>
      </c>
      <c r="K658" t="n">
        <v>915305.24703</v>
      </c>
      <c r="L658" t="n">
        <v>915305.24703</v>
      </c>
      <c r="M658" t="n">
        <v>0</v>
      </c>
      <c r="N658" t="n">
        <v>0</v>
      </c>
      <c r="O658" t="n">
        <v>0</v>
      </c>
      <c r="P658" t="n">
        <v>0</v>
      </c>
    </row>
    <row r="659">
      <c r="A659" t="inlineStr">
        <is>
          <t>2</t>
        </is>
      </c>
      <c r="B659" t="inlineStr">
        <is>
          <t>АТ "Укрексімбанк"</t>
        </is>
      </c>
      <c r="C659" t="inlineStr">
        <is>
          <t>Державний</t>
        </is>
      </c>
      <c r="D659" t="inlineStr">
        <is>
          <t>6025</t>
        </is>
      </c>
      <c r="E659" t="inlineStr">
        <is>
          <t>Загальні доходи (6)</t>
        </is>
      </c>
      <c r="F659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9" t="inlineStr">
        <is>
          <t>А</t>
        </is>
      </c>
      <c r="H659" t="n">
        <v>59447.52965</v>
      </c>
      <c r="I659" t="n">
        <v>59447.52965</v>
      </c>
      <c r="J659" t="n">
        <v>0</v>
      </c>
      <c r="K659" t="n">
        <v>915305.24703</v>
      </c>
      <c r="L659" t="n">
        <v>915305.24703</v>
      </c>
      <c r="M659" t="n">
        <v>0</v>
      </c>
      <c r="N659" t="n">
        <v>0</v>
      </c>
      <c r="O659" t="n">
        <v>0</v>
      </c>
      <c r="P659" t="n">
        <v>0</v>
      </c>
    </row>
    <row r="660">
      <c r="A660" t="inlineStr">
        <is>
          <t>2</t>
        </is>
      </c>
      <c r="B660" t="inlineStr">
        <is>
          <t>АТ "Укрексімбанк"</t>
        </is>
      </c>
      <c r="C660" t="inlineStr">
        <is>
          <t>Державний</t>
        </is>
      </c>
      <c r="D660" t="inlineStr">
        <is>
          <t>6025</t>
        </is>
      </c>
      <c r="E660" t="inlineStr">
        <is>
          <t>(без привʼязки)</t>
        </is>
      </c>
      <c r="F660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0" t="inlineStr">
        <is>
          <t>П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8433626.86485</v>
      </c>
      <c r="O660" t="n">
        <v>8433626.86485</v>
      </c>
      <c r="P660" t="n">
        <v>0</v>
      </c>
    </row>
    <row r="661">
      <c r="A661" t="inlineStr">
        <is>
          <t>2</t>
        </is>
      </c>
      <c r="B661" t="inlineStr">
        <is>
          <t>АТ "Укрексімбанк"</t>
        </is>
      </c>
      <c r="C661" t="inlineStr">
        <is>
          <t>Державний</t>
        </is>
      </c>
      <c r="D661" t="inlineStr">
        <is>
          <t>6025</t>
        </is>
      </c>
      <c r="E661" t="inlineStr">
        <is>
          <t>Процентні доходи (коди р.60,р.61)</t>
        </is>
      </c>
      <c r="F661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1" t="inlineStr">
        <is>
          <t>П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8433626.86485</v>
      </c>
      <c r="O661" t="n">
        <v>8433626.86485</v>
      </c>
      <c r="P661" t="n">
        <v>0</v>
      </c>
    </row>
    <row r="662">
      <c r="A662" t="inlineStr">
        <is>
          <t>2</t>
        </is>
      </c>
      <c r="B662" t="inlineStr">
        <is>
          <t>АТ "Укрексімбанк"</t>
        </is>
      </c>
      <c r="C662" t="inlineStr">
        <is>
          <t>Державний</t>
        </is>
      </c>
      <c r="D662" t="inlineStr">
        <is>
          <t>6025</t>
        </is>
      </c>
      <c r="E662" t="inlineStr">
        <is>
          <t>Проценти за кредитами НК (коди 602, 603, 609)</t>
        </is>
      </c>
      <c r="F662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2" t="inlineStr">
        <is>
          <t>П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8433626.86485</v>
      </c>
      <c r="O662" t="n">
        <v>8433626.86485</v>
      </c>
      <c r="P662" t="n">
        <v>0</v>
      </c>
    </row>
    <row r="663">
      <c r="A663" t="inlineStr">
        <is>
          <t>2</t>
        </is>
      </c>
      <c r="B663" t="inlineStr">
        <is>
          <t>АТ "Укрексімбанк"</t>
        </is>
      </c>
      <c r="C663" t="inlineStr">
        <is>
          <t>Державний</t>
        </is>
      </c>
      <c r="D663" t="inlineStr">
        <is>
          <t>6025</t>
        </is>
      </c>
      <c r="E663" t="inlineStr">
        <is>
          <t>Загальні доходи (6)</t>
        </is>
      </c>
      <c r="F663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3" t="inlineStr">
        <is>
          <t>П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8433626.86485</v>
      </c>
      <c r="O663" t="n">
        <v>8433626.86485</v>
      </c>
      <c r="P663" t="n">
        <v>0</v>
      </c>
    </row>
    <row r="664">
      <c r="A664" t="inlineStr">
        <is>
          <t>2</t>
        </is>
      </c>
      <c r="B664" t="inlineStr">
        <is>
          <t>АТ "Укрексімбанк"</t>
        </is>
      </c>
      <c r="C664" t="inlineStr">
        <is>
          <t>Державний</t>
        </is>
      </c>
      <c r="D664" t="inlineStr">
        <is>
          <t>6026</t>
        </is>
      </c>
      <c r="E664" t="inlineStr">
        <is>
          <t>(без привʼязки)</t>
        </is>
      </c>
      <c r="F66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4" t="inlineStr">
        <is>
          <t>А</t>
        </is>
      </c>
      <c r="H664" t="n">
        <v>1310.46298</v>
      </c>
      <c r="I664" t="n">
        <v>1310.46298</v>
      </c>
      <c r="J664" t="n">
        <v>0</v>
      </c>
      <c r="K664" t="n">
        <v>13396.3924</v>
      </c>
      <c r="L664" t="n">
        <v>13396.3924</v>
      </c>
      <c r="M664" t="n">
        <v>0</v>
      </c>
      <c r="N664" t="n">
        <v>0</v>
      </c>
      <c r="O664" t="n">
        <v>0</v>
      </c>
      <c r="P664" t="n">
        <v>0</v>
      </c>
    </row>
    <row r="665">
      <c r="A665" t="inlineStr">
        <is>
          <t>2</t>
        </is>
      </c>
      <c r="B665" t="inlineStr">
        <is>
          <t>АТ "Укрексімбанк"</t>
        </is>
      </c>
      <c r="C665" t="inlineStr">
        <is>
          <t>Державний</t>
        </is>
      </c>
      <c r="D665" t="inlineStr">
        <is>
          <t>6026</t>
        </is>
      </c>
      <c r="E665" t="inlineStr">
        <is>
          <t>Процентні доходи (коди р.60,р.61)</t>
        </is>
      </c>
      <c r="F66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5" t="inlineStr">
        <is>
          <t>А</t>
        </is>
      </c>
      <c r="H665" t="n">
        <v>1310.46298</v>
      </c>
      <c r="I665" t="n">
        <v>1310.46298</v>
      </c>
      <c r="J665" t="n">
        <v>0</v>
      </c>
      <c r="K665" t="n">
        <v>13396.3924</v>
      </c>
      <c r="L665" t="n">
        <v>13396.3924</v>
      </c>
      <c r="M665" t="n">
        <v>0</v>
      </c>
      <c r="N665" t="n">
        <v>0</v>
      </c>
      <c r="O665" t="n">
        <v>0</v>
      </c>
      <c r="P665" t="n">
        <v>0</v>
      </c>
    </row>
    <row r="666">
      <c r="A666" t="inlineStr">
        <is>
          <t>2</t>
        </is>
      </c>
      <c r="B666" t="inlineStr">
        <is>
          <t>АТ "Укрексімбанк"</t>
        </is>
      </c>
      <c r="C666" t="inlineStr">
        <is>
          <t>Державний</t>
        </is>
      </c>
      <c r="D666" t="inlineStr">
        <is>
          <t>6026</t>
        </is>
      </c>
      <c r="E666" t="inlineStr">
        <is>
          <t>Проценти за кредитами НК (коди 602, 603, 609)</t>
        </is>
      </c>
      <c r="F666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6" t="inlineStr">
        <is>
          <t>А</t>
        </is>
      </c>
      <c r="H666" t="n">
        <v>1310.46298</v>
      </c>
      <c r="I666" t="n">
        <v>1310.46298</v>
      </c>
      <c r="J666" t="n">
        <v>0</v>
      </c>
      <c r="K666" t="n">
        <v>13396.3924</v>
      </c>
      <c r="L666" t="n">
        <v>13396.3924</v>
      </c>
      <c r="M666" t="n">
        <v>0</v>
      </c>
      <c r="N666" t="n">
        <v>0</v>
      </c>
      <c r="O666" t="n">
        <v>0</v>
      </c>
      <c r="P666" t="n">
        <v>0</v>
      </c>
    </row>
    <row r="667">
      <c r="A667" t="inlineStr">
        <is>
          <t>2</t>
        </is>
      </c>
      <c r="B667" t="inlineStr">
        <is>
          <t>АТ "Укрексімбанк"</t>
        </is>
      </c>
      <c r="C667" t="inlineStr">
        <is>
          <t>Державний</t>
        </is>
      </c>
      <c r="D667" t="inlineStr">
        <is>
          <t>6026</t>
        </is>
      </c>
      <c r="E667" t="inlineStr">
        <is>
          <t>Загальні доходи (6)</t>
        </is>
      </c>
      <c r="F66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7" t="inlineStr">
        <is>
          <t>А</t>
        </is>
      </c>
      <c r="H667" t="n">
        <v>1310.46298</v>
      </c>
      <c r="I667" t="n">
        <v>1310.46298</v>
      </c>
      <c r="J667" t="n">
        <v>0</v>
      </c>
      <c r="K667" t="n">
        <v>13396.3924</v>
      </c>
      <c r="L667" t="n">
        <v>13396.3924</v>
      </c>
      <c r="M667" t="n">
        <v>0</v>
      </c>
      <c r="N667" t="n">
        <v>0</v>
      </c>
      <c r="O667" t="n">
        <v>0</v>
      </c>
      <c r="P667" t="n">
        <v>0</v>
      </c>
    </row>
    <row r="668">
      <c r="A668" t="inlineStr">
        <is>
          <t>2</t>
        </is>
      </c>
      <c r="B668" t="inlineStr">
        <is>
          <t>АТ "Укрексімбанк"</t>
        </is>
      </c>
      <c r="C668" t="inlineStr">
        <is>
          <t>Державний</t>
        </is>
      </c>
      <c r="D668" t="inlineStr">
        <is>
          <t>6026</t>
        </is>
      </c>
      <c r="E668" t="inlineStr">
        <is>
          <t>(без привʼязки)</t>
        </is>
      </c>
      <c r="F668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8" t="inlineStr">
        <is>
          <t>П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142541.28464</v>
      </c>
      <c r="O668" t="n">
        <v>142541.28464</v>
      </c>
      <c r="P668" t="n">
        <v>0</v>
      </c>
    </row>
    <row r="669">
      <c r="A669" t="inlineStr">
        <is>
          <t>2</t>
        </is>
      </c>
      <c r="B669" t="inlineStr">
        <is>
          <t>АТ "Укрексімбанк"</t>
        </is>
      </c>
      <c r="C669" t="inlineStr">
        <is>
          <t>Державний</t>
        </is>
      </c>
      <c r="D669" t="inlineStr">
        <is>
          <t>6026</t>
        </is>
      </c>
      <c r="E669" t="inlineStr">
        <is>
          <t>Процентні доходи (коди р.60,р.61)</t>
        </is>
      </c>
      <c r="F669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9" t="inlineStr">
        <is>
          <t>П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142541.28464</v>
      </c>
      <c r="O669" t="n">
        <v>142541.28464</v>
      </c>
      <c r="P669" t="n">
        <v>0</v>
      </c>
    </row>
    <row r="670">
      <c r="A670" t="inlineStr">
        <is>
          <t>2</t>
        </is>
      </c>
      <c r="B670" t="inlineStr">
        <is>
          <t>АТ "Укрексімбанк"</t>
        </is>
      </c>
      <c r="C670" t="inlineStr">
        <is>
          <t>Державний</t>
        </is>
      </c>
      <c r="D670" t="inlineStr">
        <is>
          <t>6026</t>
        </is>
      </c>
      <c r="E670" t="inlineStr">
        <is>
          <t>Проценти за кредитами НК (коди 602, 603, 609)</t>
        </is>
      </c>
      <c r="F670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70" t="inlineStr">
        <is>
          <t>П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142541.28464</v>
      </c>
      <c r="O670" t="n">
        <v>142541.28464</v>
      </c>
      <c r="P670" t="n">
        <v>0</v>
      </c>
    </row>
    <row r="671">
      <c r="A671" t="inlineStr">
        <is>
          <t>2</t>
        </is>
      </c>
      <c r="B671" t="inlineStr">
        <is>
          <t>АТ "Укрексімбанк"</t>
        </is>
      </c>
      <c r="C671" t="inlineStr">
        <is>
          <t>Державний</t>
        </is>
      </c>
      <c r="D671" t="inlineStr">
        <is>
          <t>6026</t>
        </is>
      </c>
      <c r="E671" t="inlineStr">
        <is>
          <t>Загальні доходи (6)</t>
        </is>
      </c>
      <c r="F671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71" t="inlineStr">
        <is>
          <t>П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142541.28464</v>
      </c>
      <c r="O671" t="n">
        <v>142541.28464</v>
      </c>
      <c r="P671" t="n">
        <v>0</v>
      </c>
    </row>
    <row r="672">
      <c r="A672" t="inlineStr">
        <is>
          <t>2</t>
        </is>
      </c>
      <c r="B672" t="inlineStr">
        <is>
          <t>АТ "Укрексімбанк"</t>
        </is>
      </c>
      <c r="C672" t="inlineStr">
        <is>
          <t>Державний</t>
        </is>
      </c>
      <c r="D672" t="inlineStr">
        <is>
          <t>6027</t>
        </is>
      </c>
      <c r="E672" t="inlineStr">
        <is>
          <t>(без привʼязки)</t>
        </is>
      </c>
      <c r="F672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2" t="inlineStr">
        <is>
          <t>А</t>
        </is>
      </c>
      <c r="H672" t="n">
        <v>0.01589</v>
      </c>
      <c r="I672" t="n">
        <v>0.01589</v>
      </c>
      <c r="J672" t="n">
        <v>0</v>
      </c>
      <c r="K672" t="n">
        <v>176.88129</v>
      </c>
      <c r="L672" t="n">
        <v>176.88129</v>
      </c>
      <c r="M672" t="n">
        <v>0</v>
      </c>
      <c r="N672" t="n">
        <v>-95.99514000000001</v>
      </c>
      <c r="O672" t="n">
        <v>-95.99514000000001</v>
      </c>
      <c r="P672" t="n">
        <v>0</v>
      </c>
    </row>
    <row r="673">
      <c r="A673" t="inlineStr">
        <is>
          <t>2</t>
        </is>
      </c>
      <c r="B673" t="inlineStr">
        <is>
          <t>АТ "Укрексімбанк"</t>
        </is>
      </c>
      <c r="C673" t="inlineStr">
        <is>
          <t>Державний</t>
        </is>
      </c>
      <c r="D673" t="inlineStr">
        <is>
          <t>6027</t>
        </is>
      </c>
      <c r="E673" t="inlineStr">
        <is>
          <t>Процентні доходи (коди р.60,р.61)</t>
        </is>
      </c>
      <c r="F673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3" t="inlineStr">
        <is>
          <t>А</t>
        </is>
      </c>
      <c r="H673" t="n">
        <v>0.01589</v>
      </c>
      <c r="I673" t="n">
        <v>0.01589</v>
      </c>
      <c r="J673" t="n">
        <v>0</v>
      </c>
      <c r="K673" t="n">
        <v>176.88129</v>
      </c>
      <c r="L673" t="n">
        <v>176.88129</v>
      </c>
      <c r="M673" t="n">
        <v>0</v>
      </c>
      <c r="N673" t="n">
        <v>-95.99514000000001</v>
      </c>
      <c r="O673" t="n">
        <v>-95.99514000000001</v>
      </c>
      <c r="P673" t="n">
        <v>0</v>
      </c>
    </row>
    <row r="674">
      <c r="A674" t="inlineStr">
        <is>
          <t>2</t>
        </is>
      </c>
      <c r="B674" t="inlineStr">
        <is>
          <t>АТ "Укрексімбанк"</t>
        </is>
      </c>
      <c r="C674" t="inlineStr">
        <is>
          <t>Державний</t>
        </is>
      </c>
      <c r="D674" t="inlineStr">
        <is>
          <t>6027</t>
        </is>
      </c>
      <c r="E674" t="inlineStr">
        <is>
          <t>Проценти за кредитами НК (коди 602, 603, 609)</t>
        </is>
      </c>
      <c r="F67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4" t="inlineStr">
        <is>
          <t>А</t>
        </is>
      </c>
      <c r="H674" t="n">
        <v>0.01589</v>
      </c>
      <c r="I674" t="n">
        <v>0.01589</v>
      </c>
      <c r="J674" t="n">
        <v>0</v>
      </c>
      <c r="K674" t="n">
        <v>176.88129</v>
      </c>
      <c r="L674" t="n">
        <v>176.88129</v>
      </c>
      <c r="M674" t="n">
        <v>0</v>
      </c>
      <c r="N674" t="n">
        <v>-95.99514000000001</v>
      </c>
      <c r="O674" t="n">
        <v>-95.99514000000001</v>
      </c>
      <c r="P674" t="n">
        <v>0</v>
      </c>
    </row>
    <row r="675">
      <c r="A675" t="inlineStr">
        <is>
          <t>2</t>
        </is>
      </c>
      <c r="B675" t="inlineStr">
        <is>
          <t>АТ "Укрексімбанк"</t>
        </is>
      </c>
      <c r="C675" t="inlineStr">
        <is>
          <t>Державний</t>
        </is>
      </c>
      <c r="D675" t="inlineStr">
        <is>
          <t>6027</t>
        </is>
      </c>
      <c r="E675" t="inlineStr">
        <is>
          <t>Загальні доходи (6)</t>
        </is>
      </c>
      <c r="F67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5" t="inlineStr">
        <is>
          <t>А</t>
        </is>
      </c>
      <c r="H675" t="n">
        <v>0.01589</v>
      </c>
      <c r="I675" t="n">
        <v>0.01589</v>
      </c>
      <c r="J675" t="n">
        <v>0</v>
      </c>
      <c r="K675" t="n">
        <v>176.88129</v>
      </c>
      <c r="L675" t="n">
        <v>176.88129</v>
      </c>
      <c r="M675" t="n">
        <v>0</v>
      </c>
      <c r="N675" t="n">
        <v>-95.99514000000001</v>
      </c>
      <c r="O675" t="n">
        <v>-95.99514000000001</v>
      </c>
      <c r="P675" t="n">
        <v>0</v>
      </c>
    </row>
    <row r="676">
      <c r="A676" t="inlineStr">
        <is>
          <t>2</t>
        </is>
      </c>
      <c r="B676" t="inlineStr">
        <is>
          <t>АТ "Укрексімбанк"</t>
        </is>
      </c>
      <c r="C676" t="inlineStr">
        <is>
          <t>Державний</t>
        </is>
      </c>
      <c r="D676" t="inlineStr">
        <is>
          <t>6027</t>
        </is>
      </c>
      <c r="E676" t="inlineStr">
        <is>
          <t>(без привʼязки)</t>
        </is>
      </c>
      <c r="F676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6" t="inlineStr">
        <is>
          <t>П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2194.43442</v>
      </c>
      <c r="O676" t="n">
        <v>2194.43442</v>
      </c>
      <c r="P676" t="n">
        <v>0</v>
      </c>
    </row>
    <row r="677">
      <c r="A677" t="inlineStr">
        <is>
          <t>2</t>
        </is>
      </c>
      <c r="B677" t="inlineStr">
        <is>
          <t>АТ "Укрексімбанк"</t>
        </is>
      </c>
      <c r="C677" t="inlineStr">
        <is>
          <t>Державний</t>
        </is>
      </c>
      <c r="D677" t="inlineStr">
        <is>
          <t>6027</t>
        </is>
      </c>
      <c r="E677" t="inlineStr">
        <is>
          <t>Процентні доходи (коди р.60,р.61)</t>
        </is>
      </c>
      <c r="F67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7" t="inlineStr">
        <is>
          <t>П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2194.43442</v>
      </c>
      <c r="O677" t="n">
        <v>2194.43442</v>
      </c>
      <c r="P677" t="n">
        <v>0</v>
      </c>
    </row>
    <row r="678">
      <c r="A678" t="inlineStr">
        <is>
          <t>2</t>
        </is>
      </c>
      <c r="B678" t="inlineStr">
        <is>
          <t>АТ "Укрексімбанк"</t>
        </is>
      </c>
      <c r="C678" t="inlineStr">
        <is>
          <t>Державний</t>
        </is>
      </c>
      <c r="D678" t="inlineStr">
        <is>
          <t>6027</t>
        </is>
      </c>
      <c r="E678" t="inlineStr">
        <is>
          <t>Проценти за кредитами НК (коди 602, 603, 609)</t>
        </is>
      </c>
      <c r="F678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8" t="inlineStr">
        <is>
          <t>П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2194.43442</v>
      </c>
      <c r="O678" t="n">
        <v>2194.43442</v>
      </c>
      <c r="P678" t="n">
        <v>0</v>
      </c>
    </row>
    <row r="679">
      <c r="A679" t="inlineStr">
        <is>
          <t>2</t>
        </is>
      </c>
      <c r="B679" t="inlineStr">
        <is>
          <t>АТ "Укрексімбанк"</t>
        </is>
      </c>
      <c r="C679" t="inlineStr">
        <is>
          <t>Державний</t>
        </is>
      </c>
      <c r="D679" t="inlineStr">
        <is>
          <t>6027</t>
        </is>
      </c>
      <c r="E679" t="inlineStr">
        <is>
          <t>Загальні доходи (6)</t>
        </is>
      </c>
      <c r="F679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9" t="inlineStr">
        <is>
          <t>П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2194.43442</v>
      </c>
      <c r="O679" t="n">
        <v>2194.43442</v>
      </c>
      <c r="P679" t="n">
        <v>0</v>
      </c>
    </row>
    <row r="680">
      <c r="A680" t="inlineStr">
        <is>
          <t>2</t>
        </is>
      </c>
      <c r="B680" t="inlineStr">
        <is>
          <t>АТ "Укрексімбанк"</t>
        </is>
      </c>
      <c r="C680" t="inlineStr">
        <is>
          <t>Державний</t>
        </is>
      </c>
      <c r="D680" t="inlineStr">
        <is>
          <t>6033</t>
        </is>
      </c>
      <c r="E680" t="inlineStr">
        <is>
          <t>(без привʼязки)</t>
        </is>
      </c>
      <c r="F680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0" t="inlineStr">
        <is>
          <t>А</t>
        </is>
      </c>
      <c r="H680" t="n">
        <v>26292.303</v>
      </c>
      <c r="I680" t="n">
        <v>26292.303</v>
      </c>
      <c r="J680" t="n">
        <v>0</v>
      </c>
      <c r="K680" t="n">
        <v>59777.2746</v>
      </c>
      <c r="L680" t="n">
        <v>59777.2746</v>
      </c>
      <c r="M680" t="n">
        <v>0</v>
      </c>
      <c r="N680" t="n">
        <v>0</v>
      </c>
      <c r="O680" t="n">
        <v>0</v>
      </c>
      <c r="P680" t="n">
        <v>0</v>
      </c>
    </row>
    <row r="681">
      <c r="A681" t="inlineStr">
        <is>
          <t>2</t>
        </is>
      </c>
      <c r="B681" t="inlineStr">
        <is>
          <t>АТ "Укрексімбанк"</t>
        </is>
      </c>
      <c r="C681" t="inlineStr">
        <is>
          <t>Державний</t>
        </is>
      </c>
      <c r="D681" t="inlineStr">
        <is>
          <t>6033</t>
        </is>
      </c>
      <c r="E681" t="inlineStr">
        <is>
          <t>Процентні доходи (коди р.60,р.61)</t>
        </is>
      </c>
      <c r="F681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1" t="inlineStr">
        <is>
          <t>А</t>
        </is>
      </c>
      <c r="H681" t="n">
        <v>26292.303</v>
      </c>
      <c r="I681" t="n">
        <v>26292.303</v>
      </c>
      <c r="J681" t="n">
        <v>0</v>
      </c>
      <c r="K681" t="n">
        <v>59777.2746</v>
      </c>
      <c r="L681" t="n">
        <v>59777.2746</v>
      </c>
      <c r="M681" t="n">
        <v>0</v>
      </c>
      <c r="N681" t="n">
        <v>0</v>
      </c>
      <c r="O681" t="n">
        <v>0</v>
      </c>
      <c r="P681" t="n">
        <v>0</v>
      </c>
    </row>
    <row r="682">
      <c r="A682" t="inlineStr">
        <is>
          <t>2</t>
        </is>
      </c>
      <c r="B682" t="inlineStr">
        <is>
          <t>АТ "Укрексімбанк"</t>
        </is>
      </c>
      <c r="C682" t="inlineStr">
        <is>
          <t>Державний</t>
        </is>
      </c>
      <c r="D682" t="inlineStr">
        <is>
          <t>6033</t>
        </is>
      </c>
      <c r="E682" t="inlineStr">
        <is>
          <t>Проценти за кредитами НК (коди 602, 603, 609)</t>
        </is>
      </c>
      <c r="F682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2" t="inlineStr">
        <is>
          <t>А</t>
        </is>
      </c>
      <c r="H682" t="n">
        <v>26292.303</v>
      </c>
      <c r="I682" t="n">
        <v>26292.303</v>
      </c>
      <c r="J682" t="n">
        <v>0</v>
      </c>
      <c r="K682" t="n">
        <v>59777.2746</v>
      </c>
      <c r="L682" t="n">
        <v>59777.2746</v>
      </c>
      <c r="M682" t="n">
        <v>0</v>
      </c>
      <c r="N682" t="n">
        <v>0</v>
      </c>
      <c r="O682" t="n">
        <v>0</v>
      </c>
      <c r="P682" t="n">
        <v>0</v>
      </c>
    </row>
    <row r="683">
      <c r="A683" t="inlineStr">
        <is>
          <t>2</t>
        </is>
      </c>
      <c r="B683" t="inlineStr">
        <is>
          <t>АТ "Укрексімбанк"</t>
        </is>
      </c>
      <c r="C683" t="inlineStr">
        <is>
          <t>Державний</t>
        </is>
      </c>
      <c r="D683" t="inlineStr">
        <is>
          <t>6033</t>
        </is>
      </c>
      <c r="E683" t="inlineStr">
        <is>
          <t>Загальні доходи (6)</t>
        </is>
      </c>
      <c r="F683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3" t="inlineStr">
        <is>
          <t>А</t>
        </is>
      </c>
      <c r="H683" t="n">
        <v>26292.303</v>
      </c>
      <c r="I683" t="n">
        <v>26292.303</v>
      </c>
      <c r="J683" t="n">
        <v>0</v>
      </c>
      <c r="K683" t="n">
        <v>59777.2746</v>
      </c>
      <c r="L683" t="n">
        <v>59777.2746</v>
      </c>
      <c r="M683" t="n">
        <v>0</v>
      </c>
      <c r="N683" t="n">
        <v>0</v>
      </c>
      <c r="O683" t="n">
        <v>0</v>
      </c>
      <c r="P683" t="n">
        <v>0</v>
      </c>
    </row>
    <row r="684">
      <c r="A684" t="inlineStr">
        <is>
          <t>2</t>
        </is>
      </c>
      <c r="B684" t="inlineStr">
        <is>
          <t>АТ "Укрексімбанк"</t>
        </is>
      </c>
      <c r="C684" t="inlineStr">
        <is>
          <t>Державний</t>
        </is>
      </c>
      <c r="D684" t="inlineStr">
        <is>
          <t>6033</t>
        </is>
      </c>
      <c r="E684" t="inlineStr">
        <is>
          <t>(без привʼязки)</t>
        </is>
      </c>
      <c r="F68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4" t="inlineStr">
        <is>
          <t>П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470329.67307</v>
      </c>
      <c r="O684" t="n">
        <v>470329.67307</v>
      </c>
      <c r="P684" t="n">
        <v>0</v>
      </c>
    </row>
    <row r="685">
      <c r="A685" t="inlineStr">
        <is>
          <t>2</t>
        </is>
      </c>
      <c r="B685" t="inlineStr">
        <is>
          <t>АТ "Укрексімбанк"</t>
        </is>
      </c>
      <c r="C685" t="inlineStr">
        <is>
          <t>Державний</t>
        </is>
      </c>
      <c r="D685" t="inlineStr">
        <is>
          <t>6033</t>
        </is>
      </c>
      <c r="E685" t="inlineStr">
        <is>
          <t>Процентні доходи (коди р.60,р.61)</t>
        </is>
      </c>
      <c r="F68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5" t="inlineStr">
        <is>
          <t>П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470329.67307</v>
      </c>
      <c r="O685" t="n">
        <v>470329.67307</v>
      </c>
      <c r="P685" t="n">
        <v>0</v>
      </c>
    </row>
    <row r="686">
      <c r="A686" t="inlineStr">
        <is>
          <t>2</t>
        </is>
      </c>
      <c r="B686" t="inlineStr">
        <is>
          <t>АТ "Укрексімбанк"</t>
        </is>
      </c>
      <c r="C686" t="inlineStr">
        <is>
          <t>Державний</t>
        </is>
      </c>
      <c r="D686" t="inlineStr">
        <is>
          <t>6033</t>
        </is>
      </c>
      <c r="E686" t="inlineStr">
        <is>
          <t>Проценти за кредитами НК (коди 602, 603, 609)</t>
        </is>
      </c>
      <c r="F68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6" t="inlineStr">
        <is>
          <t>П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470329.67307</v>
      </c>
      <c r="O686" t="n">
        <v>470329.67307</v>
      </c>
      <c r="P686" t="n">
        <v>0</v>
      </c>
    </row>
    <row r="687">
      <c r="A687" t="inlineStr">
        <is>
          <t>2</t>
        </is>
      </c>
      <c r="B687" t="inlineStr">
        <is>
          <t>АТ "Укрексімбанк"</t>
        </is>
      </c>
      <c r="C687" t="inlineStr">
        <is>
          <t>Державний</t>
        </is>
      </c>
      <c r="D687" t="inlineStr">
        <is>
          <t>6033</t>
        </is>
      </c>
      <c r="E687" t="inlineStr">
        <is>
          <t>Загальні доходи (6)</t>
        </is>
      </c>
      <c r="F68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7" t="inlineStr">
        <is>
          <t>П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470329.67307</v>
      </c>
      <c r="O687" t="n">
        <v>470329.67307</v>
      </c>
      <c r="P687" t="n">
        <v>0</v>
      </c>
    </row>
    <row r="688">
      <c r="A688" t="inlineStr">
        <is>
          <t>2</t>
        </is>
      </c>
      <c r="B688" t="inlineStr">
        <is>
          <t>АТ "Укрексімбанк"</t>
        </is>
      </c>
      <c r="C688" t="inlineStr">
        <is>
          <t>Державний</t>
        </is>
      </c>
      <c r="D688" t="inlineStr">
        <is>
          <t>6034</t>
        </is>
      </c>
      <c r="E688" t="inlineStr">
        <is>
          <t>(без привʼязки)</t>
        </is>
      </c>
      <c r="F688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88" t="inlineStr">
        <is>
          <t>А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inlineStr">
        <is>
          <t>2</t>
        </is>
      </c>
      <c r="B689" t="inlineStr">
        <is>
          <t>АТ "Укрексімбанк"</t>
        </is>
      </c>
      <c r="C689" t="inlineStr">
        <is>
          <t>Державний</t>
        </is>
      </c>
      <c r="D689" t="inlineStr">
        <is>
          <t>6034</t>
        </is>
      </c>
      <c r="E689" t="inlineStr">
        <is>
          <t>Процентні доходи (коди р.60,р.61)</t>
        </is>
      </c>
      <c r="F689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89" t="inlineStr">
        <is>
          <t>А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t="inlineStr">
        <is>
          <t>2</t>
        </is>
      </c>
      <c r="B690" t="inlineStr">
        <is>
          <t>АТ "Укрексімбанк"</t>
        </is>
      </c>
      <c r="C690" t="inlineStr">
        <is>
          <t>Державний</t>
        </is>
      </c>
      <c r="D690" t="inlineStr">
        <is>
          <t>6034</t>
        </is>
      </c>
      <c r="E690" t="inlineStr">
        <is>
          <t>Проценти за кредитами НК (коди 602, 603, 609)</t>
        </is>
      </c>
      <c r="F690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0" t="inlineStr">
        <is>
          <t>А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inlineStr">
        <is>
          <t>2</t>
        </is>
      </c>
      <c r="B691" t="inlineStr">
        <is>
          <t>АТ "Укрексімбанк"</t>
        </is>
      </c>
      <c r="C691" t="inlineStr">
        <is>
          <t>Державний</t>
        </is>
      </c>
      <c r="D691" t="inlineStr">
        <is>
          <t>6034</t>
        </is>
      </c>
      <c r="E691" t="inlineStr">
        <is>
          <t>Загальні доходи (6)</t>
        </is>
      </c>
      <c r="F69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1" t="inlineStr">
        <is>
          <t>А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t="inlineStr">
        <is>
          <t>2</t>
        </is>
      </c>
      <c r="B692" t="inlineStr">
        <is>
          <t>АТ "Укрексімбанк"</t>
        </is>
      </c>
      <c r="C692" t="inlineStr">
        <is>
          <t>Державний</t>
        </is>
      </c>
      <c r="D692" t="inlineStr">
        <is>
          <t>6034</t>
        </is>
      </c>
      <c r="E692" t="inlineStr">
        <is>
          <t>(без привʼязки)</t>
        </is>
      </c>
      <c r="F692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2" t="inlineStr">
        <is>
          <t>П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t="inlineStr">
        <is>
          <t>2</t>
        </is>
      </c>
      <c r="B693" t="inlineStr">
        <is>
          <t>АТ "Укрексімбанк"</t>
        </is>
      </c>
      <c r="C693" t="inlineStr">
        <is>
          <t>Державний</t>
        </is>
      </c>
      <c r="D693" t="inlineStr">
        <is>
          <t>6034</t>
        </is>
      </c>
      <c r="E693" t="inlineStr">
        <is>
          <t>Процентні доходи (коди р.60,р.61)</t>
        </is>
      </c>
      <c r="F693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3" t="inlineStr">
        <is>
          <t>П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inlineStr">
        <is>
          <t>2</t>
        </is>
      </c>
      <c r="B694" t="inlineStr">
        <is>
          <t>АТ "Укрексімбанк"</t>
        </is>
      </c>
      <c r="C694" t="inlineStr">
        <is>
          <t>Державний</t>
        </is>
      </c>
      <c r="D694" t="inlineStr">
        <is>
          <t>6034</t>
        </is>
      </c>
      <c r="E694" t="inlineStr">
        <is>
          <t>Проценти за кредитами НК (коди 602, 603, 609)</t>
        </is>
      </c>
      <c r="F69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4" t="inlineStr">
        <is>
          <t>П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t="inlineStr">
        <is>
          <t>2</t>
        </is>
      </c>
      <c r="B695" t="inlineStr">
        <is>
          <t>АТ "Укрексімбанк"</t>
        </is>
      </c>
      <c r="C695" t="inlineStr">
        <is>
          <t>Державний</t>
        </is>
      </c>
      <c r="D695" t="inlineStr">
        <is>
          <t>6034</t>
        </is>
      </c>
      <c r="E695" t="inlineStr">
        <is>
          <t>Загальні доходи (6)</t>
        </is>
      </c>
      <c r="F69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5" t="inlineStr">
        <is>
          <t>П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inlineStr">
        <is>
          <t>2</t>
        </is>
      </c>
      <c r="B696" t="inlineStr">
        <is>
          <t>АТ "Укрексімбанк"</t>
        </is>
      </c>
      <c r="C696" t="inlineStr">
        <is>
          <t>Державний</t>
        </is>
      </c>
      <c r="D696" t="inlineStr">
        <is>
          <t>6035</t>
        </is>
      </c>
      <c r="E696" t="inlineStr">
        <is>
          <t>(без привʼязки)</t>
        </is>
      </c>
      <c r="F696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6" t="inlineStr">
        <is>
          <t>А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t="inlineStr">
        <is>
          <t>2</t>
        </is>
      </c>
      <c r="B697" t="inlineStr">
        <is>
          <t>АТ "Укрексімбанк"</t>
        </is>
      </c>
      <c r="C697" t="inlineStr">
        <is>
          <t>Державний</t>
        </is>
      </c>
      <c r="D697" t="inlineStr">
        <is>
          <t>6035</t>
        </is>
      </c>
      <c r="E697" t="inlineStr">
        <is>
          <t>Процентні доходи (коди р.60,р.61)</t>
        </is>
      </c>
      <c r="F69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7" t="inlineStr">
        <is>
          <t>А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inlineStr">
        <is>
          <t>2</t>
        </is>
      </c>
      <c r="B698" t="inlineStr">
        <is>
          <t>АТ "Укрексімбанк"</t>
        </is>
      </c>
      <c r="C698" t="inlineStr">
        <is>
          <t>Державний</t>
        </is>
      </c>
      <c r="D698" t="inlineStr">
        <is>
          <t>6035</t>
        </is>
      </c>
      <c r="E698" t="inlineStr">
        <is>
          <t>Проценти за кредитами НК (коди 602, 603, 609)</t>
        </is>
      </c>
      <c r="F698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8" t="inlineStr">
        <is>
          <t>А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t="inlineStr">
        <is>
          <t>2</t>
        </is>
      </c>
      <c r="B699" t="inlineStr">
        <is>
          <t>АТ "Укрексімбанк"</t>
        </is>
      </c>
      <c r="C699" t="inlineStr">
        <is>
          <t>Державний</t>
        </is>
      </c>
      <c r="D699" t="inlineStr">
        <is>
          <t>6035</t>
        </is>
      </c>
      <c r="E699" t="inlineStr">
        <is>
          <t>Загальні доходи (6)</t>
        </is>
      </c>
      <c r="F699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9" t="inlineStr">
        <is>
          <t>А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2</t>
        </is>
      </c>
      <c r="B700" t="inlineStr">
        <is>
          <t>АТ "Укрексімбанк"</t>
        </is>
      </c>
      <c r="C700" t="inlineStr">
        <is>
          <t>Державний</t>
        </is>
      </c>
      <c r="D700" t="inlineStr">
        <is>
          <t>6035</t>
        </is>
      </c>
      <c r="E700" t="inlineStr">
        <is>
          <t>(без привʼязки)</t>
        </is>
      </c>
      <c r="F700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0" t="inlineStr">
        <is>
          <t>П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t="inlineStr">
        <is>
          <t>2</t>
        </is>
      </c>
      <c r="B701" t="inlineStr">
        <is>
          <t>АТ "Укрексімбанк"</t>
        </is>
      </c>
      <c r="C701" t="inlineStr">
        <is>
          <t>Державний</t>
        </is>
      </c>
      <c r="D701" t="inlineStr">
        <is>
          <t>6035</t>
        </is>
      </c>
      <c r="E701" t="inlineStr">
        <is>
          <t>Процентні доходи (коди р.60,р.61)</t>
        </is>
      </c>
      <c r="F701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1" t="inlineStr">
        <is>
          <t>П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2</t>
        </is>
      </c>
      <c r="B702" t="inlineStr">
        <is>
          <t>АТ "Укрексімбанк"</t>
        </is>
      </c>
      <c r="C702" t="inlineStr">
        <is>
          <t>Державний</t>
        </is>
      </c>
      <c r="D702" t="inlineStr">
        <is>
          <t>6035</t>
        </is>
      </c>
      <c r="E702" t="inlineStr">
        <is>
          <t>Проценти за кредитами НК (коди 602, 603, 609)</t>
        </is>
      </c>
      <c r="F702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2" t="inlineStr">
        <is>
          <t>П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2</t>
        </is>
      </c>
      <c r="B703" t="inlineStr">
        <is>
          <t>АТ "Укрексімбанк"</t>
        </is>
      </c>
      <c r="C703" t="inlineStr">
        <is>
          <t>Державний</t>
        </is>
      </c>
      <c r="D703" t="inlineStr">
        <is>
          <t>6035</t>
        </is>
      </c>
      <c r="E703" t="inlineStr">
        <is>
          <t>Загальні доходи (6)</t>
        </is>
      </c>
      <c r="F703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3" t="inlineStr">
        <is>
          <t>П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inlineStr">
        <is>
          <t>2</t>
        </is>
      </c>
      <c r="B704" t="inlineStr">
        <is>
          <t>АТ "Укрексімбанк"</t>
        </is>
      </c>
      <c r="C704" t="inlineStr">
        <is>
          <t>Державний</t>
        </is>
      </c>
      <c r="D704" t="inlineStr">
        <is>
          <t>6040</t>
        </is>
      </c>
      <c r="E704" t="inlineStr">
        <is>
          <t>(без привʼязки)</t>
        </is>
      </c>
      <c r="F70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4" t="inlineStr">
        <is>
          <t>А</t>
        </is>
      </c>
      <c r="H704" t="n">
        <v>0.91211</v>
      </c>
      <c r="I704" t="n">
        <v>0.91211</v>
      </c>
      <c r="J704" t="n">
        <v>0</v>
      </c>
      <c r="K704" t="n">
        <v>8869.29038</v>
      </c>
      <c r="L704" t="n">
        <v>8869.29038</v>
      </c>
      <c r="M704" t="n">
        <v>0</v>
      </c>
      <c r="N704" t="n">
        <v>0</v>
      </c>
      <c r="O704" t="n">
        <v>0</v>
      </c>
      <c r="P704" t="n">
        <v>0</v>
      </c>
    </row>
    <row r="705">
      <c r="A705" t="inlineStr">
        <is>
          <t>2</t>
        </is>
      </c>
      <c r="B705" t="inlineStr">
        <is>
          <t>АТ "Укрексімбанк"</t>
        </is>
      </c>
      <c r="C705" t="inlineStr">
        <is>
          <t>Державний</t>
        </is>
      </c>
      <c r="D705" t="inlineStr">
        <is>
          <t>6040</t>
        </is>
      </c>
      <c r="E705" t="inlineStr">
        <is>
          <t>Процентні доходи (коди р.60,р.61)</t>
        </is>
      </c>
      <c r="F70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5" t="inlineStr">
        <is>
          <t>А</t>
        </is>
      </c>
      <c r="H705" t="n">
        <v>0.91211</v>
      </c>
      <c r="I705" t="n">
        <v>0.91211</v>
      </c>
      <c r="J705" t="n">
        <v>0</v>
      </c>
      <c r="K705" t="n">
        <v>8869.29038</v>
      </c>
      <c r="L705" t="n">
        <v>8869.29038</v>
      </c>
      <c r="M705" t="n">
        <v>0</v>
      </c>
      <c r="N705" t="n">
        <v>0</v>
      </c>
      <c r="O705" t="n">
        <v>0</v>
      </c>
      <c r="P705" t="n">
        <v>0</v>
      </c>
    </row>
    <row r="706">
      <c r="A706" t="inlineStr">
        <is>
          <t>2</t>
        </is>
      </c>
      <c r="B706" t="inlineStr">
        <is>
          <t>АТ "Укрексімбанк"</t>
        </is>
      </c>
      <c r="C706" t="inlineStr">
        <is>
          <t>Державний</t>
        </is>
      </c>
      <c r="D706" t="inlineStr">
        <is>
          <t>6040</t>
        </is>
      </c>
      <c r="E706" t="inlineStr">
        <is>
          <t>Проценти за кредитами ЗДУ (код 604)</t>
        </is>
      </c>
      <c r="F706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6" t="inlineStr">
        <is>
          <t>А</t>
        </is>
      </c>
      <c r="H706" t="n">
        <v>0.91211</v>
      </c>
      <c r="I706" t="n">
        <v>0.91211</v>
      </c>
      <c r="J706" t="n">
        <v>0</v>
      </c>
      <c r="K706" t="n">
        <v>8869.29038</v>
      </c>
      <c r="L706" t="n">
        <v>8869.29038</v>
      </c>
      <c r="M706" t="n">
        <v>0</v>
      </c>
      <c r="N706" t="n">
        <v>0</v>
      </c>
      <c r="O706" t="n">
        <v>0</v>
      </c>
      <c r="P706" t="n">
        <v>0</v>
      </c>
    </row>
    <row r="707">
      <c r="A707" t="inlineStr">
        <is>
          <t>2</t>
        </is>
      </c>
      <c r="B707" t="inlineStr">
        <is>
          <t>АТ "Укрексімбанк"</t>
        </is>
      </c>
      <c r="C707" t="inlineStr">
        <is>
          <t>Державний</t>
        </is>
      </c>
      <c r="D707" t="inlineStr">
        <is>
          <t>6040</t>
        </is>
      </c>
      <c r="E707" t="inlineStr">
        <is>
          <t>Загальні доходи (6)</t>
        </is>
      </c>
      <c r="F70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7" t="inlineStr">
        <is>
          <t>А</t>
        </is>
      </c>
      <c r="H707" t="n">
        <v>0.91211</v>
      </c>
      <c r="I707" t="n">
        <v>0.91211</v>
      </c>
      <c r="J707" t="n">
        <v>0</v>
      </c>
      <c r="K707" t="n">
        <v>8869.29038</v>
      </c>
      <c r="L707" t="n">
        <v>8869.29038</v>
      </c>
      <c r="M707" t="n">
        <v>0</v>
      </c>
      <c r="N707" t="n">
        <v>0</v>
      </c>
      <c r="O707" t="n">
        <v>0</v>
      </c>
      <c r="P707" t="n">
        <v>0</v>
      </c>
    </row>
    <row r="708">
      <c r="A708" t="inlineStr">
        <is>
          <t>2</t>
        </is>
      </c>
      <c r="B708" t="inlineStr">
        <is>
          <t>АТ "Укрексімбанк"</t>
        </is>
      </c>
      <c r="C708" t="inlineStr">
        <is>
          <t>Державний</t>
        </is>
      </c>
      <c r="D708" t="inlineStr">
        <is>
          <t>6040</t>
        </is>
      </c>
      <c r="E708" t="inlineStr">
        <is>
          <t>(без привʼязки)</t>
        </is>
      </c>
      <c r="F708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8" t="inlineStr">
        <is>
          <t>П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170885.72993</v>
      </c>
      <c r="O708" t="n">
        <v>170885.72993</v>
      </c>
      <c r="P708" t="n">
        <v>0</v>
      </c>
    </row>
    <row r="709">
      <c r="A709" t="inlineStr">
        <is>
          <t>2</t>
        </is>
      </c>
      <c r="B709" t="inlineStr">
        <is>
          <t>АТ "Укрексімбанк"</t>
        </is>
      </c>
      <c r="C709" t="inlineStr">
        <is>
          <t>Державний</t>
        </is>
      </c>
      <c r="D709" t="inlineStr">
        <is>
          <t>6040</t>
        </is>
      </c>
      <c r="E709" t="inlineStr">
        <is>
          <t>Процентні доходи (коди р.60,р.61)</t>
        </is>
      </c>
      <c r="F709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9" t="inlineStr">
        <is>
          <t>П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170885.72993</v>
      </c>
      <c r="O709" t="n">
        <v>170885.72993</v>
      </c>
      <c r="P709" t="n">
        <v>0</v>
      </c>
    </row>
    <row r="710">
      <c r="A710" t="inlineStr">
        <is>
          <t>2</t>
        </is>
      </c>
      <c r="B710" t="inlineStr">
        <is>
          <t>АТ "Укрексімбанк"</t>
        </is>
      </c>
      <c r="C710" t="inlineStr">
        <is>
          <t>Державний</t>
        </is>
      </c>
      <c r="D710" t="inlineStr">
        <is>
          <t>6040</t>
        </is>
      </c>
      <c r="E710" t="inlineStr">
        <is>
          <t>Проценти за кредитами ЗДУ (код 604)</t>
        </is>
      </c>
      <c r="F710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10" t="inlineStr">
        <is>
          <t>П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170885.72993</v>
      </c>
      <c r="O710" t="n">
        <v>170885.72993</v>
      </c>
      <c r="P710" t="n">
        <v>0</v>
      </c>
    </row>
    <row r="711">
      <c r="A711" t="inlineStr">
        <is>
          <t>2</t>
        </is>
      </c>
      <c r="B711" t="inlineStr">
        <is>
          <t>АТ "Укрексімбанк"</t>
        </is>
      </c>
      <c r="C711" t="inlineStr">
        <is>
          <t>Державний</t>
        </is>
      </c>
      <c r="D711" t="inlineStr">
        <is>
          <t>6040</t>
        </is>
      </c>
      <c r="E711" t="inlineStr">
        <is>
          <t>Загальні доходи (6)</t>
        </is>
      </c>
      <c r="F711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11" t="inlineStr">
        <is>
          <t>П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170885.72993</v>
      </c>
      <c r="O711" t="n">
        <v>170885.72993</v>
      </c>
      <c r="P711" t="n">
        <v>0</v>
      </c>
    </row>
    <row r="712">
      <c r="A712" t="inlineStr">
        <is>
          <t>2</t>
        </is>
      </c>
      <c r="B712" t="inlineStr">
        <is>
          <t>АТ "Укрексімбанк"</t>
        </is>
      </c>
      <c r="C712" t="inlineStr">
        <is>
          <t>Державний</t>
        </is>
      </c>
      <c r="D712" t="inlineStr">
        <is>
          <t>6041</t>
        </is>
      </c>
      <c r="E712" t="inlineStr">
        <is>
          <t>(без привʼязки)</t>
        </is>
      </c>
      <c r="F712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2" t="inlineStr">
        <is>
          <t>А</t>
        </is>
      </c>
      <c r="H712" t="n">
        <v>92.74641</v>
      </c>
      <c r="I712" t="n">
        <v>92.74641</v>
      </c>
      <c r="J712" t="n">
        <v>0</v>
      </c>
      <c r="K712" t="n">
        <v>6659.16726</v>
      </c>
      <c r="L712" t="n">
        <v>6659.16726</v>
      </c>
      <c r="M712" t="n">
        <v>0</v>
      </c>
      <c r="N712" t="n">
        <v>0</v>
      </c>
      <c r="O712" t="n">
        <v>0</v>
      </c>
      <c r="P712" t="n">
        <v>0</v>
      </c>
    </row>
    <row r="713">
      <c r="A713" t="inlineStr">
        <is>
          <t>2</t>
        </is>
      </c>
      <c r="B713" t="inlineStr">
        <is>
          <t>АТ "Укрексімбанк"</t>
        </is>
      </c>
      <c r="C713" t="inlineStr">
        <is>
          <t>Державний</t>
        </is>
      </c>
      <c r="D713" t="inlineStr">
        <is>
          <t>6041</t>
        </is>
      </c>
      <c r="E713" t="inlineStr">
        <is>
          <t>Процентні доходи (коди р.60,р.61)</t>
        </is>
      </c>
      <c r="F713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3" t="inlineStr">
        <is>
          <t>А</t>
        </is>
      </c>
      <c r="H713" t="n">
        <v>92.74641</v>
      </c>
      <c r="I713" t="n">
        <v>92.74641</v>
      </c>
      <c r="J713" t="n">
        <v>0</v>
      </c>
      <c r="K713" t="n">
        <v>6659.16726</v>
      </c>
      <c r="L713" t="n">
        <v>6659.16726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2</t>
        </is>
      </c>
      <c r="B714" t="inlineStr">
        <is>
          <t>АТ "Укрексімбанк"</t>
        </is>
      </c>
      <c r="C714" t="inlineStr">
        <is>
          <t>Державний</t>
        </is>
      </c>
      <c r="D714" t="inlineStr">
        <is>
          <t>6041</t>
        </is>
      </c>
      <c r="E714" t="inlineStr">
        <is>
          <t>Проценти за кредитами ЗДУ (код 604)</t>
        </is>
      </c>
      <c r="F7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4" t="inlineStr">
        <is>
          <t>А</t>
        </is>
      </c>
      <c r="H714" t="n">
        <v>92.74641</v>
      </c>
      <c r="I714" t="n">
        <v>92.74641</v>
      </c>
      <c r="J714" t="n">
        <v>0</v>
      </c>
      <c r="K714" t="n">
        <v>6659.16726</v>
      </c>
      <c r="L714" t="n">
        <v>6659.16726</v>
      </c>
      <c r="M714" t="n">
        <v>0</v>
      </c>
      <c r="N714" t="n">
        <v>0</v>
      </c>
      <c r="O714" t="n">
        <v>0</v>
      </c>
      <c r="P714" t="n">
        <v>0</v>
      </c>
    </row>
    <row r="715">
      <c r="A715" t="inlineStr">
        <is>
          <t>2</t>
        </is>
      </c>
      <c r="B715" t="inlineStr">
        <is>
          <t>АТ "Укрексімбанк"</t>
        </is>
      </c>
      <c r="C715" t="inlineStr">
        <is>
          <t>Державний</t>
        </is>
      </c>
      <c r="D715" t="inlineStr">
        <is>
          <t>6041</t>
        </is>
      </c>
      <c r="E715" t="inlineStr">
        <is>
          <t>Загальні доходи (6)</t>
        </is>
      </c>
      <c r="F71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5" t="inlineStr">
        <is>
          <t>А</t>
        </is>
      </c>
      <c r="H715" t="n">
        <v>92.74641</v>
      </c>
      <c r="I715" t="n">
        <v>92.74641</v>
      </c>
      <c r="J715" t="n">
        <v>0</v>
      </c>
      <c r="K715" t="n">
        <v>6659.16726</v>
      </c>
      <c r="L715" t="n">
        <v>6659.16726</v>
      </c>
      <c r="M715" t="n">
        <v>0</v>
      </c>
      <c r="N715" t="n">
        <v>0</v>
      </c>
      <c r="O715" t="n">
        <v>0</v>
      </c>
      <c r="P715" t="n">
        <v>0</v>
      </c>
    </row>
    <row r="716">
      <c r="A716" t="inlineStr">
        <is>
          <t>2</t>
        </is>
      </c>
      <c r="B716" t="inlineStr">
        <is>
          <t>АТ "Укрексімбанк"</t>
        </is>
      </c>
      <c r="C716" t="inlineStr">
        <is>
          <t>Державний</t>
        </is>
      </c>
      <c r="D716" t="inlineStr">
        <is>
          <t>6041</t>
        </is>
      </c>
      <c r="E716" t="inlineStr">
        <is>
          <t>(без привʼязки)</t>
        </is>
      </c>
      <c r="F716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6" t="inlineStr">
        <is>
          <t>П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56972.14999</v>
      </c>
      <c r="O716" t="n">
        <v>56972.14999</v>
      </c>
      <c r="P716" t="n">
        <v>0</v>
      </c>
    </row>
    <row r="717">
      <c r="A717" t="inlineStr">
        <is>
          <t>2</t>
        </is>
      </c>
      <c r="B717" t="inlineStr">
        <is>
          <t>АТ "Укрексімбанк"</t>
        </is>
      </c>
      <c r="C717" t="inlineStr">
        <is>
          <t>Державний</t>
        </is>
      </c>
      <c r="D717" t="inlineStr">
        <is>
          <t>6041</t>
        </is>
      </c>
      <c r="E717" t="inlineStr">
        <is>
          <t>Процентні доходи (коди р.60,р.61)</t>
        </is>
      </c>
      <c r="F71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7" t="inlineStr">
        <is>
          <t>П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56972.14999</v>
      </c>
      <c r="O717" t="n">
        <v>56972.14999</v>
      </c>
      <c r="P717" t="n">
        <v>0</v>
      </c>
    </row>
    <row r="718">
      <c r="A718" t="inlineStr">
        <is>
          <t>2</t>
        </is>
      </c>
      <c r="B718" t="inlineStr">
        <is>
          <t>АТ "Укрексімбанк"</t>
        </is>
      </c>
      <c r="C718" t="inlineStr">
        <is>
          <t>Державний</t>
        </is>
      </c>
      <c r="D718" t="inlineStr">
        <is>
          <t>6041</t>
        </is>
      </c>
      <c r="E718" t="inlineStr">
        <is>
          <t>Проценти за кредитами ЗДУ (код 604)</t>
        </is>
      </c>
      <c r="F718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8" t="inlineStr">
        <is>
          <t>П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56972.14999</v>
      </c>
      <c r="O718" t="n">
        <v>56972.14999</v>
      </c>
      <c r="P718" t="n">
        <v>0</v>
      </c>
    </row>
    <row r="719">
      <c r="A719" t="inlineStr">
        <is>
          <t>2</t>
        </is>
      </c>
      <c r="B719" t="inlineStr">
        <is>
          <t>АТ "Укрексімбанк"</t>
        </is>
      </c>
      <c r="C719" t="inlineStr">
        <is>
          <t>Державний</t>
        </is>
      </c>
      <c r="D719" t="inlineStr">
        <is>
          <t>6041</t>
        </is>
      </c>
      <c r="E719" t="inlineStr">
        <is>
          <t>Загальні доходи (6)</t>
        </is>
      </c>
      <c r="F719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9" t="inlineStr">
        <is>
          <t>П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56972.14999</v>
      </c>
      <c r="O719" t="n">
        <v>56972.14999</v>
      </c>
      <c r="P719" t="n">
        <v>0</v>
      </c>
    </row>
    <row r="720">
      <c r="A720" t="inlineStr">
        <is>
          <t>2</t>
        </is>
      </c>
      <c r="B720" t="inlineStr">
        <is>
          <t>АТ "Укрексімбанк"</t>
        </is>
      </c>
      <c r="C720" t="inlineStr">
        <is>
          <t>Державний</t>
        </is>
      </c>
      <c r="D720" t="inlineStr">
        <is>
          <t>6050</t>
        </is>
      </c>
      <c r="E720" t="inlineStr">
        <is>
          <t>(без привʼязки)</t>
        </is>
      </c>
      <c r="F720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0" t="inlineStr">
        <is>
          <t>А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2</t>
        </is>
      </c>
      <c r="B721" t="inlineStr">
        <is>
          <t>АТ "Укрексімбанк"</t>
        </is>
      </c>
      <c r="C721" t="inlineStr">
        <is>
          <t>Державний</t>
        </is>
      </c>
      <c r="D721" t="inlineStr">
        <is>
          <t>6050</t>
        </is>
      </c>
      <c r="E721" t="inlineStr">
        <is>
          <t>Процентні доходи (коди р.60,р.61)</t>
        </is>
      </c>
      <c r="F721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1" t="inlineStr">
        <is>
          <t>А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t="inlineStr">
        <is>
          <t>2</t>
        </is>
      </c>
      <c r="B722" t="inlineStr">
        <is>
          <t>АТ "Укрексімбанк"</t>
        </is>
      </c>
      <c r="C722" t="inlineStr">
        <is>
          <t>Державний</t>
        </is>
      </c>
      <c r="D722" t="inlineStr">
        <is>
          <t>6050</t>
        </is>
      </c>
      <c r="E722" t="inlineStr">
        <is>
          <t>Проценти за кредитами ДГ (коди 605, 606, 611)</t>
        </is>
      </c>
      <c r="F722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2" t="inlineStr">
        <is>
          <t>А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inlineStr">
        <is>
          <t>2</t>
        </is>
      </c>
      <c r="B723" t="inlineStr">
        <is>
          <t>АТ "Укрексімбанк"</t>
        </is>
      </c>
      <c r="C723" t="inlineStr">
        <is>
          <t>Державний</t>
        </is>
      </c>
      <c r="D723" t="inlineStr">
        <is>
          <t>6050</t>
        </is>
      </c>
      <c r="E723" t="inlineStr">
        <is>
          <t>Загальні доходи (6)</t>
        </is>
      </c>
      <c r="F723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3" t="inlineStr">
        <is>
          <t>А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t="inlineStr">
        <is>
          <t>2</t>
        </is>
      </c>
      <c r="B724" t="inlineStr">
        <is>
          <t>АТ "Укрексімбанк"</t>
        </is>
      </c>
      <c r="C724" t="inlineStr">
        <is>
          <t>Державний</t>
        </is>
      </c>
      <c r="D724" t="inlineStr">
        <is>
          <t>6050</t>
        </is>
      </c>
      <c r="E724" t="inlineStr">
        <is>
          <t>(без привʼязки)</t>
        </is>
      </c>
      <c r="F72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4" t="inlineStr">
        <is>
          <t>П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inlineStr">
        <is>
          <t>2</t>
        </is>
      </c>
      <c r="B725" t="inlineStr">
        <is>
          <t>АТ "Укрексімбанк"</t>
        </is>
      </c>
      <c r="C725" t="inlineStr">
        <is>
          <t>Державний</t>
        </is>
      </c>
      <c r="D725" t="inlineStr">
        <is>
          <t>6050</t>
        </is>
      </c>
      <c r="E725" t="inlineStr">
        <is>
          <t>Процентні доходи (коди р.60,р.61)</t>
        </is>
      </c>
      <c r="F72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5" t="inlineStr">
        <is>
          <t>П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2</t>
        </is>
      </c>
      <c r="B726" t="inlineStr">
        <is>
          <t>АТ "Укрексімбанк"</t>
        </is>
      </c>
      <c r="C726" t="inlineStr">
        <is>
          <t>Державний</t>
        </is>
      </c>
      <c r="D726" t="inlineStr">
        <is>
          <t>6050</t>
        </is>
      </c>
      <c r="E726" t="inlineStr">
        <is>
          <t>Проценти за кредитами ДГ (коди 605, 606, 611)</t>
        </is>
      </c>
      <c r="F72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6" t="inlineStr">
        <is>
          <t>П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inlineStr">
        <is>
          <t>2</t>
        </is>
      </c>
      <c r="B727" t="inlineStr">
        <is>
          <t>АТ "Укрексімбанк"</t>
        </is>
      </c>
      <c r="C727" t="inlineStr">
        <is>
          <t>Державний</t>
        </is>
      </c>
      <c r="D727" t="inlineStr">
        <is>
          <t>6050</t>
        </is>
      </c>
      <c r="E727" t="inlineStr">
        <is>
          <t>Загальні доходи (6)</t>
        </is>
      </c>
      <c r="F7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7" t="inlineStr">
        <is>
          <t>П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2</t>
        </is>
      </c>
      <c r="B728" t="inlineStr">
        <is>
          <t>АТ "Укрексімбанк"</t>
        </is>
      </c>
      <c r="C728" t="inlineStr">
        <is>
          <t>Державний</t>
        </is>
      </c>
      <c r="D728" t="inlineStr">
        <is>
          <t>6052</t>
        </is>
      </c>
      <c r="E728" t="inlineStr">
        <is>
          <t>(без привʼязки)</t>
        </is>
      </c>
      <c r="F728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28" t="inlineStr">
        <is>
          <t>А</t>
        </is>
      </c>
      <c r="H728" t="n">
        <v>1.33993</v>
      </c>
      <c r="I728" t="n">
        <v>1.33993</v>
      </c>
      <c r="J728" t="n">
        <v>0</v>
      </c>
      <c r="K728" t="n">
        <v>831.36726</v>
      </c>
      <c r="L728" t="n">
        <v>831.36726</v>
      </c>
      <c r="M728" t="n">
        <v>0</v>
      </c>
      <c r="N728" t="n">
        <v>-1.12511</v>
      </c>
      <c r="O728" t="n">
        <v>-1.12511</v>
      </c>
      <c r="P728" t="n">
        <v>0</v>
      </c>
    </row>
    <row r="729">
      <c r="A729" t="inlineStr">
        <is>
          <t>2</t>
        </is>
      </c>
      <c r="B729" t="inlineStr">
        <is>
          <t>АТ "Укрексімбанк"</t>
        </is>
      </c>
      <c r="C729" t="inlineStr">
        <is>
          <t>Державний</t>
        </is>
      </c>
      <c r="D729" t="inlineStr">
        <is>
          <t>6052</t>
        </is>
      </c>
      <c r="E729" t="inlineStr">
        <is>
          <t>Процентні доходи (коди р.60,р.61)</t>
        </is>
      </c>
      <c r="F729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29" t="inlineStr">
        <is>
          <t>А</t>
        </is>
      </c>
      <c r="H729" t="n">
        <v>1.33993</v>
      </c>
      <c r="I729" t="n">
        <v>1.33993</v>
      </c>
      <c r="J729" t="n">
        <v>0</v>
      </c>
      <c r="K729" t="n">
        <v>831.36726</v>
      </c>
      <c r="L729" t="n">
        <v>831.36726</v>
      </c>
      <c r="M729" t="n">
        <v>0</v>
      </c>
      <c r="N729" t="n">
        <v>-1.12511</v>
      </c>
      <c r="O729" t="n">
        <v>-1.12511</v>
      </c>
      <c r="P729" t="n">
        <v>0</v>
      </c>
    </row>
    <row r="730">
      <c r="A730" t="inlineStr">
        <is>
          <t>2</t>
        </is>
      </c>
      <c r="B730" t="inlineStr">
        <is>
          <t>АТ "Укрексімбанк"</t>
        </is>
      </c>
      <c r="C730" t="inlineStr">
        <is>
          <t>Державний</t>
        </is>
      </c>
      <c r="D730" t="inlineStr">
        <is>
          <t>6052</t>
        </is>
      </c>
      <c r="E730" t="inlineStr">
        <is>
          <t>Проценти за кредитами ДГ (коди 605, 606, 611)</t>
        </is>
      </c>
      <c r="F730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0" t="inlineStr">
        <is>
          <t>А</t>
        </is>
      </c>
      <c r="H730" t="n">
        <v>1.33993</v>
      </c>
      <c r="I730" t="n">
        <v>1.33993</v>
      </c>
      <c r="J730" t="n">
        <v>0</v>
      </c>
      <c r="K730" t="n">
        <v>831.36726</v>
      </c>
      <c r="L730" t="n">
        <v>831.36726</v>
      </c>
      <c r="M730" t="n">
        <v>0</v>
      </c>
      <c r="N730" t="n">
        <v>-1.12511</v>
      </c>
      <c r="O730" t="n">
        <v>-1.12511</v>
      </c>
      <c r="P730" t="n">
        <v>0</v>
      </c>
    </row>
    <row r="731">
      <c r="A731" t="inlineStr">
        <is>
          <t>2</t>
        </is>
      </c>
      <c r="B731" t="inlineStr">
        <is>
          <t>АТ "Укрексімбанк"</t>
        </is>
      </c>
      <c r="C731" t="inlineStr">
        <is>
          <t>Державний</t>
        </is>
      </c>
      <c r="D731" t="inlineStr">
        <is>
          <t>6052</t>
        </is>
      </c>
      <c r="E731" t="inlineStr">
        <is>
          <t>Загальні доходи (6)</t>
        </is>
      </c>
      <c r="F73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1" t="inlineStr">
        <is>
          <t>А</t>
        </is>
      </c>
      <c r="H731" t="n">
        <v>1.33993</v>
      </c>
      <c r="I731" t="n">
        <v>1.33993</v>
      </c>
      <c r="J731" t="n">
        <v>0</v>
      </c>
      <c r="K731" t="n">
        <v>831.36726</v>
      </c>
      <c r="L731" t="n">
        <v>831.36726</v>
      </c>
      <c r="M731" t="n">
        <v>0</v>
      </c>
      <c r="N731" t="n">
        <v>-1.12511</v>
      </c>
      <c r="O731" t="n">
        <v>-1.12511</v>
      </c>
      <c r="P731" t="n">
        <v>0</v>
      </c>
    </row>
    <row r="732">
      <c r="A732" t="inlineStr">
        <is>
          <t>2</t>
        </is>
      </c>
      <c r="B732" t="inlineStr">
        <is>
          <t>АТ "Укрексімбанк"</t>
        </is>
      </c>
      <c r="C732" t="inlineStr">
        <is>
          <t>Державний</t>
        </is>
      </c>
      <c r="D732" t="inlineStr">
        <is>
          <t>6052</t>
        </is>
      </c>
      <c r="E732" t="inlineStr">
        <is>
          <t>(без привʼязки)</t>
        </is>
      </c>
      <c r="F732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2" t="inlineStr">
        <is>
          <t>П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14976.39696</v>
      </c>
      <c r="O732" t="n">
        <v>14976.39696</v>
      </c>
      <c r="P732" t="n">
        <v>0</v>
      </c>
    </row>
    <row r="733">
      <c r="A733" t="inlineStr">
        <is>
          <t>2</t>
        </is>
      </c>
      <c r="B733" t="inlineStr">
        <is>
          <t>АТ "Укрексімбанк"</t>
        </is>
      </c>
      <c r="C733" t="inlineStr">
        <is>
          <t>Державний</t>
        </is>
      </c>
      <c r="D733" t="inlineStr">
        <is>
          <t>6052</t>
        </is>
      </c>
      <c r="E733" t="inlineStr">
        <is>
          <t>Процентні доходи (коди р.60,р.61)</t>
        </is>
      </c>
      <c r="F733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3" t="inlineStr">
        <is>
          <t>П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14976.39696</v>
      </c>
      <c r="O733" t="n">
        <v>14976.39696</v>
      </c>
      <c r="P733" t="n">
        <v>0</v>
      </c>
    </row>
    <row r="734">
      <c r="A734" t="inlineStr">
        <is>
          <t>2</t>
        </is>
      </c>
      <c r="B734" t="inlineStr">
        <is>
          <t>АТ "Укрексімбанк"</t>
        </is>
      </c>
      <c r="C734" t="inlineStr">
        <is>
          <t>Державний</t>
        </is>
      </c>
      <c r="D734" t="inlineStr">
        <is>
          <t>6052</t>
        </is>
      </c>
      <c r="E734" t="inlineStr">
        <is>
          <t>Проценти за кредитами ДГ (коди 605, 606, 611)</t>
        </is>
      </c>
      <c r="F73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4" t="inlineStr">
        <is>
          <t>П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14976.39696</v>
      </c>
      <c r="O734" t="n">
        <v>14976.39696</v>
      </c>
      <c r="P734" t="n">
        <v>0</v>
      </c>
    </row>
    <row r="735">
      <c r="A735" t="inlineStr">
        <is>
          <t>2</t>
        </is>
      </c>
      <c r="B735" t="inlineStr">
        <is>
          <t>АТ "Укрексімбанк"</t>
        </is>
      </c>
      <c r="C735" t="inlineStr">
        <is>
          <t>Державний</t>
        </is>
      </c>
      <c r="D735" t="inlineStr">
        <is>
          <t>6052</t>
        </is>
      </c>
      <c r="E735" t="inlineStr">
        <is>
          <t>Загальні доходи (6)</t>
        </is>
      </c>
      <c r="F73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5" t="inlineStr">
        <is>
          <t>П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14976.39696</v>
      </c>
      <c r="O735" t="n">
        <v>14976.39696</v>
      </c>
      <c r="P735" t="n">
        <v>0</v>
      </c>
    </row>
    <row r="736">
      <c r="A736" t="inlineStr">
        <is>
          <t>2</t>
        </is>
      </c>
      <c r="B736" t="inlineStr">
        <is>
          <t>АТ "Укрексімбанк"</t>
        </is>
      </c>
      <c r="C736" t="inlineStr">
        <is>
          <t>Державний</t>
        </is>
      </c>
      <c r="D736" t="inlineStr">
        <is>
          <t>6053</t>
        </is>
      </c>
      <c r="E736" t="inlineStr">
        <is>
          <t>(без привʼязки)</t>
        </is>
      </c>
      <c r="F736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6" t="inlineStr">
        <is>
          <t>А</t>
        </is>
      </c>
      <c r="H736" t="n">
        <v>0.06532</v>
      </c>
      <c r="I736" t="n">
        <v>0.06532</v>
      </c>
      <c r="J736" t="n">
        <v>0</v>
      </c>
      <c r="K736" t="n">
        <v>65.75705000000001</v>
      </c>
      <c r="L736" t="n">
        <v>65.75705000000001</v>
      </c>
      <c r="M736" t="n">
        <v>0</v>
      </c>
      <c r="N736" t="n">
        <v>0</v>
      </c>
      <c r="O736" t="n">
        <v>0</v>
      </c>
      <c r="P736" t="n">
        <v>0</v>
      </c>
    </row>
    <row r="737">
      <c r="A737" t="inlineStr">
        <is>
          <t>2</t>
        </is>
      </c>
      <c r="B737" t="inlineStr">
        <is>
          <t>АТ "Укрексімбанк"</t>
        </is>
      </c>
      <c r="C737" t="inlineStr">
        <is>
          <t>Державний</t>
        </is>
      </c>
      <c r="D737" t="inlineStr">
        <is>
          <t>6053</t>
        </is>
      </c>
      <c r="E737" t="inlineStr">
        <is>
          <t>Процентні доходи (коди р.60,р.61)</t>
        </is>
      </c>
      <c r="F73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7" t="inlineStr">
        <is>
          <t>А</t>
        </is>
      </c>
      <c r="H737" t="n">
        <v>0.06532</v>
      </c>
      <c r="I737" t="n">
        <v>0.06532</v>
      </c>
      <c r="J737" t="n">
        <v>0</v>
      </c>
      <c r="K737" t="n">
        <v>65.75705000000001</v>
      </c>
      <c r="L737" t="n">
        <v>65.75705000000001</v>
      </c>
      <c r="M737" t="n">
        <v>0</v>
      </c>
      <c r="N737" t="n">
        <v>0</v>
      </c>
      <c r="O737" t="n">
        <v>0</v>
      </c>
      <c r="P737" t="n">
        <v>0</v>
      </c>
    </row>
    <row r="738">
      <c r="A738" t="inlineStr">
        <is>
          <t>2</t>
        </is>
      </c>
      <c r="B738" t="inlineStr">
        <is>
          <t>АТ "Укрексімбанк"</t>
        </is>
      </c>
      <c r="C738" t="inlineStr">
        <is>
          <t>Державний</t>
        </is>
      </c>
      <c r="D738" t="inlineStr">
        <is>
          <t>6053</t>
        </is>
      </c>
      <c r="E738" t="inlineStr">
        <is>
          <t>Проценти за кредитами ДГ (коди 605, 606, 611)</t>
        </is>
      </c>
      <c r="F738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8" t="inlineStr">
        <is>
          <t>А</t>
        </is>
      </c>
      <c r="H738" t="n">
        <v>0.06532</v>
      </c>
      <c r="I738" t="n">
        <v>0.06532</v>
      </c>
      <c r="J738" t="n">
        <v>0</v>
      </c>
      <c r="K738" t="n">
        <v>65.75705000000001</v>
      </c>
      <c r="L738" t="n">
        <v>65.75705000000001</v>
      </c>
      <c r="M738" t="n">
        <v>0</v>
      </c>
      <c r="N738" t="n">
        <v>0</v>
      </c>
      <c r="O738" t="n">
        <v>0</v>
      </c>
      <c r="P738" t="n">
        <v>0</v>
      </c>
    </row>
    <row r="739">
      <c r="A739" t="inlineStr">
        <is>
          <t>2</t>
        </is>
      </c>
      <c r="B739" t="inlineStr">
        <is>
          <t>АТ "Укрексімбанк"</t>
        </is>
      </c>
      <c r="C739" t="inlineStr">
        <is>
          <t>Державний</t>
        </is>
      </c>
      <c r="D739" t="inlineStr">
        <is>
          <t>6053</t>
        </is>
      </c>
      <c r="E739" t="inlineStr">
        <is>
          <t>Загальні доходи (6)</t>
        </is>
      </c>
      <c r="F739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9" t="inlineStr">
        <is>
          <t>А</t>
        </is>
      </c>
      <c r="H739" t="n">
        <v>0.06532</v>
      </c>
      <c r="I739" t="n">
        <v>0.06532</v>
      </c>
      <c r="J739" t="n">
        <v>0</v>
      </c>
      <c r="K739" t="n">
        <v>65.75705000000001</v>
      </c>
      <c r="L739" t="n">
        <v>65.75705000000001</v>
      </c>
      <c r="M739" t="n">
        <v>0</v>
      </c>
      <c r="N739" t="n">
        <v>0</v>
      </c>
      <c r="O739" t="n">
        <v>0</v>
      </c>
      <c r="P739" t="n">
        <v>0</v>
      </c>
    </row>
    <row r="740">
      <c r="A740" t="inlineStr">
        <is>
          <t>2</t>
        </is>
      </c>
      <c r="B740" t="inlineStr">
        <is>
          <t>АТ "Укрексімбанк"</t>
        </is>
      </c>
      <c r="C740" t="inlineStr">
        <is>
          <t>Державний</t>
        </is>
      </c>
      <c r="D740" t="inlineStr">
        <is>
          <t>6053</t>
        </is>
      </c>
      <c r="E740" t="inlineStr">
        <is>
          <t>(без привʼязки)</t>
        </is>
      </c>
      <c r="F740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0" t="inlineStr">
        <is>
          <t>П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647.0522099999999</v>
      </c>
      <c r="O740" t="n">
        <v>647.0522099999999</v>
      </c>
      <c r="P740" t="n">
        <v>0</v>
      </c>
    </row>
    <row r="741">
      <c r="A741" t="inlineStr">
        <is>
          <t>2</t>
        </is>
      </c>
      <c r="B741" t="inlineStr">
        <is>
          <t>АТ "Укрексімбанк"</t>
        </is>
      </c>
      <c r="C741" t="inlineStr">
        <is>
          <t>Державний</t>
        </is>
      </c>
      <c r="D741" t="inlineStr">
        <is>
          <t>6053</t>
        </is>
      </c>
      <c r="E741" t="inlineStr">
        <is>
          <t>Процентні доходи (коди р.60,р.61)</t>
        </is>
      </c>
      <c r="F741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1" t="inlineStr">
        <is>
          <t>П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647.0522099999999</v>
      </c>
      <c r="O741" t="n">
        <v>647.0522099999999</v>
      </c>
      <c r="P741" t="n">
        <v>0</v>
      </c>
    </row>
    <row r="742">
      <c r="A742" t="inlineStr">
        <is>
          <t>2</t>
        </is>
      </c>
      <c r="B742" t="inlineStr">
        <is>
          <t>АТ "Укрексімбанк"</t>
        </is>
      </c>
      <c r="C742" t="inlineStr">
        <is>
          <t>Державний</t>
        </is>
      </c>
      <c r="D742" t="inlineStr">
        <is>
          <t>6053</t>
        </is>
      </c>
      <c r="E742" t="inlineStr">
        <is>
          <t>Проценти за кредитами ДГ (коди 605, 606, 611)</t>
        </is>
      </c>
      <c r="F742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2" t="inlineStr">
        <is>
          <t>П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647.0522099999999</v>
      </c>
      <c r="O742" t="n">
        <v>647.0522099999999</v>
      </c>
      <c r="P742" t="n">
        <v>0</v>
      </c>
    </row>
    <row r="743">
      <c r="A743" t="inlineStr">
        <is>
          <t>2</t>
        </is>
      </c>
      <c r="B743" t="inlineStr">
        <is>
          <t>АТ "Укрексімбанк"</t>
        </is>
      </c>
      <c r="C743" t="inlineStr">
        <is>
          <t>Державний</t>
        </is>
      </c>
      <c r="D743" t="inlineStr">
        <is>
          <t>6053</t>
        </is>
      </c>
      <c r="E743" t="inlineStr">
        <is>
          <t>Загальні доходи (6)</t>
        </is>
      </c>
      <c r="F743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3" t="inlineStr">
        <is>
          <t>П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647.0522099999999</v>
      </c>
      <c r="O743" t="n">
        <v>647.0522099999999</v>
      </c>
      <c r="P743" t="n">
        <v>0</v>
      </c>
    </row>
    <row r="744">
      <c r="A744" t="inlineStr">
        <is>
          <t>2</t>
        </is>
      </c>
      <c r="B744" t="inlineStr">
        <is>
          <t>АТ "Укрексімбанк"</t>
        </is>
      </c>
      <c r="C744" t="inlineStr">
        <is>
          <t>Державний</t>
        </is>
      </c>
      <c r="D744" t="inlineStr">
        <is>
          <t>6055</t>
        </is>
      </c>
      <c r="E744" t="inlineStr">
        <is>
          <t>(без привʼязки)</t>
        </is>
      </c>
      <c r="F74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4" t="inlineStr">
        <is>
          <t>А</t>
        </is>
      </c>
      <c r="H744" t="n">
        <v>39.14917</v>
      </c>
      <c r="I744" t="n">
        <v>39.14917</v>
      </c>
      <c r="J744" t="n">
        <v>0</v>
      </c>
      <c r="K744" t="n">
        <v>856.80144</v>
      </c>
      <c r="L744" t="n">
        <v>856.80144</v>
      </c>
      <c r="M744" t="n">
        <v>0</v>
      </c>
      <c r="N744" t="n">
        <v>0</v>
      </c>
      <c r="O744" t="n">
        <v>0</v>
      </c>
      <c r="P744" t="n">
        <v>0</v>
      </c>
    </row>
    <row r="745">
      <c r="A745" t="inlineStr">
        <is>
          <t>2</t>
        </is>
      </c>
      <c r="B745" t="inlineStr">
        <is>
          <t>АТ "Укрексімбанк"</t>
        </is>
      </c>
      <c r="C745" t="inlineStr">
        <is>
          <t>Державний</t>
        </is>
      </c>
      <c r="D745" t="inlineStr">
        <is>
          <t>6055</t>
        </is>
      </c>
      <c r="E745" t="inlineStr">
        <is>
          <t>Процентні доходи (коди р.60,р.61)</t>
        </is>
      </c>
      <c r="F74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5" t="inlineStr">
        <is>
          <t>А</t>
        </is>
      </c>
      <c r="H745" t="n">
        <v>39.14917</v>
      </c>
      <c r="I745" t="n">
        <v>39.14917</v>
      </c>
      <c r="J745" t="n">
        <v>0</v>
      </c>
      <c r="K745" t="n">
        <v>856.80144</v>
      </c>
      <c r="L745" t="n">
        <v>856.80144</v>
      </c>
      <c r="M745" t="n">
        <v>0</v>
      </c>
      <c r="N745" t="n">
        <v>0</v>
      </c>
      <c r="O745" t="n">
        <v>0</v>
      </c>
      <c r="P745" t="n">
        <v>0</v>
      </c>
    </row>
    <row r="746">
      <c r="A746" t="inlineStr">
        <is>
          <t>2</t>
        </is>
      </c>
      <c r="B746" t="inlineStr">
        <is>
          <t>АТ "Укрексімбанк"</t>
        </is>
      </c>
      <c r="C746" t="inlineStr">
        <is>
          <t>Державний</t>
        </is>
      </c>
      <c r="D746" t="inlineStr">
        <is>
          <t>6055</t>
        </is>
      </c>
      <c r="E746" t="inlineStr">
        <is>
          <t>Проценти за кредитами ДГ (коди 605, 606, 611)</t>
        </is>
      </c>
      <c r="F746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6" t="inlineStr">
        <is>
          <t>А</t>
        </is>
      </c>
      <c r="H746" t="n">
        <v>39.14917</v>
      </c>
      <c r="I746" t="n">
        <v>39.14917</v>
      </c>
      <c r="J746" t="n">
        <v>0</v>
      </c>
      <c r="K746" t="n">
        <v>856.80144</v>
      </c>
      <c r="L746" t="n">
        <v>856.80144</v>
      </c>
      <c r="M746" t="n">
        <v>0</v>
      </c>
      <c r="N746" t="n">
        <v>0</v>
      </c>
      <c r="O746" t="n">
        <v>0</v>
      </c>
      <c r="P746" t="n">
        <v>0</v>
      </c>
    </row>
    <row r="747">
      <c r="A747" t="inlineStr">
        <is>
          <t>2</t>
        </is>
      </c>
      <c r="B747" t="inlineStr">
        <is>
          <t>АТ "Укрексімбанк"</t>
        </is>
      </c>
      <c r="C747" t="inlineStr">
        <is>
          <t>Державний</t>
        </is>
      </c>
      <c r="D747" t="inlineStr">
        <is>
          <t>6055</t>
        </is>
      </c>
      <c r="E747" t="inlineStr">
        <is>
          <t>Загальні доходи (6)</t>
        </is>
      </c>
      <c r="F74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7" t="inlineStr">
        <is>
          <t>А</t>
        </is>
      </c>
      <c r="H747" t="n">
        <v>39.14917</v>
      </c>
      <c r="I747" t="n">
        <v>39.14917</v>
      </c>
      <c r="J747" t="n">
        <v>0</v>
      </c>
      <c r="K747" t="n">
        <v>856.80144</v>
      </c>
      <c r="L747" t="n">
        <v>856.80144</v>
      </c>
      <c r="M747" t="n">
        <v>0</v>
      </c>
      <c r="N747" t="n">
        <v>0</v>
      </c>
      <c r="O747" t="n">
        <v>0</v>
      </c>
      <c r="P747" t="n">
        <v>0</v>
      </c>
    </row>
    <row r="748">
      <c r="A748" t="inlineStr">
        <is>
          <t>2</t>
        </is>
      </c>
      <c r="B748" t="inlineStr">
        <is>
          <t>АТ "Укрексімбанк"</t>
        </is>
      </c>
      <c r="C748" t="inlineStr">
        <is>
          <t>Державний</t>
        </is>
      </c>
      <c r="D748" t="inlineStr">
        <is>
          <t>6055</t>
        </is>
      </c>
      <c r="E748" t="inlineStr">
        <is>
          <t>(без привʼязки)</t>
        </is>
      </c>
      <c r="F748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8" t="inlineStr">
        <is>
          <t>П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8881.57998</v>
      </c>
      <c r="O748" t="n">
        <v>8881.57998</v>
      </c>
      <c r="P748" t="n">
        <v>0</v>
      </c>
    </row>
    <row r="749">
      <c r="A749" t="inlineStr">
        <is>
          <t>2</t>
        </is>
      </c>
      <c r="B749" t="inlineStr">
        <is>
          <t>АТ "Укрексімбанк"</t>
        </is>
      </c>
      <c r="C749" t="inlineStr">
        <is>
          <t>Державний</t>
        </is>
      </c>
      <c r="D749" t="inlineStr">
        <is>
          <t>6055</t>
        </is>
      </c>
      <c r="E749" t="inlineStr">
        <is>
          <t>Процентні доходи (коди р.60,р.61)</t>
        </is>
      </c>
      <c r="F749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9" t="inlineStr">
        <is>
          <t>П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8881.57998</v>
      </c>
      <c r="O749" t="n">
        <v>8881.57998</v>
      </c>
      <c r="P749" t="n">
        <v>0</v>
      </c>
    </row>
    <row r="750">
      <c r="A750" t="inlineStr">
        <is>
          <t>2</t>
        </is>
      </c>
      <c r="B750" t="inlineStr">
        <is>
          <t>АТ "Укрексімбанк"</t>
        </is>
      </c>
      <c r="C750" t="inlineStr">
        <is>
          <t>Державний</t>
        </is>
      </c>
      <c r="D750" t="inlineStr">
        <is>
          <t>6055</t>
        </is>
      </c>
      <c r="E750" t="inlineStr">
        <is>
          <t>Проценти за кредитами ДГ (коди 605, 606, 611)</t>
        </is>
      </c>
      <c r="F750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50" t="inlineStr">
        <is>
          <t>П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8881.57998</v>
      </c>
      <c r="O750" t="n">
        <v>8881.57998</v>
      </c>
      <c r="P750" t="n">
        <v>0</v>
      </c>
    </row>
    <row r="751">
      <c r="A751" t="inlineStr">
        <is>
          <t>2</t>
        </is>
      </c>
      <c r="B751" t="inlineStr">
        <is>
          <t>АТ "Укрексімбанк"</t>
        </is>
      </c>
      <c r="C751" t="inlineStr">
        <is>
          <t>Державний</t>
        </is>
      </c>
      <c r="D751" t="inlineStr">
        <is>
          <t>6055</t>
        </is>
      </c>
      <c r="E751" t="inlineStr">
        <is>
          <t>Загальні доходи (6)</t>
        </is>
      </c>
      <c r="F751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51" t="inlineStr">
        <is>
          <t>П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8881.57998</v>
      </c>
      <c r="O751" t="n">
        <v>8881.57998</v>
      </c>
      <c r="P751" t="n">
        <v>0</v>
      </c>
    </row>
    <row r="752">
      <c r="A752" t="inlineStr">
        <is>
          <t>2</t>
        </is>
      </c>
      <c r="B752" t="inlineStr">
        <is>
          <t>АТ "Укрексімбанк"</t>
        </is>
      </c>
      <c r="C752" t="inlineStr">
        <is>
          <t>Державний</t>
        </is>
      </c>
      <c r="D752" t="inlineStr">
        <is>
          <t>6060</t>
        </is>
      </c>
      <c r="E752" t="inlineStr">
        <is>
          <t>(без привʼязки)</t>
        </is>
      </c>
      <c r="F752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2" t="inlineStr">
        <is>
          <t>А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-18.61046</v>
      </c>
      <c r="O752" t="n">
        <v>-18.61046</v>
      </c>
      <c r="P752" t="n">
        <v>0</v>
      </c>
    </row>
    <row r="753">
      <c r="A753" t="inlineStr">
        <is>
          <t>2</t>
        </is>
      </c>
      <c r="B753" t="inlineStr">
        <is>
          <t>АТ "Укрексімбанк"</t>
        </is>
      </c>
      <c r="C753" t="inlineStr">
        <is>
          <t>Державний</t>
        </is>
      </c>
      <c r="D753" t="inlineStr">
        <is>
          <t>6060</t>
        </is>
      </c>
      <c r="E753" t="inlineStr">
        <is>
          <t>Процентні доходи (коди р.60,р.61)</t>
        </is>
      </c>
      <c r="F753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3" t="inlineStr">
        <is>
          <t>А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-18.61046</v>
      </c>
      <c r="O753" t="n">
        <v>-18.61046</v>
      </c>
      <c r="P753" t="n">
        <v>0</v>
      </c>
    </row>
    <row r="754">
      <c r="A754" t="inlineStr">
        <is>
          <t>2</t>
        </is>
      </c>
      <c r="B754" t="inlineStr">
        <is>
          <t>АТ "Укрексімбанк"</t>
        </is>
      </c>
      <c r="C754" t="inlineStr">
        <is>
          <t>Державний</t>
        </is>
      </c>
      <c r="D754" t="inlineStr">
        <is>
          <t>6060</t>
        </is>
      </c>
      <c r="E754" t="inlineStr">
        <is>
          <t>Проценти за кредитами ДГ (коди 605, 606, 611)</t>
        </is>
      </c>
      <c r="F75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4" t="inlineStr">
        <is>
          <t>А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-18.61046</v>
      </c>
      <c r="O754" t="n">
        <v>-18.61046</v>
      </c>
      <c r="P754" t="n">
        <v>0</v>
      </c>
    </row>
    <row r="755">
      <c r="A755" t="inlineStr">
        <is>
          <t>2</t>
        </is>
      </c>
      <c r="B755" t="inlineStr">
        <is>
          <t>АТ "Укрексімбанк"</t>
        </is>
      </c>
      <c r="C755" t="inlineStr">
        <is>
          <t>Державний</t>
        </is>
      </c>
      <c r="D755" t="inlineStr">
        <is>
          <t>6060</t>
        </is>
      </c>
      <c r="E755" t="inlineStr">
        <is>
          <t>Загальні доходи (6)</t>
        </is>
      </c>
      <c r="F75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5" t="inlineStr">
        <is>
          <t>А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-18.61046</v>
      </c>
      <c r="O755" t="n">
        <v>-18.61046</v>
      </c>
      <c r="P755" t="n">
        <v>0</v>
      </c>
    </row>
    <row r="756">
      <c r="A756" t="inlineStr">
        <is>
          <t>2</t>
        </is>
      </c>
      <c r="B756" t="inlineStr">
        <is>
          <t>АТ "Укрексімбанк"</t>
        </is>
      </c>
      <c r="C756" t="inlineStr">
        <is>
          <t>Державний</t>
        </is>
      </c>
      <c r="D756" t="inlineStr">
        <is>
          <t>6060</t>
        </is>
      </c>
      <c r="E756" t="inlineStr">
        <is>
          <t>(без привʼязки)</t>
        </is>
      </c>
      <c r="F756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6" t="inlineStr">
        <is>
          <t>П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inlineStr">
        <is>
          <t>2</t>
        </is>
      </c>
      <c r="B757" t="inlineStr">
        <is>
          <t>АТ "Укрексімбанк"</t>
        </is>
      </c>
      <c r="C757" t="inlineStr">
        <is>
          <t>Державний</t>
        </is>
      </c>
      <c r="D757" t="inlineStr">
        <is>
          <t>6060</t>
        </is>
      </c>
      <c r="E757" t="inlineStr">
        <is>
          <t>Процентні доходи (коди р.60,р.61)</t>
        </is>
      </c>
      <c r="F75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7" t="inlineStr">
        <is>
          <t>П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inlineStr">
        <is>
          <t>2</t>
        </is>
      </c>
      <c r="B758" t="inlineStr">
        <is>
          <t>АТ "Укрексімбанк"</t>
        </is>
      </c>
      <c r="C758" t="inlineStr">
        <is>
          <t>Державний</t>
        </is>
      </c>
      <c r="D758" t="inlineStr">
        <is>
          <t>6060</t>
        </is>
      </c>
      <c r="E758" t="inlineStr">
        <is>
          <t>Проценти за кредитами ДГ (коди 605, 606, 611)</t>
        </is>
      </c>
      <c r="F758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8" t="inlineStr">
        <is>
          <t>П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inlineStr">
        <is>
          <t>2</t>
        </is>
      </c>
      <c r="B759" t="inlineStr">
        <is>
          <t>АТ "Укрексімбанк"</t>
        </is>
      </c>
      <c r="C759" t="inlineStr">
        <is>
          <t>Державний</t>
        </is>
      </c>
      <c r="D759" t="inlineStr">
        <is>
          <t>6060</t>
        </is>
      </c>
      <c r="E759" t="inlineStr">
        <is>
          <t>Загальні доходи (6)</t>
        </is>
      </c>
      <c r="F759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9" t="inlineStr">
        <is>
          <t>П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t="inlineStr">
        <is>
          <t>2</t>
        </is>
      </c>
      <c r="B760" t="inlineStr">
        <is>
          <t>АТ "Укрексімбанк"</t>
        </is>
      </c>
      <c r="C760" t="inlineStr">
        <is>
          <t>Державний</t>
        </is>
      </c>
      <c r="D760" t="inlineStr">
        <is>
          <t>6061</t>
        </is>
      </c>
      <c r="E760" t="inlineStr">
        <is>
          <t>(без привʼязки)</t>
        </is>
      </c>
      <c r="F760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0" t="inlineStr">
        <is>
          <t>А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2</t>
        </is>
      </c>
      <c r="B761" t="inlineStr">
        <is>
          <t>АТ "Укрексімбанк"</t>
        </is>
      </c>
      <c r="C761" t="inlineStr">
        <is>
          <t>Державний</t>
        </is>
      </c>
      <c r="D761" t="inlineStr">
        <is>
          <t>6061</t>
        </is>
      </c>
      <c r="E761" t="inlineStr">
        <is>
          <t>Процентні доходи (коди р.60,р.61)</t>
        </is>
      </c>
      <c r="F761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1" t="inlineStr">
        <is>
          <t>А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inlineStr">
        <is>
          <t>2</t>
        </is>
      </c>
      <c r="B762" t="inlineStr">
        <is>
          <t>АТ "Укрексімбанк"</t>
        </is>
      </c>
      <c r="C762" t="inlineStr">
        <is>
          <t>Державний</t>
        </is>
      </c>
      <c r="D762" t="inlineStr">
        <is>
          <t>6061</t>
        </is>
      </c>
      <c r="E762" t="inlineStr">
        <is>
          <t>Проценти за кредитами ДГ (коди 605, 606, 611)</t>
        </is>
      </c>
      <c r="F762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2" t="inlineStr">
        <is>
          <t>А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inlineStr">
        <is>
          <t>2</t>
        </is>
      </c>
      <c r="B763" t="inlineStr">
        <is>
          <t>АТ "Укрексімбанк"</t>
        </is>
      </c>
      <c r="C763" t="inlineStr">
        <is>
          <t>Державний</t>
        </is>
      </c>
      <c r="D763" t="inlineStr">
        <is>
          <t>6061</t>
        </is>
      </c>
      <c r="E763" t="inlineStr">
        <is>
          <t>Загальні доходи (6)</t>
        </is>
      </c>
      <c r="F763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3" t="inlineStr">
        <is>
          <t>А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inlineStr">
        <is>
          <t>2</t>
        </is>
      </c>
      <c r="B764" t="inlineStr">
        <is>
          <t>АТ "Укрексімбанк"</t>
        </is>
      </c>
      <c r="C764" t="inlineStr">
        <is>
          <t>Державний</t>
        </is>
      </c>
      <c r="D764" t="inlineStr">
        <is>
          <t>6061</t>
        </is>
      </c>
      <c r="E764" t="inlineStr">
        <is>
          <t>(без привʼязки)</t>
        </is>
      </c>
      <c r="F76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4" t="inlineStr">
        <is>
          <t>П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t="inlineStr">
        <is>
          <t>2</t>
        </is>
      </c>
      <c r="B765" t="inlineStr">
        <is>
          <t>АТ "Укрексімбанк"</t>
        </is>
      </c>
      <c r="C765" t="inlineStr">
        <is>
          <t>Державний</t>
        </is>
      </c>
      <c r="D765" t="inlineStr">
        <is>
          <t>6061</t>
        </is>
      </c>
      <c r="E765" t="inlineStr">
        <is>
          <t>Процентні доходи (коди р.60,р.61)</t>
        </is>
      </c>
      <c r="F76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5" t="inlineStr">
        <is>
          <t>П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inlineStr">
        <is>
          <t>2</t>
        </is>
      </c>
      <c r="B766" t="inlineStr">
        <is>
          <t>АТ "Укрексімбанк"</t>
        </is>
      </c>
      <c r="C766" t="inlineStr">
        <is>
          <t>Державний</t>
        </is>
      </c>
      <c r="D766" t="inlineStr">
        <is>
          <t>6061</t>
        </is>
      </c>
      <c r="E766" t="inlineStr">
        <is>
          <t>Проценти за кредитами ДГ (коди 605, 606, 611)</t>
        </is>
      </c>
      <c r="F76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6" t="inlineStr">
        <is>
          <t>П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inlineStr">
        <is>
          <t>2</t>
        </is>
      </c>
      <c r="B767" t="inlineStr">
        <is>
          <t>АТ "Укрексімбанк"</t>
        </is>
      </c>
      <c r="C767" t="inlineStr">
        <is>
          <t>Державний</t>
        </is>
      </c>
      <c r="D767" t="inlineStr">
        <is>
          <t>6061</t>
        </is>
      </c>
      <c r="E767" t="inlineStr">
        <is>
          <t>Загальні доходи (6)</t>
        </is>
      </c>
      <c r="F76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7" t="inlineStr">
        <is>
          <t>П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t="inlineStr">
        <is>
          <t>2</t>
        </is>
      </c>
      <c r="B768" t="inlineStr">
        <is>
          <t>АТ "Укрексімбанк"</t>
        </is>
      </c>
      <c r="C768" t="inlineStr">
        <is>
          <t>Державний</t>
        </is>
      </c>
      <c r="D768" t="inlineStr">
        <is>
          <t>6063</t>
        </is>
      </c>
      <c r="E768" t="inlineStr">
        <is>
          <t>(без привʼязки)</t>
        </is>
      </c>
      <c r="F768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68" t="inlineStr">
        <is>
          <t>А</t>
        </is>
      </c>
      <c r="H768" t="n">
        <v>4.13865</v>
      </c>
      <c r="I768" t="n">
        <v>4.13865</v>
      </c>
      <c r="J768" t="n">
        <v>0</v>
      </c>
      <c r="K768" t="n">
        <v>4.66325</v>
      </c>
      <c r="L768" t="n">
        <v>4.66325</v>
      </c>
      <c r="M768" t="n">
        <v>0</v>
      </c>
      <c r="N768" t="n">
        <v>0</v>
      </c>
      <c r="O768" t="n">
        <v>0</v>
      </c>
      <c r="P768" t="n">
        <v>0</v>
      </c>
    </row>
    <row r="769">
      <c r="A769" t="inlineStr">
        <is>
          <t>2</t>
        </is>
      </c>
      <c r="B769" t="inlineStr">
        <is>
          <t>АТ "Укрексімбанк"</t>
        </is>
      </c>
      <c r="C769" t="inlineStr">
        <is>
          <t>Державний</t>
        </is>
      </c>
      <c r="D769" t="inlineStr">
        <is>
          <t>6063</t>
        </is>
      </c>
      <c r="E769" t="inlineStr">
        <is>
          <t>Процентні доходи (коди р.60,р.61)</t>
        </is>
      </c>
      <c r="F769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69" t="inlineStr">
        <is>
          <t>А</t>
        </is>
      </c>
      <c r="H769" t="n">
        <v>4.13865</v>
      </c>
      <c r="I769" t="n">
        <v>4.13865</v>
      </c>
      <c r="J769" t="n">
        <v>0</v>
      </c>
      <c r="K769" t="n">
        <v>4.66325</v>
      </c>
      <c r="L769" t="n">
        <v>4.66325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2</t>
        </is>
      </c>
      <c r="B770" t="inlineStr">
        <is>
          <t>АТ "Укрексімбанк"</t>
        </is>
      </c>
      <c r="C770" t="inlineStr">
        <is>
          <t>Державний</t>
        </is>
      </c>
      <c r="D770" t="inlineStr">
        <is>
          <t>6063</t>
        </is>
      </c>
      <c r="E770" t="inlineStr">
        <is>
          <t>Проценти за кредитами ДГ (коди 605, 606, 611)</t>
        </is>
      </c>
      <c r="F770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0" t="inlineStr">
        <is>
          <t>А</t>
        </is>
      </c>
      <c r="H770" t="n">
        <v>4.13865</v>
      </c>
      <c r="I770" t="n">
        <v>4.13865</v>
      </c>
      <c r="J770" t="n">
        <v>0</v>
      </c>
      <c r="K770" t="n">
        <v>4.66325</v>
      </c>
      <c r="L770" t="n">
        <v>4.66325</v>
      </c>
      <c r="M770" t="n">
        <v>0</v>
      </c>
      <c r="N770" t="n">
        <v>0</v>
      </c>
      <c r="O770" t="n">
        <v>0</v>
      </c>
      <c r="P770" t="n">
        <v>0</v>
      </c>
    </row>
    <row r="771">
      <c r="A771" t="inlineStr">
        <is>
          <t>2</t>
        </is>
      </c>
      <c r="B771" t="inlineStr">
        <is>
          <t>АТ "Укрексімбанк"</t>
        </is>
      </c>
      <c r="C771" t="inlineStr">
        <is>
          <t>Державний</t>
        </is>
      </c>
      <c r="D771" t="inlineStr">
        <is>
          <t>6063</t>
        </is>
      </c>
      <c r="E771" t="inlineStr">
        <is>
          <t>Загальні доходи (6)</t>
        </is>
      </c>
      <c r="F77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1" t="inlineStr">
        <is>
          <t>А</t>
        </is>
      </c>
      <c r="H771" t="n">
        <v>4.13865</v>
      </c>
      <c r="I771" t="n">
        <v>4.13865</v>
      </c>
      <c r="J771" t="n">
        <v>0</v>
      </c>
      <c r="K771" t="n">
        <v>4.66325</v>
      </c>
      <c r="L771" t="n">
        <v>4.66325</v>
      </c>
      <c r="M771" t="n">
        <v>0</v>
      </c>
      <c r="N771" t="n">
        <v>0</v>
      </c>
      <c r="O771" t="n">
        <v>0</v>
      </c>
      <c r="P771" t="n">
        <v>0</v>
      </c>
    </row>
    <row r="772">
      <c r="A772" t="inlineStr">
        <is>
          <t>2</t>
        </is>
      </c>
      <c r="B772" t="inlineStr">
        <is>
          <t>АТ "Укрексімбанк"</t>
        </is>
      </c>
      <c r="C772" t="inlineStr">
        <is>
          <t>Державний</t>
        </is>
      </c>
      <c r="D772" t="inlineStr">
        <is>
          <t>6063</t>
        </is>
      </c>
      <c r="E772" t="inlineStr">
        <is>
          <t>(без привʼязки)</t>
        </is>
      </c>
      <c r="F772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2" t="inlineStr">
        <is>
          <t>П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4.10915</v>
      </c>
      <c r="O772" t="n">
        <v>4.10915</v>
      </c>
      <c r="P772" t="n">
        <v>0</v>
      </c>
    </row>
    <row r="773">
      <c r="A773" t="inlineStr">
        <is>
          <t>2</t>
        </is>
      </c>
      <c r="B773" t="inlineStr">
        <is>
          <t>АТ "Укрексімбанк"</t>
        </is>
      </c>
      <c r="C773" t="inlineStr">
        <is>
          <t>Державний</t>
        </is>
      </c>
      <c r="D773" t="inlineStr">
        <is>
          <t>6063</t>
        </is>
      </c>
      <c r="E773" t="inlineStr">
        <is>
          <t>Процентні доходи (коди р.60,р.61)</t>
        </is>
      </c>
      <c r="F773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3" t="inlineStr">
        <is>
          <t>П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4.10915</v>
      </c>
      <c r="O773" t="n">
        <v>4.10915</v>
      </c>
      <c r="P773" t="n">
        <v>0</v>
      </c>
    </row>
    <row r="774">
      <c r="A774" t="inlineStr">
        <is>
          <t>2</t>
        </is>
      </c>
      <c r="B774" t="inlineStr">
        <is>
          <t>АТ "Укрексімбанк"</t>
        </is>
      </c>
      <c r="C774" t="inlineStr">
        <is>
          <t>Державний</t>
        </is>
      </c>
      <c r="D774" t="inlineStr">
        <is>
          <t>6063</t>
        </is>
      </c>
      <c r="E774" t="inlineStr">
        <is>
          <t>Проценти за кредитами ДГ (коди 605, 606, 611)</t>
        </is>
      </c>
      <c r="F77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4" t="inlineStr">
        <is>
          <t>П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4.10915</v>
      </c>
      <c r="O774" t="n">
        <v>4.10915</v>
      </c>
      <c r="P774" t="n">
        <v>0</v>
      </c>
    </row>
    <row r="775">
      <c r="A775" t="inlineStr">
        <is>
          <t>2</t>
        </is>
      </c>
      <c r="B775" t="inlineStr">
        <is>
          <t>АТ "Укрексімбанк"</t>
        </is>
      </c>
      <c r="C775" t="inlineStr">
        <is>
          <t>Державний</t>
        </is>
      </c>
      <c r="D775" t="inlineStr">
        <is>
          <t>6063</t>
        </is>
      </c>
      <c r="E775" t="inlineStr">
        <is>
          <t>Загальні доходи (6)</t>
        </is>
      </c>
      <c r="F77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5" t="inlineStr">
        <is>
          <t>П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4.10915</v>
      </c>
      <c r="O775" t="n">
        <v>4.10915</v>
      </c>
      <c r="P775" t="n">
        <v>0</v>
      </c>
    </row>
    <row r="776">
      <c r="A776" t="inlineStr">
        <is>
          <t>2</t>
        </is>
      </c>
      <c r="B776" t="inlineStr">
        <is>
          <t>АТ "Укрексімбанк"</t>
        </is>
      </c>
      <c r="C776" t="inlineStr">
        <is>
          <t>Державний</t>
        </is>
      </c>
      <c r="D776" t="inlineStr">
        <is>
          <t>6090</t>
        </is>
      </c>
      <c r="E776" t="inlineStr">
        <is>
          <t>(без привʼязки)</t>
        </is>
      </c>
      <c r="F776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6" t="inlineStr">
        <is>
          <t>П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t="inlineStr">
        <is>
          <t>2</t>
        </is>
      </c>
      <c r="B777" t="inlineStr">
        <is>
          <t>АТ "Укрексімбанк"</t>
        </is>
      </c>
      <c r="C777" t="inlineStr">
        <is>
          <t>Державний</t>
        </is>
      </c>
      <c r="D777" t="inlineStr">
        <is>
          <t>6090</t>
        </is>
      </c>
      <c r="E777" t="inlineStr">
        <is>
          <t>Процентні доходи (коди р.60,р.61)</t>
        </is>
      </c>
      <c r="F777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7" t="inlineStr">
        <is>
          <t>П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t="inlineStr">
        <is>
          <t>2</t>
        </is>
      </c>
      <c r="B778" t="inlineStr">
        <is>
          <t>АТ "Укрексімбанк"</t>
        </is>
      </c>
      <c r="C778" t="inlineStr">
        <is>
          <t>Державний</t>
        </is>
      </c>
      <c r="D778" t="inlineStr">
        <is>
          <t>6090</t>
        </is>
      </c>
      <c r="E778" t="inlineStr">
        <is>
          <t>Проценти за кредитами НК (коди 602, 603, 609)</t>
        </is>
      </c>
      <c r="F778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8" t="inlineStr">
        <is>
          <t>П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inlineStr">
        <is>
          <t>2</t>
        </is>
      </c>
      <c r="B779" t="inlineStr">
        <is>
          <t>АТ "Укрексімбанк"</t>
        </is>
      </c>
      <c r="C779" t="inlineStr">
        <is>
          <t>Державний</t>
        </is>
      </c>
      <c r="D779" t="inlineStr">
        <is>
          <t>6090</t>
        </is>
      </c>
      <c r="E779" t="inlineStr">
        <is>
          <t>Загальні доходи (6)</t>
        </is>
      </c>
      <c r="F77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9" t="inlineStr">
        <is>
          <t>П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2</t>
        </is>
      </c>
      <c r="B780" t="inlineStr">
        <is>
          <t>АТ "Укрексімбанк"</t>
        </is>
      </c>
      <c r="C780" t="inlineStr">
        <is>
          <t>Державний</t>
        </is>
      </c>
      <c r="D780" t="inlineStr">
        <is>
          <t>6094</t>
        </is>
      </c>
      <c r="E780" t="inlineStr">
        <is>
          <t>(без привʼязки)</t>
        </is>
      </c>
      <c r="F780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0" t="inlineStr">
        <is>
          <t>П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2</t>
        </is>
      </c>
      <c r="B781" t="inlineStr">
        <is>
          <t>АТ "Укрексімбанк"</t>
        </is>
      </c>
      <c r="C781" t="inlineStr">
        <is>
          <t>Державний</t>
        </is>
      </c>
      <c r="D781" t="inlineStr">
        <is>
          <t>6094</t>
        </is>
      </c>
      <c r="E781" t="inlineStr">
        <is>
          <t>Процентні доходи (коди р.60,р.61)</t>
        </is>
      </c>
      <c r="F781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1" t="inlineStr">
        <is>
          <t>П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inlineStr">
        <is>
          <t>2</t>
        </is>
      </c>
      <c r="B782" t="inlineStr">
        <is>
          <t>АТ "Укрексімбанк"</t>
        </is>
      </c>
      <c r="C782" t="inlineStr">
        <is>
          <t>Державний</t>
        </is>
      </c>
      <c r="D782" t="inlineStr">
        <is>
          <t>6094</t>
        </is>
      </c>
      <c r="E782" t="inlineStr">
        <is>
          <t>Проценти за кредитами НК (коди 602, 603, 609)</t>
        </is>
      </c>
      <c r="F782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2" t="inlineStr">
        <is>
          <t>П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inlineStr">
        <is>
          <t>2</t>
        </is>
      </c>
      <c r="B783" t="inlineStr">
        <is>
          <t>АТ "Укрексімбанк"</t>
        </is>
      </c>
      <c r="C783" t="inlineStr">
        <is>
          <t>Державний</t>
        </is>
      </c>
      <c r="D783" t="inlineStr">
        <is>
          <t>6094</t>
        </is>
      </c>
      <c r="E783" t="inlineStr">
        <is>
          <t>Загальні доходи (6)</t>
        </is>
      </c>
      <c r="F783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3" t="inlineStr">
        <is>
          <t>П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t="inlineStr">
        <is>
          <t>2</t>
        </is>
      </c>
      <c r="B784" t="inlineStr">
        <is>
          <t>АТ "Укрексімбанк"</t>
        </is>
      </c>
      <c r="C784" t="inlineStr">
        <is>
          <t>Державний</t>
        </is>
      </c>
      <c r="D784" t="inlineStr">
        <is>
          <t>6110</t>
        </is>
      </c>
      <c r="E784" t="inlineStr">
        <is>
          <t>(без привʼязки)</t>
        </is>
      </c>
      <c r="F78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4" t="inlineStr">
        <is>
          <t>П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inlineStr">
        <is>
          <t>2</t>
        </is>
      </c>
      <c r="B785" t="inlineStr">
        <is>
          <t>АТ "Укрексімбанк"</t>
        </is>
      </c>
      <c r="C785" t="inlineStr">
        <is>
          <t>Державний</t>
        </is>
      </c>
      <c r="D785" t="inlineStr">
        <is>
          <t>6110</t>
        </is>
      </c>
      <c r="E785" t="inlineStr">
        <is>
          <t>Процентні доходи (коди р.60,р.61)</t>
        </is>
      </c>
      <c r="F785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5" t="inlineStr">
        <is>
          <t>П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inlineStr">
        <is>
          <t>2</t>
        </is>
      </c>
      <c r="B786" t="inlineStr">
        <is>
          <t>АТ "Укрексімбанк"</t>
        </is>
      </c>
      <c r="C786" t="inlineStr">
        <is>
          <t>Державний</t>
        </is>
      </c>
      <c r="D786" t="inlineStr">
        <is>
          <t>6110</t>
        </is>
      </c>
      <c r="E786" t="inlineStr">
        <is>
          <t>Проценти за кредитами ДГ (коди 605, 606, 611)</t>
        </is>
      </c>
      <c r="F786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6" t="inlineStr">
        <is>
          <t>П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2</t>
        </is>
      </c>
      <c r="B787" t="inlineStr">
        <is>
          <t>АТ "Укрексімбанк"</t>
        </is>
      </c>
      <c r="C787" t="inlineStr">
        <is>
          <t>Державний</t>
        </is>
      </c>
      <c r="D787" t="inlineStr">
        <is>
          <t>6110</t>
        </is>
      </c>
      <c r="E787" t="inlineStr">
        <is>
          <t>Загальні доходи (6)</t>
        </is>
      </c>
      <c r="F787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7" t="inlineStr">
        <is>
          <t>П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inlineStr">
        <is>
          <t>2</t>
        </is>
      </c>
      <c r="B788" t="inlineStr">
        <is>
          <t>АТ "Укрексімбанк"</t>
        </is>
      </c>
      <c r="C788" t="inlineStr">
        <is>
          <t>Державний</t>
        </is>
      </c>
      <c r="D788" t="inlineStr">
        <is>
          <t>6113</t>
        </is>
      </c>
      <c r="E788" t="inlineStr">
        <is>
          <t>(без привʼязки)</t>
        </is>
      </c>
      <c r="F788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88" t="inlineStr">
        <is>
          <t>П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inlineStr">
        <is>
          <t>2</t>
        </is>
      </c>
      <c r="B789" t="inlineStr">
        <is>
          <t>АТ "Укрексімбанк"</t>
        </is>
      </c>
      <c r="C789" t="inlineStr">
        <is>
          <t>Державний</t>
        </is>
      </c>
      <c r="D789" t="inlineStr">
        <is>
          <t>6113</t>
        </is>
      </c>
      <c r="E789" t="inlineStr">
        <is>
          <t>Процентні доходи (коди р.60,р.61)</t>
        </is>
      </c>
      <c r="F789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89" t="inlineStr">
        <is>
          <t>П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inlineStr">
        <is>
          <t>2</t>
        </is>
      </c>
      <c r="B790" t="inlineStr">
        <is>
          <t>АТ "Укрексімбанк"</t>
        </is>
      </c>
      <c r="C790" t="inlineStr">
        <is>
          <t>Державний</t>
        </is>
      </c>
      <c r="D790" t="inlineStr">
        <is>
          <t>6113</t>
        </is>
      </c>
      <c r="E790" t="inlineStr">
        <is>
          <t>Проценти за кредитами ДГ (коди 605, 606, 611)</t>
        </is>
      </c>
      <c r="F790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90" t="inlineStr">
        <is>
          <t>П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2</t>
        </is>
      </c>
      <c r="B791" t="inlineStr">
        <is>
          <t>АТ "Укрексімбанк"</t>
        </is>
      </c>
      <c r="C791" t="inlineStr">
        <is>
          <t>Державний</t>
        </is>
      </c>
      <c r="D791" t="inlineStr">
        <is>
          <t>6113</t>
        </is>
      </c>
      <c r="E791" t="inlineStr">
        <is>
          <t>Загальні доходи (6)</t>
        </is>
      </c>
      <c r="F791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91" t="inlineStr">
        <is>
          <t>П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>
        <is>
          <t>2</t>
        </is>
      </c>
      <c r="B792" t="inlineStr">
        <is>
          <t>АТ "Укрексімбанк"</t>
        </is>
      </c>
      <c r="C792" t="inlineStr">
        <is>
          <t>Державний</t>
        </is>
      </c>
      <c r="D792" t="inlineStr">
        <is>
          <t>6120</t>
        </is>
      </c>
      <c r="E792" t="inlineStr">
        <is>
          <t>(без привʼязки)</t>
        </is>
      </c>
      <c r="F79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2" t="inlineStr">
        <is>
          <t>П</t>
        </is>
      </c>
      <c r="H792" t="n">
        <v>371.81369</v>
      </c>
      <c r="I792" t="n">
        <v>371.81369</v>
      </c>
      <c r="J792" t="n">
        <v>0</v>
      </c>
      <c r="K792" t="n">
        <v>110826.9777</v>
      </c>
      <c r="L792" t="n">
        <v>110826.9777</v>
      </c>
      <c r="M792" t="n">
        <v>0</v>
      </c>
      <c r="N792" t="n">
        <v>1184071.06761</v>
      </c>
      <c r="O792" t="n">
        <v>1184071.06761</v>
      </c>
      <c r="P792" t="n">
        <v>0</v>
      </c>
    </row>
    <row r="793">
      <c r="A793" t="inlineStr">
        <is>
          <t>2</t>
        </is>
      </c>
      <c r="B793" t="inlineStr">
        <is>
          <t>АТ "Укрексімбанк"</t>
        </is>
      </c>
      <c r="C793" t="inlineStr">
        <is>
          <t>Державний</t>
        </is>
      </c>
      <c r="D793" t="inlineStr">
        <is>
          <t>6120</t>
        </is>
      </c>
      <c r="E793" t="inlineStr">
        <is>
          <t>Проценти по ОВДП (коди 6120-6122)</t>
        </is>
      </c>
      <c r="F79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3" t="inlineStr">
        <is>
          <t>П</t>
        </is>
      </c>
      <c r="H793" t="n">
        <v>371.81369</v>
      </c>
      <c r="I793" t="n">
        <v>371.81369</v>
      </c>
      <c r="J793" t="n">
        <v>0</v>
      </c>
      <c r="K793" t="n">
        <v>110826.9777</v>
      </c>
      <c r="L793" t="n">
        <v>110826.9777</v>
      </c>
      <c r="M793" t="n">
        <v>0</v>
      </c>
      <c r="N793" t="n">
        <v>1184071.06761</v>
      </c>
      <c r="O793" t="n">
        <v>1184071.06761</v>
      </c>
      <c r="P793" t="n">
        <v>0</v>
      </c>
    </row>
    <row r="794">
      <c r="A794" t="inlineStr">
        <is>
          <t>2</t>
        </is>
      </c>
      <c r="B794" t="inlineStr">
        <is>
          <t>АТ "Укрексімбанк"</t>
        </is>
      </c>
      <c r="C794" t="inlineStr">
        <is>
          <t>Державний</t>
        </is>
      </c>
      <c r="D794" t="inlineStr">
        <is>
          <t>6120</t>
        </is>
      </c>
      <c r="E794" t="inlineStr">
        <is>
          <t>Процентні доходи (коди р.60,р.61)</t>
        </is>
      </c>
      <c r="F79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4" t="inlineStr">
        <is>
          <t>П</t>
        </is>
      </c>
      <c r="H794" t="n">
        <v>371.81369</v>
      </c>
      <c r="I794" t="n">
        <v>371.81369</v>
      </c>
      <c r="J794" t="n">
        <v>0</v>
      </c>
      <c r="K794" t="n">
        <v>110826.9777</v>
      </c>
      <c r="L794" t="n">
        <v>110826.9777</v>
      </c>
      <c r="M794" t="n">
        <v>0</v>
      </c>
      <c r="N794" t="n">
        <v>1184071.06761</v>
      </c>
      <c r="O794" t="n">
        <v>1184071.06761</v>
      </c>
      <c r="P794" t="n">
        <v>0</v>
      </c>
    </row>
    <row r="795">
      <c r="A795" t="inlineStr">
        <is>
          <t>2</t>
        </is>
      </c>
      <c r="B795" t="inlineStr">
        <is>
          <t>АТ "Укрексімбанк"</t>
        </is>
      </c>
      <c r="C795" t="inlineStr">
        <is>
          <t>Державний</t>
        </is>
      </c>
      <c r="D795" t="inlineStr">
        <is>
          <t>6120</t>
        </is>
      </c>
      <c r="E795" t="inlineStr">
        <is>
          <t>Загальні доходи (6)</t>
        </is>
      </c>
      <c r="F79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5" t="inlineStr">
        <is>
          <t>П</t>
        </is>
      </c>
      <c r="H795" t="n">
        <v>371.81369</v>
      </c>
      <c r="I795" t="n">
        <v>371.81369</v>
      </c>
      <c r="J795" t="n">
        <v>0</v>
      </c>
      <c r="K795" t="n">
        <v>110826.9777</v>
      </c>
      <c r="L795" t="n">
        <v>110826.9777</v>
      </c>
      <c r="M795" t="n">
        <v>0</v>
      </c>
      <c r="N795" t="n">
        <v>1184071.06761</v>
      </c>
      <c r="O795" t="n">
        <v>1184071.06761</v>
      </c>
      <c r="P795" t="n">
        <v>0</v>
      </c>
    </row>
    <row r="796">
      <c r="A796" t="inlineStr">
        <is>
          <t>2</t>
        </is>
      </c>
      <c r="B796" t="inlineStr">
        <is>
          <t>АТ "Укрексімбанк"</t>
        </is>
      </c>
      <c r="C796" t="inlineStr">
        <is>
          <t>Державний</t>
        </is>
      </c>
      <c r="D796" t="inlineStr">
        <is>
          <t>6121</t>
        </is>
      </c>
      <c r="E796" t="inlineStr">
        <is>
          <t>(без привʼязки)</t>
        </is>
      </c>
      <c r="F79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6" t="inlineStr">
        <is>
          <t>А</t>
        </is>
      </c>
      <c r="H796" t="n">
        <v>7620.90615</v>
      </c>
      <c r="I796" t="n">
        <v>7620.90615</v>
      </c>
      <c r="J796" t="n">
        <v>0</v>
      </c>
      <c r="K796" t="n">
        <v>252802.83247</v>
      </c>
      <c r="L796" t="n">
        <v>252802.83247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2</t>
        </is>
      </c>
      <c r="B797" t="inlineStr">
        <is>
          <t>АТ "Укрексімбанк"</t>
        </is>
      </c>
      <c r="C797" t="inlineStr">
        <is>
          <t>Державний</t>
        </is>
      </c>
      <c r="D797" t="inlineStr">
        <is>
          <t>6121</t>
        </is>
      </c>
      <c r="E797" t="inlineStr">
        <is>
          <t>Проценти по ОВДП (коди 6120-6122)</t>
        </is>
      </c>
      <c r="F79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7" t="inlineStr">
        <is>
          <t>А</t>
        </is>
      </c>
      <c r="H797" t="n">
        <v>7620.90615</v>
      </c>
      <c r="I797" t="n">
        <v>7620.90615</v>
      </c>
      <c r="J797" t="n">
        <v>0</v>
      </c>
      <c r="K797" t="n">
        <v>252802.83247</v>
      </c>
      <c r="L797" t="n">
        <v>252802.83247</v>
      </c>
      <c r="M797" t="n">
        <v>0</v>
      </c>
      <c r="N797" t="n">
        <v>0</v>
      </c>
      <c r="O797" t="n">
        <v>0</v>
      </c>
      <c r="P797" t="n">
        <v>0</v>
      </c>
    </row>
    <row r="798">
      <c r="A798" t="inlineStr">
        <is>
          <t>2</t>
        </is>
      </c>
      <c r="B798" t="inlineStr">
        <is>
          <t>АТ "Укрексімбанк"</t>
        </is>
      </c>
      <c r="C798" t="inlineStr">
        <is>
          <t>Державний</t>
        </is>
      </c>
      <c r="D798" t="inlineStr">
        <is>
          <t>6121</t>
        </is>
      </c>
      <c r="E798" t="inlineStr">
        <is>
          <t>Процентні доходи (коди р.60,р.61)</t>
        </is>
      </c>
      <c r="F79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8" t="inlineStr">
        <is>
          <t>А</t>
        </is>
      </c>
      <c r="H798" t="n">
        <v>7620.90615</v>
      </c>
      <c r="I798" t="n">
        <v>7620.90615</v>
      </c>
      <c r="J798" t="n">
        <v>0</v>
      </c>
      <c r="K798" t="n">
        <v>252802.83247</v>
      </c>
      <c r="L798" t="n">
        <v>252802.83247</v>
      </c>
      <c r="M798" t="n">
        <v>0</v>
      </c>
      <c r="N798" t="n">
        <v>0</v>
      </c>
      <c r="O798" t="n">
        <v>0</v>
      </c>
      <c r="P798" t="n">
        <v>0</v>
      </c>
    </row>
    <row r="799">
      <c r="A799" t="inlineStr">
        <is>
          <t>2</t>
        </is>
      </c>
      <c r="B799" t="inlineStr">
        <is>
          <t>АТ "Укрексімбанк"</t>
        </is>
      </c>
      <c r="C799" t="inlineStr">
        <is>
          <t>Державний</t>
        </is>
      </c>
      <c r="D799" t="inlineStr">
        <is>
          <t>6121</t>
        </is>
      </c>
      <c r="E799" t="inlineStr">
        <is>
          <t>Загальні доходи (6)</t>
        </is>
      </c>
      <c r="F79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9" t="inlineStr">
        <is>
          <t>А</t>
        </is>
      </c>
      <c r="H799" t="n">
        <v>7620.90615</v>
      </c>
      <c r="I799" t="n">
        <v>7620.90615</v>
      </c>
      <c r="J799" t="n">
        <v>0</v>
      </c>
      <c r="K799" t="n">
        <v>252802.83247</v>
      </c>
      <c r="L799" t="n">
        <v>252802.83247</v>
      </c>
      <c r="M799" t="n">
        <v>0</v>
      </c>
      <c r="N799" t="n">
        <v>0</v>
      </c>
      <c r="O799" t="n">
        <v>0</v>
      </c>
      <c r="P799" t="n">
        <v>0</v>
      </c>
    </row>
    <row r="800">
      <c r="A800" t="inlineStr">
        <is>
          <t>2</t>
        </is>
      </c>
      <c r="B800" t="inlineStr">
        <is>
          <t>АТ "Укрексімбанк"</t>
        </is>
      </c>
      <c r="C800" t="inlineStr">
        <is>
          <t>Державний</t>
        </is>
      </c>
      <c r="D800" t="inlineStr">
        <is>
          <t>6121</t>
        </is>
      </c>
      <c r="E800" t="inlineStr">
        <is>
          <t>(без привʼязки)</t>
        </is>
      </c>
      <c r="F80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0" t="inlineStr">
        <is>
          <t>П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3387939.91017</v>
      </c>
      <c r="O800" t="n">
        <v>3387939.91017</v>
      </c>
      <c r="P800" t="n">
        <v>0</v>
      </c>
    </row>
    <row r="801">
      <c r="A801" t="inlineStr">
        <is>
          <t>2</t>
        </is>
      </c>
      <c r="B801" t="inlineStr">
        <is>
          <t>АТ "Укрексімбанк"</t>
        </is>
      </c>
      <c r="C801" t="inlineStr">
        <is>
          <t>Державний</t>
        </is>
      </c>
      <c r="D801" t="inlineStr">
        <is>
          <t>6121</t>
        </is>
      </c>
      <c r="E801" t="inlineStr">
        <is>
          <t>Проценти по ОВДП (коди 6120-6122)</t>
        </is>
      </c>
      <c r="F80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1" t="inlineStr">
        <is>
          <t>П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3387939.91017</v>
      </c>
      <c r="O801" t="n">
        <v>3387939.91017</v>
      </c>
      <c r="P801" t="n">
        <v>0</v>
      </c>
    </row>
    <row r="802">
      <c r="A802" t="inlineStr">
        <is>
          <t>2</t>
        </is>
      </c>
      <c r="B802" t="inlineStr">
        <is>
          <t>АТ "Укрексімбанк"</t>
        </is>
      </c>
      <c r="C802" t="inlineStr">
        <is>
          <t>Державний</t>
        </is>
      </c>
      <c r="D802" t="inlineStr">
        <is>
          <t>6121</t>
        </is>
      </c>
      <c r="E802" t="inlineStr">
        <is>
          <t>Процентні доходи (коди р.60,р.61)</t>
        </is>
      </c>
      <c r="F80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2" t="inlineStr">
        <is>
          <t>П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3387939.91017</v>
      </c>
      <c r="O802" t="n">
        <v>3387939.91017</v>
      </c>
      <c r="P802" t="n">
        <v>0</v>
      </c>
    </row>
    <row r="803">
      <c r="A803" t="inlineStr">
        <is>
          <t>2</t>
        </is>
      </c>
      <c r="B803" t="inlineStr">
        <is>
          <t>АТ "Укрексімбанк"</t>
        </is>
      </c>
      <c r="C803" t="inlineStr">
        <is>
          <t>Державний</t>
        </is>
      </c>
      <c r="D803" t="inlineStr">
        <is>
          <t>6121</t>
        </is>
      </c>
      <c r="E803" t="inlineStr">
        <is>
          <t>Загальні доходи (6)</t>
        </is>
      </c>
      <c r="F80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3" t="inlineStr">
        <is>
          <t>П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3387939.91017</v>
      </c>
      <c r="O803" t="n">
        <v>3387939.91017</v>
      </c>
      <c r="P803" t="n">
        <v>0</v>
      </c>
    </row>
    <row r="804">
      <c r="A804" t="inlineStr">
        <is>
          <t>2</t>
        </is>
      </c>
      <c r="B804" t="inlineStr">
        <is>
          <t>АТ "Укрексімбанк"</t>
        </is>
      </c>
      <c r="C804" t="inlineStr">
        <is>
          <t>Державний</t>
        </is>
      </c>
      <c r="D804" t="inlineStr">
        <is>
          <t>6122</t>
        </is>
      </c>
      <c r="E804" t="inlineStr">
        <is>
          <t>(без привʼязки)</t>
        </is>
      </c>
      <c r="F80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4" t="inlineStr">
        <is>
          <t>А</t>
        </is>
      </c>
      <c r="H804" t="n">
        <v>6213.55395</v>
      </c>
      <c r="I804" t="n">
        <v>6213.55395</v>
      </c>
      <c r="J804" t="n">
        <v>0</v>
      </c>
      <c r="K804" t="n">
        <v>305992.82536</v>
      </c>
      <c r="L804" t="n">
        <v>305992.82536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>
        <is>
          <t>2</t>
        </is>
      </c>
      <c r="B805" t="inlineStr">
        <is>
          <t>АТ "Укрексімбанк"</t>
        </is>
      </c>
      <c r="C805" t="inlineStr">
        <is>
          <t>Державний</t>
        </is>
      </c>
      <c r="D805" t="inlineStr">
        <is>
          <t>6122</t>
        </is>
      </c>
      <c r="E805" t="inlineStr">
        <is>
          <t>Проценти по ОВДП (коди 6120-6122)</t>
        </is>
      </c>
      <c r="F805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5" t="inlineStr">
        <is>
          <t>А</t>
        </is>
      </c>
      <c r="H805" t="n">
        <v>6213.55395</v>
      </c>
      <c r="I805" t="n">
        <v>6213.55395</v>
      </c>
      <c r="J805" t="n">
        <v>0</v>
      </c>
      <c r="K805" t="n">
        <v>305992.82536</v>
      </c>
      <c r="L805" t="n">
        <v>305992.82536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2</t>
        </is>
      </c>
      <c r="B806" t="inlineStr">
        <is>
          <t>АТ "Укрексімбанк"</t>
        </is>
      </c>
      <c r="C806" t="inlineStr">
        <is>
          <t>Державний</t>
        </is>
      </c>
      <c r="D806" t="inlineStr">
        <is>
          <t>6122</t>
        </is>
      </c>
      <c r="E806" t="inlineStr">
        <is>
          <t>Процентні доходи (коди р.60,р.61)</t>
        </is>
      </c>
      <c r="F806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6" t="inlineStr">
        <is>
          <t>А</t>
        </is>
      </c>
      <c r="H806" t="n">
        <v>6213.55395</v>
      </c>
      <c r="I806" t="n">
        <v>6213.55395</v>
      </c>
      <c r="J806" t="n">
        <v>0</v>
      </c>
      <c r="K806" t="n">
        <v>305992.82536</v>
      </c>
      <c r="L806" t="n">
        <v>305992.82536</v>
      </c>
      <c r="M806" t="n">
        <v>0</v>
      </c>
      <c r="N806" t="n">
        <v>0</v>
      </c>
      <c r="O806" t="n">
        <v>0</v>
      </c>
      <c r="P806" t="n">
        <v>0</v>
      </c>
    </row>
    <row r="807">
      <c r="A807" t="inlineStr">
        <is>
          <t>2</t>
        </is>
      </c>
      <c r="B807" t="inlineStr">
        <is>
          <t>АТ "Укрексімбанк"</t>
        </is>
      </c>
      <c r="C807" t="inlineStr">
        <is>
          <t>Державний</t>
        </is>
      </c>
      <c r="D807" t="inlineStr">
        <is>
          <t>6122</t>
        </is>
      </c>
      <c r="E807" t="inlineStr">
        <is>
          <t>Загальні доходи (6)</t>
        </is>
      </c>
      <c r="F80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7" t="inlineStr">
        <is>
          <t>А</t>
        </is>
      </c>
      <c r="H807" t="n">
        <v>6213.55395</v>
      </c>
      <c r="I807" t="n">
        <v>6213.55395</v>
      </c>
      <c r="J807" t="n">
        <v>0</v>
      </c>
      <c r="K807" t="n">
        <v>305992.82536</v>
      </c>
      <c r="L807" t="n">
        <v>305992.82536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2</t>
        </is>
      </c>
      <c r="B808" t="inlineStr">
        <is>
          <t>АТ "Укрексімбанк"</t>
        </is>
      </c>
      <c r="C808" t="inlineStr">
        <is>
          <t>Державний</t>
        </is>
      </c>
      <c r="D808" t="inlineStr">
        <is>
          <t>6122</t>
        </is>
      </c>
      <c r="E808" t="inlineStr">
        <is>
          <t>(без привʼязки)</t>
        </is>
      </c>
      <c r="F808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8" t="inlineStr">
        <is>
          <t>П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3125405.41233</v>
      </c>
      <c r="O808" t="n">
        <v>3125405.41233</v>
      </c>
      <c r="P808" t="n">
        <v>0</v>
      </c>
    </row>
    <row r="809">
      <c r="A809" t="inlineStr">
        <is>
          <t>2</t>
        </is>
      </c>
      <c r="B809" t="inlineStr">
        <is>
          <t>АТ "Укрексімбанк"</t>
        </is>
      </c>
      <c r="C809" t="inlineStr">
        <is>
          <t>Державний</t>
        </is>
      </c>
      <c r="D809" t="inlineStr">
        <is>
          <t>6122</t>
        </is>
      </c>
      <c r="E809" t="inlineStr">
        <is>
          <t>Проценти по ОВДП (коди 6120-6122)</t>
        </is>
      </c>
      <c r="F809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9" t="inlineStr">
        <is>
          <t>П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3125405.41233</v>
      </c>
      <c r="O809" t="n">
        <v>3125405.41233</v>
      </c>
      <c r="P809" t="n">
        <v>0</v>
      </c>
    </row>
    <row r="810">
      <c r="A810" t="inlineStr">
        <is>
          <t>2</t>
        </is>
      </c>
      <c r="B810" t="inlineStr">
        <is>
          <t>АТ "Укрексімбанк"</t>
        </is>
      </c>
      <c r="C810" t="inlineStr">
        <is>
          <t>Державний</t>
        </is>
      </c>
      <c r="D810" t="inlineStr">
        <is>
          <t>6122</t>
        </is>
      </c>
      <c r="E810" t="inlineStr">
        <is>
          <t>Процентні доходи (коди р.60,р.61)</t>
        </is>
      </c>
      <c r="F810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10" t="inlineStr">
        <is>
          <t>П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3125405.41233</v>
      </c>
      <c r="O810" t="n">
        <v>3125405.41233</v>
      </c>
      <c r="P810" t="n">
        <v>0</v>
      </c>
    </row>
    <row r="811">
      <c r="A811" t="inlineStr">
        <is>
          <t>2</t>
        </is>
      </c>
      <c r="B811" t="inlineStr">
        <is>
          <t>АТ "Укрексімбанк"</t>
        </is>
      </c>
      <c r="C811" t="inlineStr">
        <is>
          <t>Державний</t>
        </is>
      </c>
      <c r="D811" t="inlineStr">
        <is>
          <t>6122</t>
        </is>
      </c>
      <c r="E811" t="inlineStr">
        <is>
          <t>Загальні доходи (6)</t>
        </is>
      </c>
      <c r="F811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11" t="inlineStr">
        <is>
          <t>П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3125405.41233</v>
      </c>
      <c r="O811" t="n">
        <v>3125405.41233</v>
      </c>
      <c r="P811" t="n">
        <v>0</v>
      </c>
    </row>
    <row r="812">
      <c r="A812" t="inlineStr">
        <is>
          <t>2</t>
        </is>
      </c>
      <c r="B812" t="inlineStr">
        <is>
          <t>АТ "Укрексімбанк"</t>
        </is>
      </c>
      <c r="C812" t="inlineStr">
        <is>
          <t>Державний</t>
        </is>
      </c>
      <c r="D812" t="inlineStr">
        <is>
          <t>6123</t>
        </is>
      </c>
      <c r="E812" t="inlineStr">
        <is>
          <t>(без привʼязки)</t>
        </is>
      </c>
      <c r="F812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2" t="inlineStr">
        <is>
          <t>П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2</t>
        </is>
      </c>
      <c r="B813" t="inlineStr">
        <is>
          <t>АТ "Укрексімбанк"</t>
        </is>
      </c>
      <c r="C813" t="inlineStr">
        <is>
          <t>Державний</t>
        </is>
      </c>
      <c r="D813" t="inlineStr">
        <is>
          <t>6123</t>
        </is>
      </c>
      <c r="E813" t="inlineStr">
        <is>
          <t>Процентні доходи (коди р.60,р.61)</t>
        </is>
      </c>
      <c r="F813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3" t="inlineStr">
        <is>
          <t>П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2</t>
        </is>
      </c>
      <c r="B814" t="inlineStr">
        <is>
          <t>АТ "Укрексімбанк"</t>
        </is>
      </c>
      <c r="C814" t="inlineStr">
        <is>
          <t>Державний</t>
        </is>
      </c>
      <c r="D814" t="inlineStr">
        <is>
          <t>6123</t>
        </is>
      </c>
      <c r="E814" t="inlineStr">
        <is>
          <t>Загальні доходи (6)</t>
        </is>
      </c>
      <c r="F8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4" t="inlineStr">
        <is>
          <t>П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inlineStr">
        <is>
          <t>2</t>
        </is>
      </c>
      <c r="B815" t="inlineStr">
        <is>
          <t>АТ "Укрексімбанк"</t>
        </is>
      </c>
      <c r="C815" t="inlineStr">
        <is>
          <t>Державний</t>
        </is>
      </c>
      <c r="D815" t="inlineStr">
        <is>
          <t>6124</t>
        </is>
      </c>
      <c r="E815" t="inlineStr">
        <is>
          <t>(без привʼязки)</t>
        </is>
      </c>
      <c r="F81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5" t="inlineStr">
        <is>
          <t>А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inlineStr">
        <is>
          <t>2</t>
        </is>
      </c>
      <c r="B816" t="inlineStr">
        <is>
          <t>АТ "Укрексімбанк"</t>
        </is>
      </c>
      <c r="C816" t="inlineStr">
        <is>
          <t>Державний</t>
        </is>
      </c>
      <c r="D816" t="inlineStr">
        <is>
          <t>6124</t>
        </is>
      </c>
      <c r="E816" t="inlineStr">
        <is>
          <t>Процентні доходи (коди р.60,р.61)</t>
        </is>
      </c>
      <c r="F816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6" t="inlineStr">
        <is>
          <t>А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inlineStr">
        <is>
          <t>2</t>
        </is>
      </c>
      <c r="B817" t="inlineStr">
        <is>
          <t>АТ "Укрексімбанк"</t>
        </is>
      </c>
      <c r="C817" t="inlineStr">
        <is>
          <t>Державний</t>
        </is>
      </c>
      <c r="D817" t="inlineStr">
        <is>
          <t>6124</t>
        </is>
      </c>
      <c r="E817" t="inlineStr">
        <is>
          <t>Загальні доходи (6)</t>
        </is>
      </c>
      <c r="F81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7" t="inlineStr">
        <is>
          <t>А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inlineStr">
        <is>
          <t>2</t>
        </is>
      </c>
      <c r="B818" t="inlineStr">
        <is>
          <t>АТ "Укрексімбанк"</t>
        </is>
      </c>
      <c r="C818" t="inlineStr">
        <is>
          <t>Державний</t>
        </is>
      </c>
      <c r="D818" t="inlineStr">
        <is>
          <t>6124</t>
        </is>
      </c>
      <c r="E818" t="inlineStr">
        <is>
          <t>(без привʼязки)</t>
        </is>
      </c>
      <c r="F818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8" t="inlineStr">
        <is>
          <t>П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2</t>
        </is>
      </c>
      <c r="B819" t="inlineStr">
        <is>
          <t>АТ "Укрексімбанк"</t>
        </is>
      </c>
      <c r="C819" t="inlineStr">
        <is>
          <t>Державний</t>
        </is>
      </c>
      <c r="D819" t="inlineStr">
        <is>
          <t>6124</t>
        </is>
      </c>
      <c r="E819" t="inlineStr">
        <is>
          <t>Процентні доходи (коди р.60,р.61)</t>
        </is>
      </c>
      <c r="F819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9" t="inlineStr">
        <is>
          <t>П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2</t>
        </is>
      </c>
      <c r="B820" t="inlineStr">
        <is>
          <t>АТ "Укрексімбанк"</t>
        </is>
      </c>
      <c r="C820" t="inlineStr">
        <is>
          <t>Державний</t>
        </is>
      </c>
      <c r="D820" t="inlineStr">
        <is>
          <t>6124</t>
        </is>
      </c>
      <c r="E820" t="inlineStr">
        <is>
          <t>Загальні доходи (6)</t>
        </is>
      </c>
      <c r="F820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20" t="inlineStr">
        <is>
          <t>П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inlineStr">
        <is>
          <t>2</t>
        </is>
      </c>
      <c r="B821" t="inlineStr">
        <is>
          <t>АТ "Укрексімбанк"</t>
        </is>
      </c>
      <c r="C821" t="inlineStr">
        <is>
          <t>Державний</t>
        </is>
      </c>
      <c r="D821" t="inlineStr">
        <is>
          <t>6125</t>
        </is>
      </c>
      <c r="E821" t="inlineStr">
        <is>
          <t>(без привʼязки)</t>
        </is>
      </c>
      <c r="F821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1" t="inlineStr">
        <is>
          <t>А</t>
        </is>
      </c>
      <c r="H821" t="n">
        <v>40.39156</v>
      </c>
      <c r="I821" t="n">
        <v>40.39156</v>
      </c>
      <c r="J821" t="n">
        <v>0</v>
      </c>
      <c r="K821" t="n">
        <v>72684.15115999999</v>
      </c>
      <c r="L821" t="n">
        <v>72684.15115999999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2</t>
        </is>
      </c>
      <c r="B822" t="inlineStr">
        <is>
          <t>АТ "Укрексімбанк"</t>
        </is>
      </c>
      <c r="C822" t="inlineStr">
        <is>
          <t>Державний</t>
        </is>
      </c>
      <c r="D822" t="inlineStr">
        <is>
          <t>6125</t>
        </is>
      </c>
      <c r="E822" t="inlineStr">
        <is>
          <t>Процентні доходи (коди р.60,р.61)</t>
        </is>
      </c>
      <c r="F822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2" t="inlineStr">
        <is>
          <t>А</t>
        </is>
      </c>
      <c r="H822" t="n">
        <v>40.39156</v>
      </c>
      <c r="I822" t="n">
        <v>40.39156</v>
      </c>
      <c r="J822" t="n">
        <v>0</v>
      </c>
      <c r="K822" t="n">
        <v>72684.15115999999</v>
      </c>
      <c r="L822" t="n">
        <v>72684.15115999999</v>
      </c>
      <c r="M822" t="n">
        <v>0</v>
      </c>
      <c r="N822" t="n">
        <v>0</v>
      </c>
      <c r="O822" t="n">
        <v>0</v>
      </c>
      <c r="P822" t="n">
        <v>0</v>
      </c>
    </row>
    <row r="823">
      <c r="A823" t="inlineStr">
        <is>
          <t>2</t>
        </is>
      </c>
      <c r="B823" t="inlineStr">
        <is>
          <t>АТ "Укрексімбанк"</t>
        </is>
      </c>
      <c r="C823" t="inlineStr">
        <is>
          <t>Державний</t>
        </is>
      </c>
      <c r="D823" t="inlineStr">
        <is>
          <t>6125</t>
        </is>
      </c>
      <c r="E823" t="inlineStr">
        <is>
          <t>Загальні доходи (6)</t>
        </is>
      </c>
      <c r="F823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3" t="inlineStr">
        <is>
          <t>А</t>
        </is>
      </c>
      <c r="H823" t="n">
        <v>40.39156</v>
      </c>
      <c r="I823" t="n">
        <v>40.39156</v>
      </c>
      <c r="J823" t="n">
        <v>0</v>
      </c>
      <c r="K823" t="n">
        <v>72684.15115999999</v>
      </c>
      <c r="L823" t="n">
        <v>72684.15115999999</v>
      </c>
      <c r="M823" t="n">
        <v>0</v>
      </c>
      <c r="N823" t="n">
        <v>0</v>
      </c>
      <c r="O823" t="n">
        <v>0</v>
      </c>
      <c r="P823" t="n">
        <v>0</v>
      </c>
    </row>
    <row r="824">
      <c r="A824" t="inlineStr">
        <is>
          <t>2</t>
        </is>
      </c>
      <c r="B824" t="inlineStr">
        <is>
          <t>АТ "Укрексімбанк"</t>
        </is>
      </c>
      <c r="C824" t="inlineStr">
        <is>
          <t>Державний</t>
        </is>
      </c>
      <c r="D824" t="inlineStr">
        <is>
          <t>6125</t>
        </is>
      </c>
      <c r="E824" t="inlineStr">
        <is>
          <t>(без привʼязки)</t>
        </is>
      </c>
      <c r="F824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4" t="inlineStr">
        <is>
          <t>П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781234.545</v>
      </c>
      <c r="O824" t="n">
        <v>781234.545</v>
      </c>
      <c r="P824" t="n">
        <v>0</v>
      </c>
    </row>
    <row r="825">
      <c r="A825" t="inlineStr">
        <is>
          <t>2</t>
        </is>
      </c>
      <c r="B825" t="inlineStr">
        <is>
          <t>АТ "Укрексімбанк"</t>
        </is>
      </c>
      <c r="C825" t="inlineStr">
        <is>
          <t>Державний</t>
        </is>
      </c>
      <c r="D825" t="inlineStr">
        <is>
          <t>6125</t>
        </is>
      </c>
      <c r="E825" t="inlineStr">
        <is>
          <t>Процентні доходи (коди р.60,р.61)</t>
        </is>
      </c>
      <c r="F825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5" t="inlineStr">
        <is>
          <t>П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781234.545</v>
      </c>
      <c r="O825" t="n">
        <v>781234.545</v>
      </c>
      <c r="P825" t="n">
        <v>0</v>
      </c>
    </row>
    <row r="826">
      <c r="A826" t="inlineStr">
        <is>
          <t>2</t>
        </is>
      </c>
      <c r="B826" t="inlineStr">
        <is>
          <t>АТ "Укрексімбанк"</t>
        </is>
      </c>
      <c r="C826" t="inlineStr">
        <is>
          <t>Державний</t>
        </is>
      </c>
      <c r="D826" t="inlineStr">
        <is>
          <t>6125</t>
        </is>
      </c>
      <c r="E826" t="inlineStr">
        <is>
          <t>Загальні доходи (6)</t>
        </is>
      </c>
      <c r="F826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6" t="inlineStr">
        <is>
          <t>П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781234.545</v>
      </c>
      <c r="O826" t="n">
        <v>781234.545</v>
      </c>
      <c r="P826" t="n">
        <v>0</v>
      </c>
    </row>
    <row r="827">
      <c r="A827" t="inlineStr">
        <is>
          <t>2</t>
        </is>
      </c>
      <c r="B827" t="inlineStr">
        <is>
          <t>АТ "Укрексімбанк"</t>
        </is>
      </c>
      <c r="C827" t="inlineStr">
        <is>
          <t>Державний</t>
        </is>
      </c>
      <c r="D827" t="inlineStr">
        <is>
          <t>6127</t>
        </is>
      </c>
      <c r="E827" t="inlineStr">
        <is>
          <t>(без привʼязки)</t>
        </is>
      </c>
      <c r="F8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7" t="inlineStr">
        <is>
          <t>А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2</t>
        </is>
      </c>
      <c r="B828" t="inlineStr">
        <is>
          <t>АТ "Укрексімбанк"</t>
        </is>
      </c>
      <c r="C828" t="inlineStr">
        <is>
          <t>Державний</t>
        </is>
      </c>
      <c r="D828" t="inlineStr">
        <is>
          <t>6127</t>
        </is>
      </c>
      <c r="E828" t="inlineStr">
        <is>
          <t>Проценти по ДС (коди 6127-6128)</t>
        </is>
      </c>
      <c r="F828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8" t="inlineStr">
        <is>
          <t>А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inlineStr">
        <is>
          <t>2</t>
        </is>
      </c>
      <c r="B829" t="inlineStr">
        <is>
          <t>АТ "Укрексімбанк"</t>
        </is>
      </c>
      <c r="C829" t="inlineStr">
        <is>
          <t>Державний</t>
        </is>
      </c>
      <c r="D829" t="inlineStr">
        <is>
          <t>6127</t>
        </is>
      </c>
      <c r="E829" t="inlineStr">
        <is>
          <t>Процентні доходи (коди р.60,р.61)</t>
        </is>
      </c>
      <c r="F829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9" t="inlineStr">
        <is>
          <t>А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2</t>
        </is>
      </c>
      <c r="B830" t="inlineStr">
        <is>
          <t>АТ "Укрексімбанк"</t>
        </is>
      </c>
      <c r="C830" t="inlineStr">
        <is>
          <t>Державний</t>
        </is>
      </c>
      <c r="D830" t="inlineStr">
        <is>
          <t>6127</t>
        </is>
      </c>
      <c r="E830" t="inlineStr">
        <is>
          <t>Загальні доходи (6)</t>
        </is>
      </c>
      <c r="F830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0" t="inlineStr">
        <is>
          <t>А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2</t>
        </is>
      </c>
      <c r="B831" t="inlineStr">
        <is>
          <t>АТ "Укрексімбанк"</t>
        </is>
      </c>
      <c r="C831" t="inlineStr">
        <is>
          <t>Державний</t>
        </is>
      </c>
      <c r="D831" t="inlineStr">
        <is>
          <t>6127</t>
        </is>
      </c>
      <c r="E831" t="inlineStr">
        <is>
          <t>(без привʼязки)</t>
        </is>
      </c>
      <c r="F831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1" t="inlineStr">
        <is>
          <t>П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2</t>
        </is>
      </c>
      <c r="B832" t="inlineStr">
        <is>
          <t>АТ "Укрексімбанк"</t>
        </is>
      </c>
      <c r="C832" t="inlineStr">
        <is>
          <t>Державний</t>
        </is>
      </c>
      <c r="D832" t="inlineStr">
        <is>
          <t>6127</t>
        </is>
      </c>
      <c r="E832" t="inlineStr">
        <is>
          <t>Проценти по ДС (коди 6127-6128)</t>
        </is>
      </c>
      <c r="F832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2" t="inlineStr">
        <is>
          <t>П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2</t>
        </is>
      </c>
      <c r="B833" t="inlineStr">
        <is>
          <t>АТ "Укрексімбанк"</t>
        </is>
      </c>
      <c r="C833" t="inlineStr">
        <is>
          <t>Державний</t>
        </is>
      </c>
      <c r="D833" t="inlineStr">
        <is>
          <t>6127</t>
        </is>
      </c>
      <c r="E833" t="inlineStr">
        <is>
          <t>Процентні доходи (коди р.60,р.61)</t>
        </is>
      </c>
      <c r="F83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3" t="inlineStr">
        <is>
          <t>П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inlineStr">
        <is>
          <t>2</t>
        </is>
      </c>
      <c r="B834" t="inlineStr">
        <is>
          <t>АТ "Укрексімбанк"</t>
        </is>
      </c>
      <c r="C834" t="inlineStr">
        <is>
          <t>Державний</t>
        </is>
      </c>
      <c r="D834" t="inlineStr">
        <is>
          <t>6127</t>
        </is>
      </c>
      <c r="E834" t="inlineStr">
        <is>
          <t>Загальні доходи (6)</t>
        </is>
      </c>
      <c r="F83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4" t="inlineStr">
        <is>
          <t>П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inlineStr">
        <is>
          <t>2</t>
        </is>
      </c>
      <c r="B835" t="inlineStr">
        <is>
          <t>АТ "Укрексімбанк"</t>
        </is>
      </c>
      <c r="C835" t="inlineStr">
        <is>
          <t>Державний</t>
        </is>
      </c>
      <c r="D835" t="inlineStr">
        <is>
          <t>6128</t>
        </is>
      </c>
      <c r="E835" t="inlineStr">
        <is>
          <t>(без привʼязки)</t>
        </is>
      </c>
      <c r="F83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5" t="inlineStr">
        <is>
          <t>А</t>
        </is>
      </c>
      <c r="H835" t="n">
        <v>13.785</v>
      </c>
      <c r="I835" t="n">
        <v>13.785</v>
      </c>
      <c r="J835" t="n">
        <v>0</v>
      </c>
      <c r="K835" t="n">
        <v>206825.89</v>
      </c>
      <c r="L835" t="n">
        <v>206825.89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2</t>
        </is>
      </c>
      <c r="B836" t="inlineStr">
        <is>
          <t>АТ "Укрексімбанк"</t>
        </is>
      </c>
      <c r="C836" t="inlineStr">
        <is>
          <t>Державний</t>
        </is>
      </c>
      <c r="D836" t="inlineStr">
        <is>
          <t>6128</t>
        </is>
      </c>
      <c r="E836" t="inlineStr">
        <is>
          <t>Проценти по ДС (коди 6127-6128)</t>
        </is>
      </c>
      <c r="F836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6" t="inlineStr">
        <is>
          <t>А</t>
        </is>
      </c>
      <c r="H836" t="n">
        <v>13.785</v>
      </c>
      <c r="I836" t="n">
        <v>13.785</v>
      </c>
      <c r="J836" t="n">
        <v>0</v>
      </c>
      <c r="K836" t="n">
        <v>206825.89</v>
      </c>
      <c r="L836" t="n">
        <v>206825.89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2</t>
        </is>
      </c>
      <c r="B837" t="inlineStr">
        <is>
          <t>АТ "Укрексімбанк"</t>
        </is>
      </c>
      <c r="C837" t="inlineStr">
        <is>
          <t>Державний</t>
        </is>
      </c>
      <c r="D837" t="inlineStr">
        <is>
          <t>6128</t>
        </is>
      </c>
      <c r="E837" t="inlineStr">
        <is>
          <t>Процентні доходи (коди р.60,р.61)</t>
        </is>
      </c>
      <c r="F83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7" t="inlineStr">
        <is>
          <t>А</t>
        </is>
      </c>
      <c r="H837" t="n">
        <v>13.785</v>
      </c>
      <c r="I837" t="n">
        <v>13.785</v>
      </c>
      <c r="J837" t="n">
        <v>0</v>
      </c>
      <c r="K837" t="n">
        <v>206825.89</v>
      </c>
      <c r="L837" t="n">
        <v>206825.89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2</t>
        </is>
      </c>
      <c r="B838" t="inlineStr">
        <is>
          <t>АТ "Укрексімбанк"</t>
        </is>
      </c>
      <c r="C838" t="inlineStr">
        <is>
          <t>Державний</t>
        </is>
      </c>
      <c r="D838" t="inlineStr">
        <is>
          <t>6128</t>
        </is>
      </c>
      <c r="E838" t="inlineStr">
        <is>
          <t>Загальні доходи (6)</t>
        </is>
      </c>
      <c r="F83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8" t="inlineStr">
        <is>
          <t>А</t>
        </is>
      </c>
      <c r="H838" t="n">
        <v>13.785</v>
      </c>
      <c r="I838" t="n">
        <v>13.785</v>
      </c>
      <c r="J838" t="n">
        <v>0</v>
      </c>
      <c r="K838" t="n">
        <v>206825.89</v>
      </c>
      <c r="L838" t="n">
        <v>206825.89</v>
      </c>
      <c r="M838" t="n">
        <v>0</v>
      </c>
      <c r="N838" t="n">
        <v>0</v>
      </c>
      <c r="O838" t="n">
        <v>0</v>
      </c>
      <c r="P838" t="n">
        <v>0</v>
      </c>
    </row>
    <row r="839">
      <c r="A839" t="inlineStr">
        <is>
          <t>2</t>
        </is>
      </c>
      <c r="B839" t="inlineStr">
        <is>
          <t>АТ "Укрексімбанк"</t>
        </is>
      </c>
      <c r="C839" t="inlineStr">
        <is>
          <t>Державний</t>
        </is>
      </c>
      <c r="D839" t="inlineStr">
        <is>
          <t>6128</t>
        </is>
      </c>
      <c r="E839" t="inlineStr">
        <is>
          <t>(без привʼязки)</t>
        </is>
      </c>
      <c r="F839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9" t="inlineStr">
        <is>
          <t>П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3962851.0781</v>
      </c>
      <c r="O839" t="n">
        <v>3962851.0781</v>
      </c>
      <c r="P839" t="n">
        <v>0</v>
      </c>
    </row>
    <row r="840">
      <c r="A840" t="inlineStr">
        <is>
          <t>2</t>
        </is>
      </c>
      <c r="B840" t="inlineStr">
        <is>
          <t>АТ "Укрексімбанк"</t>
        </is>
      </c>
      <c r="C840" t="inlineStr">
        <is>
          <t>Державний</t>
        </is>
      </c>
      <c r="D840" t="inlineStr">
        <is>
          <t>6128</t>
        </is>
      </c>
      <c r="E840" t="inlineStr">
        <is>
          <t>Проценти по ДС (коди 6127-6128)</t>
        </is>
      </c>
      <c r="F840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0" t="inlineStr">
        <is>
          <t>П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3962851.0781</v>
      </c>
      <c r="O840" t="n">
        <v>3962851.0781</v>
      </c>
      <c r="P840" t="n">
        <v>0</v>
      </c>
    </row>
    <row r="841">
      <c r="A841" t="inlineStr">
        <is>
          <t>2</t>
        </is>
      </c>
      <c r="B841" t="inlineStr">
        <is>
          <t>АТ "Укрексімбанк"</t>
        </is>
      </c>
      <c r="C841" t="inlineStr">
        <is>
          <t>Державний</t>
        </is>
      </c>
      <c r="D841" t="inlineStr">
        <is>
          <t>6128</t>
        </is>
      </c>
      <c r="E841" t="inlineStr">
        <is>
          <t>Процентні доходи (коди р.60,р.61)</t>
        </is>
      </c>
      <c r="F84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1" t="inlineStr">
        <is>
          <t>П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3962851.0781</v>
      </c>
      <c r="O841" t="n">
        <v>3962851.0781</v>
      </c>
      <c r="P841" t="n">
        <v>0</v>
      </c>
    </row>
    <row r="842">
      <c r="A842" t="inlineStr">
        <is>
          <t>2</t>
        </is>
      </c>
      <c r="B842" t="inlineStr">
        <is>
          <t>АТ "Укрексімбанк"</t>
        </is>
      </c>
      <c r="C842" t="inlineStr">
        <is>
          <t>Державний</t>
        </is>
      </c>
      <c r="D842" t="inlineStr">
        <is>
          <t>6128</t>
        </is>
      </c>
      <c r="E842" t="inlineStr">
        <is>
          <t>Загальні доходи (6)</t>
        </is>
      </c>
      <c r="F842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2" t="inlineStr">
        <is>
          <t>П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3962851.0781</v>
      </c>
      <c r="O842" t="n">
        <v>3962851.0781</v>
      </c>
      <c r="P842" t="n">
        <v>0</v>
      </c>
    </row>
    <row r="843">
      <c r="A843" t="inlineStr">
        <is>
          <t>2</t>
        </is>
      </c>
      <c r="B843" t="inlineStr">
        <is>
          <t>АТ "Укрексімбанк"</t>
        </is>
      </c>
      <c r="C843" t="inlineStr">
        <is>
          <t>Державний</t>
        </is>
      </c>
      <c r="D843" t="inlineStr">
        <is>
          <t>6141</t>
        </is>
      </c>
      <c r="E843" t="inlineStr">
        <is>
          <t>(без привʼязки)</t>
        </is>
      </c>
      <c r="F843" t="inlineStr">
        <is>
          <t>Інші процентні доходи</t>
        </is>
      </c>
      <c r="G843" t="inlineStr">
        <is>
          <t>А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2</t>
        </is>
      </c>
      <c r="B844" t="inlineStr">
        <is>
          <t>АТ "Укрексімбанк"</t>
        </is>
      </c>
      <c r="C844" t="inlineStr">
        <is>
          <t>Державний</t>
        </is>
      </c>
      <c r="D844" t="inlineStr">
        <is>
          <t>6141</t>
        </is>
      </c>
      <c r="E844" t="inlineStr">
        <is>
          <t>Процентні доходи (коди р.60,р.61)</t>
        </is>
      </c>
      <c r="F844" t="inlineStr">
        <is>
          <t>Інші процентні доходи</t>
        </is>
      </c>
      <c r="G844" t="inlineStr">
        <is>
          <t>А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2</t>
        </is>
      </c>
      <c r="B845" t="inlineStr">
        <is>
          <t>АТ "Укрексімбанк"</t>
        </is>
      </c>
      <c r="C845" t="inlineStr">
        <is>
          <t>Державний</t>
        </is>
      </c>
      <c r="D845" t="inlineStr">
        <is>
          <t>6141</t>
        </is>
      </c>
      <c r="E845" t="inlineStr">
        <is>
          <t>Загальні доходи (6)</t>
        </is>
      </c>
      <c r="F845" t="inlineStr">
        <is>
          <t>Інші процентні доходи</t>
        </is>
      </c>
      <c r="G845" t="inlineStr">
        <is>
          <t>А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2</t>
        </is>
      </c>
      <c r="B846" t="inlineStr">
        <is>
          <t>АТ "Укрексімбанк"</t>
        </is>
      </c>
      <c r="C846" t="inlineStr">
        <is>
          <t>Державний</t>
        </is>
      </c>
      <c r="D846" t="inlineStr">
        <is>
          <t>6141</t>
        </is>
      </c>
      <c r="E846" t="inlineStr">
        <is>
          <t>(без привʼязки)</t>
        </is>
      </c>
      <c r="F846" t="inlineStr">
        <is>
          <t>Інші процентні доходи</t>
        </is>
      </c>
      <c r="G846" t="inlineStr">
        <is>
          <t>П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6521.16788</v>
      </c>
      <c r="O846" t="n">
        <v>6521.16788</v>
      </c>
      <c r="P846" t="n">
        <v>0</v>
      </c>
    </row>
    <row r="847">
      <c r="A847" t="inlineStr">
        <is>
          <t>2</t>
        </is>
      </c>
      <c r="B847" t="inlineStr">
        <is>
          <t>АТ "Укрексімбанк"</t>
        </is>
      </c>
      <c r="C847" t="inlineStr">
        <is>
          <t>Державний</t>
        </is>
      </c>
      <c r="D847" t="inlineStr">
        <is>
          <t>6141</t>
        </is>
      </c>
      <c r="E847" t="inlineStr">
        <is>
          <t>Процентні доходи (коди р.60,р.61)</t>
        </is>
      </c>
      <c r="F847" t="inlineStr">
        <is>
          <t>Інші процентні доходи</t>
        </is>
      </c>
      <c r="G847" t="inlineStr">
        <is>
          <t>П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6521.16788</v>
      </c>
      <c r="O847" t="n">
        <v>6521.16788</v>
      </c>
      <c r="P847" t="n">
        <v>0</v>
      </c>
    </row>
    <row r="848">
      <c r="A848" t="inlineStr">
        <is>
          <t>2</t>
        </is>
      </c>
      <c r="B848" t="inlineStr">
        <is>
          <t>АТ "Укрексімбанк"</t>
        </is>
      </c>
      <c r="C848" t="inlineStr">
        <is>
          <t>Державний</t>
        </is>
      </c>
      <c r="D848" t="inlineStr">
        <is>
          <t>6141</t>
        </is>
      </c>
      <c r="E848" t="inlineStr">
        <is>
          <t>Загальні доходи (6)</t>
        </is>
      </c>
      <c r="F848" t="inlineStr">
        <is>
          <t>Інші процентні доходи</t>
        </is>
      </c>
      <c r="G848" t="inlineStr">
        <is>
          <t>П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6521.16788</v>
      </c>
      <c r="O848" t="n">
        <v>6521.16788</v>
      </c>
      <c r="P848" t="n">
        <v>0</v>
      </c>
    </row>
    <row r="849">
      <c r="A849" t="inlineStr">
        <is>
          <t>2</t>
        </is>
      </c>
      <c r="B849" t="inlineStr">
        <is>
          <t>АТ "Укрексімбанк"</t>
        </is>
      </c>
      <c r="C849" t="inlineStr">
        <is>
          <t>Державний</t>
        </is>
      </c>
      <c r="D849" t="inlineStr">
        <is>
          <t>6201</t>
        </is>
      </c>
      <c r="E849" t="inlineStr">
        <is>
          <t>(без привʼязки)</t>
        </is>
      </c>
      <c r="F849" t="inlineStr">
        <is>
          <t>Результат від переоцінки інших похідних фінансових інструментів</t>
        </is>
      </c>
      <c r="G849" t="inlineStr">
        <is>
          <t>А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t="inlineStr">
        <is>
          <t>2</t>
        </is>
      </c>
      <c r="B850" t="inlineStr">
        <is>
          <t>АТ "Укрексімбанк"</t>
        </is>
      </c>
      <c r="C850" t="inlineStr">
        <is>
          <t>Державний</t>
        </is>
      </c>
      <c r="D850" t="inlineStr">
        <is>
          <t>6201</t>
        </is>
      </c>
      <c r="E850" t="inlineStr">
        <is>
          <t>Загальні доходи (6)</t>
        </is>
      </c>
      <c r="F850" t="inlineStr">
        <is>
          <t>Результат від переоцінки інших похідних фінансових інструментів</t>
        </is>
      </c>
      <c r="G850" t="inlineStr">
        <is>
          <t>А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inlineStr">
        <is>
          <t>2</t>
        </is>
      </c>
      <c r="B851" t="inlineStr">
        <is>
          <t>АТ "Укрексімбанк"</t>
        </is>
      </c>
      <c r="C851" t="inlineStr">
        <is>
          <t>Державний</t>
        </is>
      </c>
      <c r="D851" t="inlineStr">
        <is>
          <t>6201</t>
        </is>
      </c>
      <c r="E851" t="inlineStr">
        <is>
          <t>(без привʼязки)</t>
        </is>
      </c>
      <c r="F851" t="inlineStr">
        <is>
          <t>Результат від переоцінки інших похідних фінансових інструментів</t>
        </is>
      </c>
      <c r="G851" t="inlineStr">
        <is>
          <t>П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2</t>
        </is>
      </c>
      <c r="B852" t="inlineStr">
        <is>
          <t>АТ "Укрексімбанк"</t>
        </is>
      </c>
      <c r="C852" t="inlineStr">
        <is>
          <t>Державний</t>
        </is>
      </c>
      <c r="D852" t="inlineStr">
        <is>
          <t>6201</t>
        </is>
      </c>
      <c r="E852" t="inlineStr">
        <is>
          <t>Загальні доходи (6)</t>
        </is>
      </c>
      <c r="F852" t="inlineStr">
        <is>
          <t>Результат від переоцінки інших похідних фінансових інструментів</t>
        </is>
      </c>
      <c r="G852" t="inlineStr">
        <is>
          <t>П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inlineStr">
        <is>
          <t>2</t>
        </is>
      </c>
      <c r="B853" t="inlineStr">
        <is>
          <t>АТ "Укрексімбанк"</t>
        </is>
      </c>
      <c r="C853" t="inlineStr">
        <is>
          <t>Державний</t>
        </is>
      </c>
      <c r="D853" t="inlineStr">
        <is>
          <t>6204</t>
        </is>
      </c>
      <c r="E853" t="inlineStr">
        <is>
          <t>(без привʼязки)</t>
        </is>
      </c>
      <c r="F853" t="inlineStr">
        <is>
          <t>Результат від переоцінки іноземної валюти та банківських металів</t>
        </is>
      </c>
      <c r="G853" t="inlineStr">
        <is>
          <t>А</t>
        </is>
      </c>
      <c r="H853" t="n">
        <v>5704492.61381</v>
      </c>
      <c r="I853" t="n">
        <v>5704492.61381</v>
      </c>
      <c r="J853" t="n">
        <v>0</v>
      </c>
      <c r="K853" t="n">
        <v>5643624.02471</v>
      </c>
      <c r="L853" t="n">
        <v>5643624.02471</v>
      </c>
      <c r="M853" t="n">
        <v>0</v>
      </c>
      <c r="N853" t="n">
        <v>-304822.4764</v>
      </c>
      <c r="O853" t="n">
        <v>-304822.4764</v>
      </c>
      <c r="P853" t="n">
        <v>0</v>
      </c>
    </row>
    <row r="854">
      <c r="A854" t="inlineStr">
        <is>
          <t>2</t>
        </is>
      </c>
      <c r="B854" t="inlineStr">
        <is>
          <t>АТ "Укрексімбанк"</t>
        </is>
      </c>
      <c r="C854" t="inlineStr">
        <is>
          <t>Державний</t>
        </is>
      </c>
      <c r="D854" t="inlineStr">
        <is>
          <t>6204</t>
        </is>
      </c>
      <c r="E854" t="inlineStr">
        <is>
          <t>Загальні доходи (6)</t>
        </is>
      </c>
      <c r="F854" t="inlineStr">
        <is>
          <t>Результат від переоцінки іноземної валюти та банківських металів</t>
        </is>
      </c>
      <c r="G854" t="inlineStr">
        <is>
          <t>А</t>
        </is>
      </c>
      <c r="H854" t="n">
        <v>5704492.61381</v>
      </c>
      <c r="I854" t="n">
        <v>5704492.61381</v>
      </c>
      <c r="J854" t="n">
        <v>0</v>
      </c>
      <c r="K854" t="n">
        <v>5643624.02471</v>
      </c>
      <c r="L854" t="n">
        <v>5643624.02471</v>
      </c>
      <c r="M854" t="n">
        <v>0</v>
      </c>
      <c r="N854" t="n">
        <v>-304822.4764</v>
      </c>
      <c r="O854" t="n">
        <v>-304822.4764</v>
      </c>
      <c r="P854" t="n">
        <v>0</v>
      </c>
    </row>
    <row r="855">
      <c r="A855" t="inlineStr">
        <is>
          <t>2</t>
        </is>
      </c>
      <c r="B855" t="inlineStr">
        <is>
          <t>АТ "Укрексімбанк"</t>
        </is>
      </c>
      <c r="C855" t="inlineStr">
        <is>
          <t>Державний</t>
        </is>
      </c>
      <c r="D855" t="inlineStr">
        <is>
          <t>6204</t>
        </is>
      </c>
      <c r="E855" t="inlineStr">
        <is>
          <t>(без привʼязки)</t>
        </is>
      </c>
      <c r="F855" t="inlineStr">
        <is>
          <t>Результат від переоцінки іноземної валюти та банківських металів</t>
        </is>
      </c>
      <c r="G855" t="inlineStr">
        <is>
          <t>П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224700.92994</v>
      </c>
      <c r="O855" t="n">
        <v>224700.92994</v>
      </c>
      <c r="P855" t="n">
        <v>0</v>
      </c>
    </row>
    <row r="856">
      <c r="A856" t="inlineStr">
        <is>
          <t>2</t>
        </is>
      </c>
      <c r="B856" t="inlineStr">
        <is>
          <t>АТ "Укрексімбанк"</t>
        </is>
      </c>
      <c r="C856" t="inlineStr">
        <is>
          <t>Державний</t>
        </is>
      </c>
      <c r="D856" t="inlineStr">
        <is>
          <t>6204</t>
        </is>
      </c>
      <c r="E856" t="inlineStr">
        <is>
          <t>Загальні доходи (6)</t>
        </is>
      </c>
      <c r="F856" t="inlineStr">
        <is>
          <t>Результат від переоцінки іноземної валюти та банківських металів</t>
        </is>
      </c>
      <c r="G856" t="inlineStr">
        <is>
          <t>П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224700.92994</v>
      </c>
      <c r="O856" t="n">
        <v>224700.92994</v>
      </c>
      <c r="P856" t="n">
        <v>0</v>
      </c>
    </row>
    <row r="857">
      <c r="A857" t="inlineStr">
        <is>
          <t>2</t>
        </is>
      </c>
      <c r="B857" t="inlineStr">
        <is>
          <t>АТ "Укрексімбанк"</t>
        </is>
      </c>
      <c r="C857" t="inlineStr">
        <is>
          <t>Державний</t>
        </is>
      </c>
      <c r="D857" t="inlineStr">
        <is>
          <t>6206</t>
        </is>
      </c>
      <c r="E857" t="inlineStr">
        <is>
          <t>(без привʼязки)</t>
        </is>
      </c>
      <c r="F857" t="inlineStr">
        <is>
          <t>Результат від переоцінки форвардних контрактів</t>
        </is>
      </c>
      <c r="G857" t="inlineStr">
        <is>
          <t>А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inlineStr">
        <is>
          <t>2</t>
        </is>
      </c>
      <c r="B858" t="inlineStr">
        <is>
          <t>АТ "Укрексімбанк"</t>
        </is>
      </c>
      <c r="C858" t="inlineStr">
        <is>
          <t>Державний</t>
        </is>
      </c>
      <c r="D858" t="inlineStr">
        <is>
          <t>6206</t>
        </is>
      </c>
      <c r="E858" t="inlineStr">
        <is>
          <t>Загальні доходи (6)</t>
        </is>
      </c>
      <c r="F858" t="inlineStr">
        <is>
          <t>Результат від переоцінки форвардних контрактів</t>
        </is>
      </c>
      <c r="G858" t="inlineStr">
        <is>
          <t>А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t="inlineStr">
        <is>
          <t>2</t>
        </is>
      </c>
      <c r="B859" t="inlineStr">
        <is>
          <t>АТ "Укрексімбанк"</t>
        </is>
      </c>
      <c r="C859" t="inlineStr">
        <is>
          <t>Державний</t>
        </is>
      </c>
      <c r="D859" t="inlineStr">
        <is>
          <t>6206</t>
        </is>
      </c>
      <c r="E859" t="inlineStr">
        <is>
          <t>(без привʼязки)</t>
        </is>
      </c>
      <c r="F859" t="inlineStr">
        <is>
          <t>Результат від переоцінки форвардних контрактів</t>
        </is>
      </c>
      <c r="G859" t="inlineStr">
        <is>
          <t>П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t="inlineStr">
        <is>
          <t>2</t>
        </is>
      </c>
      <c r="B860" t="inlineStr">
        <is>
          <t>АТ "Укрексімбанк"</t>
        </is>
      </c>
      <c r="C860" t="inlineStr">
        <is>
          <t>Державний</t>
        </is>
      </c>
      <c r="D860" t="inlineStr">
        <is>
          <t>6206</t>
        </is>
      </c>
      <c r="E860" t="inlineStr">
        <is>
          <t>Загальні доходи (6)</t>
        </is>
      </c>
      <c r="F860" t="inlineStr">
        <is>
          <t>Результат від переоцінки форвардних контрактів</t>
        </is>
      </c>
      <c r="G860" t="inlineStr">
        <is>
          <t>П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inlineStr">
        <is>
          <t>2</t>
        </is>
      </c>
      <c r="B861" t="inlineStr">
        <is>
          <t>АТ "Укрексімбанк"</t>
        </is>
      </c>
      <c r="C861" t="inlineStr">
        <is>
          <t>Державний</t>
        </is>
      </c>
      <c r="D861" t="inlineStr">
        <is>
          <t>6208</t>
        </is>
      </c>
      <c r="E861" t="inlineStr">
        <is>
          <t>(без привʼязки)</t>
        </is>
      </c>
      <c r="F861" t="inlineStr">
        <is>
          <t>Результат від переоцінки валютних своп-контрактів</t>
        </is>
      </c>
      <c r="G861" t="inlineStr">
        <is>
          <t>А</t>
        </is>
      </c>
      <c r="H861" t="n">
        <v>46263.82305</v>
      </c>
      <c r="I861" t="n">
        <v>46263.82305</v>
      </c>
      <c r="J861" t="n">
        <v>0</v>
      </c>
      <c r="K861" t="n">
        <v>48088.16005</v>
      </c>
      <c r="L861" t="n">
        <v>48088.16005</v>
      </c>
      <c r="M861" t="n">
        <v>0</v>
      </c>
      <c r="N861" t="n">
        <v>-190.77314</v>
      </c>
      <c r="O861" t="n">
        <v>-190.77314</v>
      </c>
      <c r="P861" t="n">
        <v>0</v>
      </c>
    </row>
    <row r="862">
      <c r="A862" t="inlineStr">
        <is>
          <t>2</t>
        </is>
      </c>
      <c r="B862" t="inlineStr">
        <is>
          <t>АТ "Укрексімбанк"</t>
        </is>
      </c>
      <c r="C862" t="inlineStr">
        <is>
          <t>Державний</t>
        </is>
      </c>
      <c r="D862" t="inlineStr">
        <is>
          <t>6208</t>
        </is>
      </c>
      <c r="E862" t="inlineStr">
        <is>
          <t>Загальні доходи (6)</t>
        </is>
      </c>
      <c r="F862" t="inlineStr">
        <is>
          <t>Результат від переоцінки валютних своп-контрактів</t>
        </is>
      </c>
      <c r="G862" t="inlineStr">
        <is>
          <t>А</t>
        </is>
      </c>
      <c r="H862" t="n">
        <v>46263.82305</v>
      </c>
      <c r="I862" t="n">
        <v>46263.82305</v>
      </c>
      <c r="J862" t="n">
        <v>0</v>
      </c>
      <c r="K862" t="n">
        <v>48088.16005</v>
      </c>
      <c r="L862" t="n">
        <v>48088.16005</v>
      </c>
      <c r="M862" t="n">
        <v>0</v>
      </c>
      <c r="N862" t="n">
        <v>-190.77314</v>
      </c>
      <c r="O862" t="n">
        <v>-190.77314</v>
      </c>
      <c r="P862" t="n">
        <v>0</v>
      </c>
    </row>
    <row r="863">
      <c r="A863" t="inlineStr">
        <is>
          <t>2</t>
        </is>
      </c>
      <c r="B863" t="inlineStr">
        <is>
          <t>АТ "Укрексімбанк"</t>
        </is>
      </c>
      <c r="C863" t="inlineStr">
        <is>
          <t>Державний</t>
        </is>
      </c>
      <c r="D863" t="inlineStr">
        <is>
          <t>6208</t>
        </is>
      </c>
      <c r="E863" t="inlineStr">
        <is>
          <t>(без привʼязки)</t>
        </is>
      </c>
      <c r="F863" t="inlineStr">
        <is>
          <t>Результат від переоцінки валютних своп-контрактів</t>
        </is>
      </c>
      <c r="G863" t="inlineStr">
        <is>
          <t>П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t="inlineStr">
        <is>
          <t>2</t>
        </is>
      </c>
      <c r="B864" t="inlineStr">
        <is>
          <t>АТ "Укрексімбанк"</t>
        </is>
      </c>
      <c r="C864" t="inlineStr">
        <is>
          <t>Державний</t>
        </is>
      </c>
      <c r="D864" t="inlineStr">
        <is>
          <t>6208</t>
        </is>
      </c>
      <c r="E864" t="inlineStr">
        <is>
          <t>Загальні доходи (6)</t>
        </is>
      </c>
      <c r="F864" t="inlineStr">
        <is>
          <t>Результат від переоцінки валютних своп-контрактів</t>
        </is>
      </c>
      <c r="G864" t="inlineStr">
        <is>
          <t>П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inlineStr">
        <is>
          <t>2</t>
        </is>
      </c>
      <c r="B865" t="inlineStr">
        <is>
          <t>АТ "Укрексімбанк"</t>
        </is>
      </c>
      <c r="C865" t="inlineStr">
        <is>
          <t>Державний</t>
        </is>
      </c>
      <c r="D865" t="inlineStr">
        <is>
          <t>6209</t>
        </is>
      </c>
      <c r="E865" t="inlineStr">
        <is>
          <t>(без привʼязки)</t>
        </is>
      </c>
      <c r="F865" t="inlineStr">
        <is>
          <t>Результат від переоцінки процентних своп-контрактів</t>
        </is>
      </c>
      <c r="G865" t="inlineStr">
        <is>
          <t>А</t>
        </is>
      </c>
      <c r="H865" t="n">
        <v>443380.09676</v>
      </c>
      <c r="I865" t="n">
        <v>443380.09676</v>
      </c>
      <c r="J865" t="n">
        <v>0</v>
      </c>
      <c r="K865" t="n">
        <v>442306.10733</v>
      </c>
      <c r="L865" t="n">
        <v>442306.10733</v>
      </c>
      <c r="M865" t="n">
        <v>0</v>
      </c>
      <c r="N865" t="n">
        <v>-37354.36015</v>
      </c>
      <c r="O865" t="n">
        <v>-37354.36015</v>
      </c>
      <c r="P865" t="n">
        <v>0</v>
      </c>
    </row>
    <row r="866">
      <c r="A866" t="inlineStr">
        <is>
          <t>2</t>
        </is>
      </c>
      <c r="B866" t="inlineStr">
        <is>
          <t>АТ "Укрексімбанк"</t>
        </is>
      </c>
      <c r="C866" t="inlineStr">
        <is>
          <t>Державний</t>
        </is>
      </c>
      <c r="D866" t="inlineStr">
        <is>
          <t>6209</t>
        </is>
      </c>
      <c r="E866" t="inlineStr">
        <is>
          <t>Загальні доходи (6)</t>
        </is>
      </c>
      <c r="F866" t="inlineStr">
        <is>
          <t>Результат від переоцінки процентних своп-контрактів</t>
        </is>
      </c>
      <c r="G866" t="inlineStr">
        <is>
          <t>А</t>
        </is>
      </c>
      <c r="H866" t="n">
        <v>443380.09676</v>
      </c>
      <c r="I866" t="n">
        <v>443380.09676</v>
      </c>
      <c r="J866" t="n">
        <v>0</v>
      </c>
      <c r="K866" t="n">
        <v>442306.10733</v>
      </c>
      <c r="L866" t="n">
        <v>442306.10733</v>
      </c>
      <c r="M866" t="n">
        <v>0</v>
      </c>
      <c r="N866" t="n">
        <v>-37354.36015</v>
      </c>
      <c r="O866" t="n">
        <v>-37354.36015</v>
      </c>
      <c r="P866" t="n">
        <v>0</v>
      </c>
    </row>
    <row r="867">
      <c r="A867" t="inlineStr">
        <is>
          <t>2</t>
        </is>
      </c>
      <c r="B867" t="inlineStr">
        <is>
          <t>АТ "Укрексімбанк"</t>
        </is>
      </c>
      <c r="C867" t="inlineStr">
        <is>
          <t>Державний</t>
        </is>
      </c>
      <c r="D867" t="inlineStr">
        <is>
          <t>6209</t>
        </is>
      </c>
      <c r="E867" t="inlineStr">
        <is>
          <t>(без привʼязки)</t>
        </is>
      </c>
      <c r="F867" t="inlineStr">
        <is>
          <t>Результат від переоцінки процентних своп-контрактів</t>
        </is>
      </c>
      <c r="G867" t="inlineStr">
        <is>
          <t>П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inlineStr">
        <is>
          <t>2</t>
        </is>
      </c>
      <c r="B868" t="inlineStr">
        <is>
          <t>АТ "Укрексімбанк"</t>
        </is>
      </c>
      <c r="C868" t="inlineStr">
        <is>
          <t>Державний</t>
        </is>
      </c>
      <c r="D868" t="inlineStr">
        <is>
          <t>6209</t>
        </is>
      </c>
      <c r="E868" t="inlineStr">
        <is>
          <t>Загальні доходи (6)</t>
        </is>
      </c>
      <c r="F868" t="inlineStr">
        <is>
          <t>Результат від переоцінки процентних своп-контрактів</t>
        </is>
      </c>
      <c r="G868" t="inlineStr">
        <is>
          <t>П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t="inlineStr">
        <is>
          <t>2</t>
        </is>
      </c>
      <c r="B869" t="inlineStr">
        <is>
          <t>АТ "Укрексімбанк"</t>
        </is>
      </c>
      <c r="C869" t="inlineStr">
        <is>
          <t>Державний</t>
        </is>
      </c>
      <c r="D869" t="inlineStr">
        <is>
          <t>6214</t>
        </is>
      </c>
      <c r="E869" t="inlineStr">
        <is>
          <t>(без привʼязки)</t>
        </is>
      </c>
      <c r="F869" t="inlineStr">
        <is>
          <t>Результат від операцій купівлі-продажу іноземної валюти та банківських металів</t>
        </is>
      </c>
      <c r="G869" t="inlineStr">
        <is>
          <t>А</t>
        </is>
      </c>
      <c r="H869" t="n">
        <v>21518642.61807</v>
      </c>
      <c r="I869" t="n">
        <v>21518642.61807</v>
      </c>
      <c r="J869" t="n">
        <v>0</v>
      </c>
      <c r="K869" t="n">
        <v>21576231.10176</v>
      </c>
      <c r="L869" t="n">
        <v>21576231.10176</v>
      </c>
      <c r="M869" t="n">
        <v>0</v>
      </c>
      <c r="N869" t="n">
        <v>-1407.47062</v>
      </c>
      <c r="O869" t="n">
        <v>-1407.47062</v>
      </c>
      <c r="P869" t="n">
        <v>0</v>
      </c>
    </row>
    <row r="870">
      <c r="A870" t="inlineStr">
        <is>
          <t>2</t>
        </is>
      </c>
      <c r="B870" t="inlineStr">
        <is>
          <t>АТ "Укрексімбанк"</t>
        </is>
      </c>
      <c r="C870" t="inlineStr">
        <is>
          <t>Державний</t>
        </is>
      </c>
      <c r="D870" t="inlineStr">
        <is>
          <t>6214</t>
        </is>
      </c>
      <c r="E870" t="inlineStr">
        <is>
          <t>Загальні доходи (6)</t>
        </is>
      </c>
      <c r="F870" t="inlineStr">
        <is>
          <t>Результат від операцій купівлі-продажу іноземної валюти та банківських металів</t>
        </is>
      </c>
      <c r="G870" t="inlineStr">
        <is>
          <t>А</t>
        </is>
      </c>
      <c r="H870" t="n">
        <v>21518642.61807</v>
      </c>
      <c r="I870" t="n">
        <v>21518642.61807</v>
      </c>
      <c r="J870" t="n">
        <v>0</v>
      </c>
      <c r="K870" t="n">
        <v>21576231.10176</v>
      </c>
      <c r="L870" t="n">
        <v>21576231.10176</v>
      </c>
      <c r="M870" t="n">
        <v>0</v>
      </c>
      <c r="N870" t="n">
        <v>-1407.47062</v>
      </c>
      <c r="O870" t="n">
        <v>-1407.47062</v>
      </c>
      <c r="P870" t="n">
        <v>0</v>
      </c>
    </row>
    <row r="871">
      <c r="A871" t="inlineStr">
        <is>
          <t>2</t>
        </is>
      </c>
      <c r="B871" t="inlineStr">
        <is>
          <t>АТ "Укрексімбанк"</t>
        </is>
      </c>
      <c r="C871" t="inlineStr">
        <is>
          <t>Державний</t>
        </is>
      </c>
      <c r="D871" t="inlineStr">
        <is>
          <t>6214</t>
        </is>
      </c>
      <c r="E871" t="inlineStr">
        <is>
          <t>(без привʼязки)</t>
        </is>
      </c>
      <c r="F871" t="inlineStr">
        <is>
          <t>Результат від операцій купівлі-продажу іноземної валюти та банківських металів</t>
        </is>
      </c>
      <c r="G871" t="inlineStr">
        <is>
          <t>П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720902.93152</v>
      </c>
      <c r="O871" t="n">
        <v>720902.93152</v>
      </c>
      <c r="P871" t="n">
        <v>0</v>
      </c>
    </row>
    <row r="872">
      <c r="A872" t="inlineStr">
        <is>
          <t>2</t>
        </is>
      </c>
      <c r="B872" t="inlineStr">
        <is>
          <t>АТ "Укрексімбанк"</t>
        </is>
      </c>
      <c r="C872" t="inlineStr">
        <is>
          <t>Державний</t>
        </is>
      </c>
      <c r="D872" t="inlineStr">
        <is>
          <t>6214</t>
        </is>
      </c>
      <c r="E872" t="inlineStr">
        <is>
          <t>Загальні доходи (6)</t>
        </is>
      </c>
      <c r="F872" t="inlineStr">
        <is>
          <t>Результат від операцій купівлі-продажу іноземної валюти та банківських металів</t>
        </is>
      </c>
      <c r="G872" t="inlineStr">
        <is>
          <t>П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720902.93152</v>
      </c>
      <c r="O872" t="n">
        <v>720902.93152</v>
      </c>
      <c r="P872" t="n">
        <v>0</v>
      </c>
    </row>
    <row r="873">
      <c r="A873" t="inlineStr">
        <is>
          <t>2</t>
        </is>
      </c>
      <c r="B873" t="inlineStr">
        <is>
          <t>АТ "Укрексімбанк"</t>
        </is>
      </c>
      <c r="C873" t="inlineStr">
        <is>
          <t>Державний</t>
        </is>
      </c>
      <c r="D873" t="inlineStr">
        <is>
          <t>6216</t>
        </is>
      </c>
      <c r="E873" t="inlineStr">
        <is>
          <t>(без привʼязки)</t>
        </is>
      </c>
      <c r="F873" t="inlineStr">
        <is>
          <t>Результат від операцій купівлі-продажу форвардних контрактів</t>
        </is>
      </c>
      <c r="G873" t="inlineStr">
        <is>
          <t>А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t="inlineStr">
        <is>
          <t>2</t>
        </is>
      </c>
      <c r="B874" t="inlineStr">
        <is>
          <t>АТ "Укрексімбанк"</t>
        </is>
      </c>
      <c r="C874" t="inlineStr">
        <is>
          <t>Державний</t>
        </is>
      </c>
      <c r="D874" t="inlineStr">
        <is>
          <t>6216</t>
        </is>
      </c>
      <c r="E874" t="inlineStr">
        <is>
          <t>Загальні доходи (6)</t>
        </is>
      </c>
      <c r="F874" t="inlineStr">
        <is>
          <t>Результат від операцій купівлі-продажу форвардних контрактів</t>
        </is>
      </c>
      <c r="G874" t="inlineStr">
        <is>
          <t>А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t="inlineStr">
        <is>
          <t>2</t>
        </is>
      </c>
      <c r="B875" t="inlineStr">
        <is>
          <t>АТ "Укрексімбанк"</t>
        </is>
      </c>
      <c r="C875" t="inlineStr">
        <is>
          <t>Державний</t>
        </is>
      </c>
      <c r="D875" t="inlineStr">
        <is>
          <t>6216</t>
        </is>
      </c>
      <c r="E875" t="inlineStr">
        <is>
          <t>(без привʼязки)</t>
        </is>
      </c>
      <c r="F875" t="inlineStr">
        <is>
          <t>Результат від операцій купівлі-продажу форвардних контрактів</t>
        </is>
      </c>
      <c r="G875" t="inlineStr">
        <is>
          <t>П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t="inlineStr">
        <is>
          <t>2</t>
        </is>
      </c>
      <c r="B876" t="inlineStr">
        <is>
          <t>АТ "Укрексімбанк"</t>
        </is>
      </c>
      <c r="C876" t="inlineStr">
        <is>
          <t>Державний</t>
        </is>
      </c>
      <c r="D876" t="inlineStr">
        <is>
          <t>6216</t>
        </is>
      </c>
      <c r="E876" t="inlineStr">
        <is>
          <t>Загальні доходи (6)</t>
        </is>
      </c>
      <c r="F876" t="inlineStr">
        <is>
          <t>Результат від операцій купівлі-продажу форвардних контрактів</t>
        </is>
      </c>
      <c r="G876" t="inlineStr">
        <is>
          <t>П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inlineStr">
        <is>
          <t>2</t>
        </is>
      </c>
      <c r="B877" t="inlineStr">
        <is>
          <t>АТ "Укрексімбанк"</t>
        </is>
      </c>
      <c r="C877" t="inlineStr">
        <is>
          <t>Державний</t>
        </is>
      </c>
      <c r="D877" t="inlineStr">
        <is>
          <t>6218</t>
        </is>
      </c>
      <c r="E877" t="inlineStr">
        <is>
          <t>(без привʼязки)</t>
        </is>
      </c>
      <c r="F877" t="inlineStr">
        <is>
          <t>Результат від операцій купівлі-продажу валютних своп-контрактів</t>
        </is>
      </c>
      <c r="G877" t="inlineStr">
        <is>
          <t>А</t>
        </is>
      </c>
      <c r="H877" t="n">
        <v>18047.26254</v>
      </c>
      <c r="I877" t="n">
        <v>18047.26254</v>
      </c>
      <c r="J877" t="n">
        <v>0</v>
      </c>
      <c r="K877" t="n">
        <v>12176.35924</v>
      </c>
      <c r="L877" t="n">
        <v>12176.35924</v>
      </c>
      <c r="M877" t="n">
        <v>0</v>
      </c>
      <c r="N877" t="n">
        <v>0</v>
      </c>
      <c r="O877" t="n">
        <v>0</v>
      </c>
      <c r="P877" t="n">
        <v>0</v>
      </c>
    </row>
    <row r="878">
      <c r="A878" t="inlineStr">
        <is>
          <t>2</t>
        </is>
      </c>
      <c r="B878" t="inlineStr">
        <is>
          <t>АТ "Укрексімбанк"</t>
        </is>
      </c>
      <c r="C878" t="inlineStr">
        <is>
          <t>Державний</t>
        </is>
      </c>
      <c r="D878" t="inlineStr">
        <is>
          <t>6218</t>
        </is>
      </c>
      <c r="E878" t="inlineStr">
        <is>
          <t>Загальні доходи (6)</t>
        </is>
      </c>
      <c r="F878" t="inlineStr">
        <is>
          <t>Результат від операцій купівлі-продажу валютних своп-контрактів</t>
        </is>
      </c>
      <c r="G878" t="inlineStr">
        <is>
          <t>А</t>
        </is>
      </c>
      <c r="H878" t="n">
        <v>18047.26254</v>
      </c>
      <c r="I878" t="n">
        <v>18047.26254</v>
      </c>
      <c r="J878" t="n">
        <v>0</v>
      </c>
      <c r="K878" t="n">
        <v>12176.35924</v>
      </c>
      <c r="L878" t="n">
        <v>12176.35924</v>
      </c>
      <c r="M878" t="n">
        <v>0</v>
      </c>
      <c r="N878" t="n">
        <v>0</v>
      </c>
      <c r="O878" t="n">
        <v>0</v>
      </c>
      <c r="P878" t="n">
        <v>0</v>
      </c>
    </row>
    <row r="879">
      <c r="A879" t="inlineStr">
        <is>
          <t>2</t>
        </is>
      </c>
      <c r="B879" t="inlineStr">
        <is>
          <t>АТ "Укрексімбанк"</t>
        </is>
      </c>
      <c r="C879" t="inlineStr">
        <is>
          <t>Державний</t>
        </is>
      </c>
      <c r="D879" t="inlineStr">
        <is>
          <t>6218</t>
        </is>
      </c>
      <c r="E879" t="inlineStr">
        <is>
          <t>(без привʼязки)</t>
        </is>
      </c>
      <c r="F879" t="inlineStr">
        <is>
          <t>Результат від операцій купівлі-продажу валютних своп-контрактів</t>
        </is>
      </c>
      <c r="G879" t="inlineStr">
        <is>
          <t>П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15771.99206</v>
      </c>
      <c r="O879" t="n">
        <v>15771.99206</v>
      </c>
      <c r="P879" t="n">
        <v>0</v>
      </c>
    </row>
    <row r="880">
      <c r="A880" t="inlineStr">
        <is>
          <t>2</t>
        </is>
      </c>
      <c r="B880" t="inlineStr">
        <is>
          <t>АТ "Укрексімбанк"</t>
        </is>
      </c>
      <c r="C880" t="inlineStr">
        <is>
          <t>Державний</t>
        </is>
      </c>
      <c r="D880" t="inlineStr">
        <is>
          <t>6218</t>
        </is>
      </c>
      <c r="E880" t="inlineStr">
        <is>
          <t>Загальні доходи (6)</t>
        </is>
      </c>
      <c r="F880" t="inlineStr">
        <is>
          <t>Результат від операцій купівлі-продажу валютних своп-контрактів</t>
        </is>
      </c>
      <c r="G880" t="inlineStr">
        <is>
          <t>П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15771.99206</v>
      </c>
      <c r="O880" t="n">
        <v>15771.99206</v>
      </c>
      <c r="P880" t="n">
        <v>0</v>
      </c>
    </row>
    <row r="881">
      <c r="A881" t="inlineStr">
        <is>
          <t>2</t>
        </is>
      </c>
      <c r="B881" t="inlineStr">
        <is>
          <t>АТ "Укрексімбанк"</t>
        </is>
      </c>
      <c r="C881" t="inlineStr">
        <is>
          <t>Державний</t>
        </is>
      </c>
      <c r="D881" t="inlineStr">
        <is>
          <t>6219</t>
        </is>
      </c>
      <c r="E881" t="inlineStr">
        <is>
          <t>(без привʼязки)</t>
        </is>
      </c>
      <c r="F881" t="inlineStr">
        <is>
          <t>Результат від операцій купівлі-продажу процентних своп-контрактів</t>
        </is>
      </c>
      <c r="G881" t="inlineStr">
        <is>
          <t>П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51489.37803</v>
      </c>
      <c r="O881" t="n">
        <v>51489.37803</v>
      </c>
      <c r="P881" t="n">
        <v>0</v>
      </c>
    </row>
    <row r="882">
      <c r="A882" t="inlineStr">
        <is>
          <t>2</t>
        </is>
      </c>
      <c r="B882" t="inlineStr">
        <is>
          <t>АТ "Укрексімбанк"</t>
        </is>
      </c>
      <c r="C882" t="inlineStr">
        <is>
          <t>Державний</t>
        </is>
      </c>
      <c r="D882" t="inlineStr">
        <is>
          <t>6219</t>
        </is>
      </c>
      <c r="E882" t="inlineStr">
        <is>
          <t>Загальні доходи (6)</t>
        </is>
      </c>
      <c r="F882" t="inlineStr">
        <is>
          <t>Результат від операцій купівлі-продажу процентних своп-контрактів</t>
        </is>
      </c>
      <c r="G882" t="inlineStr">
        <is>
          <t>П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51489.37803</v>
      </c>
      <c r="O882" t="n">
        <v>51489.37803</v>
      </c>
      <c r="P882" t="n">
        <v>0</v>
      </c>
    </row>
    <row r="883">
      <c r="A883" t="inlineStr">
        <is>
          <t>2</t>
        </is>
      </c>
      <c r="B883" t="inlineStr">
        <is>
          <t>АТ "Укрексімбанк"</t>
        </is>
      </c>
      <c r="C883" t="inlineStr">
        <is>
          <t>Державний</t>
        </is>
      </c>
      <c r="D883" t="inlineStr">
        <is>
          <t>6223</t>
        </is>
      </c>
      <c r="E883" t="inlineStr">
        <is>
          <t>(без привʼязки)</t>
        </is>
      </c>
      <c r="F883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3" t="inlineStr">
        <is>
          <t>А</t>
        </is>
      </c>
      <c r="H883" t="n">
        <v>335123.80842</v>
      </c>
      <c r="I883" t="n">
        <v>335123.80842</v>
      </c>
      <c r="J883" t="n">
        <v>0</v>
      </c>
      <c r="K883" t="n">
        <v>381703.71967</v>
      </c>
      <c r="L883" t="n">
        <v>381703.71967</v>
      </c>
      <c r="M883" t="n">
        <v>0</v>
      </c>
      <c r="N883" t="n">
        <v>-301595.50855</v>
      </c>
      <c r="O883" t="n">
        <v>-301595.50855</v>
      </c>
      <c r="P883" t="n">
        <v>0</v>
      </c>
    </row>
    <row r="884">
      <c r="A884" t="inlineStr">
        <is>
          <t>2</t>
        </is>
      </c>
      <c r="B884" t="inlineStr">
        <is>
          <t>АТ "Укрексімбанк"</t>
        </is>
      </c>
      <c r="C884" t="inlineStr">
        <is>
          <t>Державний</t>
        </is>
      </c>
      <c r="D884" t="inlineStr">
        <is>
          <t>6223</t>
        </is>
      </c>
      <c r="E884" t="inlineStr">
        <is>
          <t>Загальні доходи (6)</t>
        </is>
      </c>
      <c r="F88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4" t="inlineStr">
        <is>
          <t>А</t>
        </is>
      </c>
      <c r="H884" t="n">
        <v>335123.80842</v>
      </c>
      <c r="I884" t="n">
        <v>335123.80842</v>
      </c>
      <c r="J884" t="n">
        <v>0</v>
      </c>
      <c r="K884" t="n">
        <v>381703.71967</v>
      </c>
      <c r="L884" t="n">
        <v>381703.71967</v>
      </c>
      <c r="M884" t="n">
        <v>0</v>
      </c>
      <c r="N884" t="n">
        <v>-301595.50855</v>
      </c>
      <c r="O884" t="n">
        <v>-301595.50855</v>
      </c>
      <c r="P884" t="n">
        <v>0</v>
      </c>
    </row>
    <row r="885">
      <c r="A885" t="inlineStr">
        <is>
          <t>2</t>
        </is>
      </c>
      <c r="B885" t="inlineStr">
        <is>
          <t>АТ "Укрексімбанк"</t>
        </is>
      </c>
      <c r="C885" t="inlineStr">
        <is>
          <t>Державний</t>
        </is>
      </c>
      <c r="D885" t="inlineStr">
        <is>
          <t>6223</t>
        </is>
      </c>
      <c r="E885" t="inlineStr">
        <is>
          <t>(без привʼязки)</t>
        </is>
      </c>
      <c r="F885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5" t="inlineStr">
        <is>
          <t>П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243328.90637</v>
      </c>
      <c r="O885" t="n">
        <v>243328.90637</v>
      </c>
      <c r="P885" t="n">
        <v>0</v>
      </c>
    </row>
    <row r="886">
      <c r="A886" t="inlineStr">
        <is>
          <t>2</t>
        </is>
      </c>
      <c r="B886" t="inlineStr">
        <is>
          <t>АТ "Укрексімбанк"</t>
        </is>
      </c>
      <c r="C886" t="inlineStr">
        <is>
          <t>Державний</t>
        </is>
      </c>
      <c r="D886" t="inlineStr">
        <is>
          <t>6223</t>
        </is>
      </c>
      <c r="E886" t="inlineStr">
        <is>
          <t>Загальні доходи (6)</t>
        </is>
      </c>
      <c r="F886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6" t="inlineStr">
        <is>
          <t>П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243328.90637</v>
      </c>
      <c r="O886" t="n">
        <v>243328.90637</v>
      </c>
      <c r="P886" t="n">
        <v>0</v>
      </c>
    </row>
    <row r="887">
      <c r="A887" t="inlineStr">
        <is>
          <t>2</t>
        </is>
      </c>
      <c r="B887" t="inlineStr">
        <is>
          <t>АТ "Укрексімбанк"</t>
        </is>
      </c>
      <c r="C887" t="inlineStr">
        <is>
          <t>Державний</t>
        </is>
      </c>
      <c r="D887" t="inlineStr">
        <is>
          <t>6224</t>
        </is>
      </c>
      <c r="E887" t="inlineStr">
        <is>
          <t>(без привʼязки)</t>
        </is>
      </c>
      <c r="F88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7" t="inlineStr">
        <is>
          <t>А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inlineStr">
        <is>
          <t>2</t>
        </is>
      </c>
      <c r="B888" t="inlineStr">
        <is>
          <t>АТ "Укрексімбанк"</t>
        </is>
      </c>
      <c r="C888" t="inlineStr">
        <is>
          <t>Державний</t>
        </is>
      </c>
      <c r="D888" t="inlineStr">
        <is>
          <t>6224</t>
        </is>
      </c>
      <c r="E888" t="inlineStr">
        <is>
          <t>Загальні доходи (6)</t>
        </is>
      </c>
      <c r="F888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8" t="inlineStr">
        <is>
          <t>А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inlineStr">
        <is>
          <t>2</t>
        </is>
      </c>
      <c r="B889" t="inlineStr">
        <is>
          <t>АТ "Укрексімбанк"</t>
        </is>
      </c>
      <c r="C889" t="inlineStr">
        <is>
          <t>Державний</t>
        </is>
      </c>
      <c r="D889" t="inlineStr">
        <is>
          <t>6224</t>
        </is>
      </c>
      <c r="E889" t="inlineStr">
        <is>
          <t>(без привʼязки)</t>
        </is>
      </c>
      <c r="F889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9" t="inlineStr">
        <is>
          <t>П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inlineStr">
        <is>
          <t>2</t>
        </is>
      </c>
      <c r="B890" t="inlineStr">
        <is>
          <t>АТ "Укрексімбанк"</t>
        </is>
      </c>
      <c r="C890" t="inlineStr">
        <is>
          <t>Державний</t>
        </is>
      </c>
      <c r="D890" t="inlineStr">
        <is>
          <t>6224</t>
        </is>
      </c>
      <c r="E890" t="inlineStr">
        <is>
          <t>Загальні доходи (6)</t>
        </is>
      </c>
      <c r="F890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90" t="inlineStr">
        <is>
          <t>П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2</t>
        </is>
      </c>
      <c r="B891" t="inlineStr">
        <is>
          <t>АТ "Укрексімбанк"</t>
        </is>
      </c>
      <c r="C891" t="inlineStr">
        <is>
          <t>Державний</t>
        </is>
      </c>
      <c r="D891" t="inlineStr">
        <is>
          <t>6226</t>
        </is>
      </c>
      <c r="E891" t="inlineStr">
        <is>
          <t>(без привʼязки)</t>
        </is>
      </c>
      <c r="F891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1" t="inlineStr">
        <is>
          <t>А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2</t>
        </is>
      </c>
      <c r="B892" t="inlineStr">
        <is>
          <t>АТ "Укрексімбанк"</t>
        </is>
      </c>
      <c r="C892" t="inlineStr">
        <is>
          <t>Державний</t>
        </is>
      </c>
      <c r="D892" t="inlineStr">
        <is>
          <t>6226</t>
        </is>
      </c>
      <c r="E892" t="inlineStr">
        <is>
          <t>Загальні доходи (6)</t>
        </is>
      </c>
      <c r="F892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2" t="inlineStr">
        <is>
          <t>А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t="inlineStr">
        <is>
          <t>2</t>
        </is>
      </c>
      <c r="B893" t="inlineStr">
        <is>
          <t>АТ "Укрексімбанк"</t>
        </is>
      </c>
      <c r="C893" t="inlineStr">
        <is>
          <t>Державний</t>
        </is>
      </c>
      <c r="D893" t="inlineStr">
        <is>
          <t>6226</t>
        </is>
      </c>
      <c r="E893" t="inlineStr">
        <is>
          <t>(без привʼязки)</t>
        </is>
      </c>
      <c r="F893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3" t="inlineStr">
        <is>
          <t>П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468329.67745</v>
      </c>
      <c r="O893" t="n">
        <v>468329.67745</v>
      </c>
      <c r="P893" t="n">
        <v>0</v>
      </c>
    </row>
    <row r="894">
      <c r="A894" t="inlineStr">
        <is>
          <t>2</t>
        </is>
      </c>
      <c r="B894" t="inlineStr">
        <is>
          <t>АТ "Укрексімбанк"</t>
        </is>
      </c>
      <c r="C894" t="inlineStr">
        <is>
          <t>Державний</t>
        </is>
      </c>
      <c r="D894" t="inlineStr">
        <is>
          <t>6226</t>
        </is>
      </c>
      <c r="E894" t="inlineStr">
        <is>
          <t>Загальні доходи (6)</t>
        </is>
      </c>
      <c r="F89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4" t="inlineStr">
        <is>
          <t>П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468329.67745</v>
      </c>
      <c r="O894" t="n">
        <v>468329.67745</v>
      </c>
      <c r="P894" t="n">
        <v>0</v>
      </c>
    </row>
    <row r="895">
      <c r="A895" t="inlineStr">
        <is>
          <t>2</t>
        </is>
      </c>
      <c r="B895" t="inlineStr">
        <is>
          <t>АТ "Укрексімбанк"</t>
        </is>
      </c>
      <c r="C895" t="inlineStr">
        <is>
          <t>Державний</t>
        </is>
      </c>
      <c r="D895" t="inlineStr">
        <is>
          <t>6300</t>
        </is>
      </c>
      <c r="E895" t="inlineStr">
        <is>
          <t>(без привʼязки)</t>
        </is>
      </c>
      <c r="F895" t="inlineStr">
        <is>
          <t>Дохід у вигляді дивідендів за акціями, що обліковуються за справедливою вартістю через прибутки/збитки</t>
        </is>
      </c>
      <c r="G895" t="inlineStr">
        <is>
          <t>П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t="inlineStr">
        <is>
          <t>2</t>
        </is>
      </c>
      <c r="B896" t="inlineStr">
        <is>
          <t>АТ "Укрексімбанк"</t>
        </is>
      </c>
      <c r="C896" t="inlineStr">
        <is>
          <t>Державний</t>
        </is>
      </c>
      <c r="D896" t="inlineStr">
        <is>
          <t>6300</t>
        </is>
      </c>
      <c r="E896" t="inlineStr">
        <is>
          <t>Загальні доходи (6)</t>
        </is>
      </c>
      <c r="F896" t="inlineStr">
        <is>
          <t>Дохід у вигляді дивідендів за акціями, що обліковуються за справедливою вартістю через прибутки/збитки</t>
        </is>
      </c>
      <c r="G896" t="inlineStr">
        <is>
          <t>П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inlineStr">
        <is>
          <t>2</t>
        </is>
      </c>
      <c r="B897" t="inlineStr">
        <is>
          <t>АТ "Укрексімбанк"</t>
        </is>
      </c>
      <c r="C897" t="inlineStr">
        <is>
          <t>Державний</t>
        </is>
      </c>
      <c r="D897" t="inlineStr">
        <is>
          <t>6301</t>
        </is>
      </c>
      <c r="E897" t="inlineStr">
        <is>
          <t>(без привʼязки)</t>
        </is>
      </c>
      <c r="F897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897" t="inlineStr">
        <is>
          <t>П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1051.1298</v>
      </c>
      <c r="O897" t="n">
        <v>1051.1298</v>
      </c>
      <c r="P897" t="n">
        <v>0</v>
      </c>
    </row>
    <row r="898">
      <c r="A898" t="inlineStr">
        <is>
          <t>2</t>
        </is>
      </c>
      <c r="B898" t="inlineStr">
        <is>
          <t>АТ "Укрексімбанк"</t>
        </is>
      </c>
      <c r="C898" t="inlineStr">
        <is>
          <t>Державний</t>
        </is>
      </c>
      <c r="D898" t="inlineStr">
        <is>
          <t>6301</t>
        </is>
      </c>
      <c r="E898" t="inlineStr">
        <is>
          <t>Загальні доходи (6)</t>
        </is>
      </c>
      <c r="F898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898" t="inlineStr">
        <is>
          <t>П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1051.1298</v>
      </c>
      <c r="O898" t="n">
        <v>1051.1298</v>
      </c>
      <c r="P898" t="n">
        <v>0</v>
      </c>
    </row>
    <row r="899">
      <c r="A899" t="inlineStr">
        <is>
          <t>2</t>
        </is>
      </c>
      <c r="B899" t="inlineStr">
        <is>
          <t>АТ "Укрексімбанк"</t>
        </is>
      </c>
      <c r="C899" t="inlineStr">
        <is>
          <t>Державний</t>
        </is>
      </c>
      <c r="D899" t="inlineStr">
        <is>
          <t>6303</t>
        </is>
      </c>
      <c r="E899" t="inlineStr">
        <is>
          <t>(без привʼязки)</t>
        </is>
      </c>
      <c r="F899" t="inlineStr">
        <is>
          <t>Дохід у вигляді дивідендів за інвестиціями в дочірні компанії</t>
        </is>
      </c>
      <c r="G899" t="inlineStr">
        <is>
          <t>П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inlineStr">
        <is>
          <t>2</t>
        </is>
      </c>
      <c r="B900" t="inlineStr">
        <is>
          <t>АТ "Укрексімбанк"</t>
        </is>
      </c>
      <c r="C900" t="inlineStr">
        <is>
          <t>Державний</t>
        </is>
      </c>
      <c r="D900" t="inlineStr">
        <is>
          <t>6303</t>
        </is>
      </c>
      <c r="E900" t="inlineStr">
        <is>
          <t>Загальні доходи (6)</t>
        </is>
      </c>
      <c r="F900" t="inlineStr">
        <is>
          <t>Дохід у вигляді дивідендів за інвестиціями в дочірні компанії</t>
        </is>
      </c>
      <c r="G900" t="inlineStr">
        <is>
          <t>П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inlineStr">
        <is>
          <t>2</t>
        </is>
      </c>
      <c r="B901" t="inlineStr">
        <is>
          <t>АТ "Укрексімбанк"</t>
        </is>
      </c>
      <c r="C901" t="inlineStr">
        <is>
          <t>Державний</t>
        </is>
      </c>
      <c r="D901" t="inlineStr">
        <is>
          <t>6320</t>
        </is>
      </c>
      <c r="E901" t="inlineStr">
        <is>
          <t>(без привʼязки)</t>
        </is>
      </c>
      <c r="F901" t="inlineStr">
        <is>
          <t>Дохід від модифікації фінансових активів</t>
        </is>
      </c>
      <c r="G901" t="inlineStr">
        <is>
          <t>П</t>
        </is>
      </c>
      <c r="H901" t="n">
        <v>0</v>
      </c>
      <c r="I901" t="n">
        <v>0</v>
      </c>
      <c r="J901" t="n">
        <v>0</v>
      </c>
      <c r="K901" t="n">
        <v>893.61822</v>
      </c>
      <c r="L901" t="n">
        <v>893.61822</v>
      </c>
      <c r="M901" t="n">
        <v>0</v>
      </c>
      <c r="N901" t="n">
        <v>2198.83206</v>
      </c>
      <c r="O901" t="n">
        <v>2198.83206</v>
      </c>
      <c r="P901" t="n">
        <v>0</v>
      </c>
    </row>
    <row r="902">
      <c r="A902" t="inlineStr">
        <is>
          <t>2</t>
        </is>
      </c>
      <c r="B902" t="inlineStr">
        <is>
          <t>АТ "Укрексімбанк"</t>
        </is>
      </c>
      <c r="C902" t="inlineStr">
        <is>
          <t>Державний</t>
        </is>
      </c>
      <c r="D902" t="inlineStr">
        <is>
          <t>6320</t>
        </is>
      </c>
      <c r="E902" t="inlineStr">
        <is>
          <t>Загальні доходи (6)</t>
        </is>
      </c>
      <c r="F902" t="inlineStr">
        <is>
          <t>Дохід від модифікації фінансових активів</t>
        </is>
      </c>
      <c r="G902" t="inlineStr">
        <is>
          <t>П</t>
        </is>
      </c>
      <c r="H902" t="n">
        <v>0</v>
      </c>
      <c r="I902" t="n">
        <v>0</v>
      </c>
      <c r="J902" t="n">
        <v>0</v>
      </c>
      <c r="K902" t="n">
        <v>893.61822</v>
      </c>
      <c r="L902" t="n">
        <v>893.61822</v>
      </c>
      <c r="M902" t="n">
        <v>0</v>
      </c>
      <c r="N902" t="n">
        <v>2198.83206</v>
      </c>
      <c r="O902" t="n">
        <v>2198.83206</v>
      </c>
      <c r="P902" t="n">
        <v>0</v>
      </c>
    </row>
    <row r="903">
      <c r="A903" t="inlineStr">
        <is>
          <t>2</t>
        </is>
      </c>
      <c r="B903" t="inlineStr">
        <is>
          <t>АТ "Укрексімбанк"</t>
        </is>
      </c>
      <c r="C903" t="inlineStr">
        <is>
          <t>Державний</t>
        </is>
      </c>
      <c r="D903" t="inlineStr">
        <is>
          <t>6330</t>
        </is>
      </c>
      <c r="E903" t="inlineStr">
        <is>
          <t>(без привʼязки)</t>
        </is>
      </c>
      <c r="F903" t="inlineStr">
        <is>
          <t>Дохід від модифікації фінансових зобов'язань</t>
        </is>
      </c>
      <c r="G903" t="inlineStr">
        <is>
          <t>П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inlineStr">
        <is>
          <t>2</t>
        </is>
      </c>
      <c r="B904" t="inlineStr">
        <is>
          <t>АТ "Укрексімбанк"</t>
        </is>
      </c>
      <c r="C904" t="inlineStr">
        <is>
          <t>Державний</t>
        </is>
      </c>
      <c r="D904" t="inlineStr">
        <is>
          <t>6330</t>
        </is>
      </c>
      <c r="E904" t="inlineStr">
        <is>
          <t>Загальні доходи (6)</t>
        </is>
      </c>
      <c r="F904" t="inlineStr">
        <is>
          <t>Дохід від модифікації фінансових зобов'язань</t>
        </is>
      </c>
      <c r="G904" t="inlineStr">
        <is>
          <t>П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inlineStr">
        <is>
          <t>2</t>
        </is>
      </c>
      <c r="B905" t="inlineStr">
        <is>
          <t>АТ "Укрексімбанк"</t>
        </is>
      </c>
      <c r="C905" t="inlineStr">
        <is>
          <t>Державний</t>
        </is>
      </c>
      <c r="D905" t="inlineStr">
        <is>
          <t>6340</t>
        </is>
      </c>
      <c r="E905" t="inlineStr">
        <is>
          <t>(без привʼязки)</t>
        </is>
      </c>
      <c r="F905" t="inlineStr">
        <is>
          <t>Дохід від припинення визнання фінансових активів</t>
        </is>
      </c>
      <c r="G905" t="inlineStr">
        <is>
          <t>П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inlineStr">
        <is>
          <t>2</t>
        </is>
      </c>
      <c r="B906" t="inlineStr">
        <is>
          <t>АТ "Укрексімбанк"</t>
        </is>
      </c>
      <c r="C906" t="inlineStr">
        <is>
          <t>Державний</t>
        </is>
      </c>
      <c r="D906" t="inlineStr">
        <is>
          <t>6340</t>
        </is>
      </c>
      <c r="E906" t="inlineStr">
        <is>
          <t>Загальні доходи (6)</t>
        </is>
      </c>
      <c r="F906" t="inlineStr">
        <is>
          <t>Дохід від припинення визнання фінансових активів</t>
        </is>
      </c>
      <c r="G906" t="inlineStr">
        <is>
          <t>П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inlineStr">
        <is>
          <t>2</t>
        </is>
      </c>
      <c r="B907" t="inlineStr">
        <is>
          <t>АТ "Укрексімбанк"</t>
        </is>
      </c>
      <c r="C907" t="inlineStr">
        <is>
          <t>Державний</t>
        </is>
      </c>
      <c r="D907" t="inlineStr">
        <is>
          <t>6350</t>
        </is>
      </c>
      <c r="E907" t="inlineStr">
        <is>
          <t>(без привʼязки)</t>
        </is>
      </c>
      <c r="F907" t="inlineStr">
        <is>
          <t>Дохід від припинення визнання фінансових зобов'язань</t>
        </is>
      </c>
      <c r="G907" t="inlineStr">
        <is>
          <t>П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inlineStr">
        <is>
          <t>2</t>
        </is>
      </c>
      <c r="B908" t="inlineStr">
        <is>
          <t>АТ "Укрексімбанк"</t>
        </is>
      </c>
      <c r="C908" t="inlineStr">
        <is>
          <t>Державний</t>
        </is>
      </c>
      <c r="D908" t="inlineStr">
        <is>
          <t>6350</t>
        </is>
      </c>
      <c r="E908" t="inlineStr">
        <is>
          <t>Загальні доходи (6)</t>
        </is>
      </c>
      <c r="F908" t="inlineStr">
        <is>
          <t>Дохід від припинення визнання фінансових зобов'язань</t>
        </is>
      </c>
      <c r="G908" t="inlineStr">
        <is>
          <t>П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inlineStr">
        <is>
          <t>2</t>
        </is>
      </c>
      <c r="B909" t="inlineStr">
        <is>
          <t>АТ "Укрексімбанк"</t>
        </is>
      </c>
      <c r="C909" t="inlineStr">
        <is>
          <t>Державний</t>
        </is>
      </c>
      <c r="D909" t="inlineStr">
        <is>
          <t>6360</t>
        </is>
      </c>
      <c r="E909" t="inlineStr">
        <is>
          <t>(без привʼязки)</t>
        </is>
      </c>
      <c r="F909" t="inlineStr">
        <is>
          <t>Дохід від модифікації лізингу (оренди)</t>
        </is>
      </c>
      <c r="G909" t="inlineStr">
        <is>
          <t>П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35.5197</v>
      </c>
      <c r="O909" t="n">
        <v>35.5197</v>
      </c>
      <c r="P909" t="n">
        <v>0</v>
      </c>
    </row>
    <row r="910">
      <c r="A910" t="inlineStr">
        <is>
          <t>2</t>
        </is>
      </c>
      <c r="B910" t="inlineStr">
        <is>
          <t>АТ "Укрексімбанк"</t>
        </is>
      </c>
      <c r="C910" t="inlineStr">
        <is>
          <t>Державний</t>
        </is>
      </c>
      <c r="D910" t="inlineStr">
        <is>
          <t>6360</t>
        </is>
      </c>
      <c r="E910" t="inlineStr">
        <is>
          <t>Загальні доходи (6)</t>
        </is>
      </c>
      <c r="F910" t="inlineStr">
        <is>
          <t>Дохід від модифікації лізингу (оренди)</t>
        </is>
      </c>
      <c r="G910" t="inlineStr">
        <is>
          <t>П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35.5197</v>
      </c>
      <c r="O910" t="n">
        <v>35.5197</v>
      </c>
      <c r="P910" t="n">
        <v>0</v>
      </c>
    </row>
    <row r="911">
      <c r="A911" t="inlineStr">
        <is>
          <t>2</t>
        </is>
      </c>
      <c r="B911" t="inlineStr">
        <is>
          <t>АТ "Укрексімбанк"</t>
        </is>
      </c>
      <c r="C911" t="inlineStr">
        <is>
          <t>Державний</t>
        </is>
      </c>
      <c r="D911" t="inlineStr">
        <is>
          <t>6390</t>
        </is>
      </c>
      <c r="E911" t="inlineStr">
        <is>
          <t>(без привʼязки)</t>
        </is>
      </c>
      <c r="F911" t="inlineStr">
        <is>
          <t>Дохід під час первісного визнання фінансових активів за вартістю, вищою/нижчою, ніж справедлива</t>
        </is>
      </c>
      <c r="G911" t="inlineStr">
        <is>
          <t>П</t>
        </is>
      </c>
      <c r="H911" t="n">
        <v>0</v>
      </c>
      <c r="I911" t="n">
        <v>0</v>
      </c>
      <c r="J911" t="n">
        <v>0</v>
      </c>
      <c r="K911" t="n">
        <v>51951.02951</v>
      </c>
      <c r="L911" t="n">
        <v>51951.02951</v>
      </c>
      <c r="M911" t="n">
        <v>0</v>
      </c>
      <c r="N911" t="n">
        <v>617352.4899</v>
      </c>
      <c r="O911" t="n">
        <v>617352.4899</v>
      </c>
      <c r="P911" t="n">
        <v>0</v>
      </c>
    </row>
    <row r="912">
      <c r="A912" t="inlineStr">
        <is>
          <t>2</t>
        </is>
      </c>
      <c r="B912" t="inlineStr">
        <is>
          <t>АТ "Укрексімбанк"</t>
        </is>
      </c>
      <c r="C912" t="inlineStr">
        <is>
          <t>Державний</t>
        </is>
      </c>
      <c r="D912" t="inlineStr">
        <is>
          <t>6390</t>
        </is>
      </c>
      <c r="E912" t="inlineStr">
        <is>
          <t>Загальні доходи (6)</t>
        </is>
      </c>
      <c r="F912" t="inlineStr">
        <is>
          <t>Дохід під час первісного визнання фінансових активів за вартістю, вищою/нижчою, ніж справедлива</t>
        </is>
      </c>
      <c r="G912" t="inlineStr">
        <is>
          <t>П</t>
        </is>
      </c>
      <c r="H912" t="n">
        <v>0</v>
      </c>
      <c r="I912" t="n">
        <v>0</v>
      </c>
      <c r="J912" t="n">
        <v>0</v>
      </c>
      <c r="K912" t="n">
        <v>51951.02951</v>
      </c>
      <c r="L912" t="n">
        <v>51951.02951</v>
      </c>
      <c r="M912" t="n">
        <v>0</v>
      </c>
      <c r="N912" t="n">
        <v>617352.4899</v>
      </c>
      <c r="O912" t="n">
        <v>617352.4899</v>
      </c>
      <c r="P912" t="n">
        <v>0</v>
      </c>
    </row>
    <row r="913">
      <c r="A913" t="inlineStr">
        <is>
          <t>2</t>
        </is>
      </c>
      <c r="B913" t="inlineStr">
        <is>
          <t>АТ "Укрексімбанк"</t>
        </is>
      </c>
      <c r="C913" t="inlineStr">
        <is>
          <t>Державний</t>
        </is>
      </c>
      <c r="D913" t="inlineStr">
        <is>
          <t>6393</t>
        </is>
      </c>
      <c r="E913" t="inlineStr">
        <is>
          <t>(без привʼязки)</t>
        </is>
      </c>
      <c r="F913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3" t="inlineStr">
        <is>
          <t>А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-28528.96294</v>
      </c>
      <c r="O913" t="n">
        <v>-28528.96294</v>
      </c>
      <c r="P913" t="n">
        <v>0</v>
      </c>
    </row>
    <row r="914">
      <c r="A914" t="inlineStr">
        <is>
          <t>2</t>
        </is>
      </c>
      <c r="B914" t="inlineStr">
        <is>
          <t>АТ "Укрексімбанк"</t>
        </is>
      </c>
      <c r="C914" t="inlineStr">
        <is>
          <t>Державний</t>
        </is>
      </c>
      <c r="D914" t="inlineStr">
        <is>
          <t>6393</t>
        </is>
      </c>
      <c r="E914" t="inlineStr">
        <is>
          <t>Загальні доходи (6)</t>
        </is>
      </c>
      <c r="F9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4" t="inlineStr">
        <is>
          <t>А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-28528.96294</v>
      </c>
      <c r="O914" t="n">
        <v>-28528.96294</v>
      </c>
      <c r="P914" t="n">
        <v>0</v>
      </c>
    </row>
    <row r="915">
      <c r="A915" t="inlineStr">
        <is>
          <t>2</t>
        </is>
      </c>
      <c r="B915" t="inlineStr">
        <is>
          <t>АТ "Укрексімбанк"</t>
        </is>
      </c>
      <c r="C915" t="inlineStr">
        <is>
          <t>Державний</t>
        </is>
      </c>
      <c r="D915" t="inlineStr">
        <is>
          <t>6393</t>
        </is>
      </c>
      <c r="E915" t="inlineStr">
        <is>
          <t>(без привʼязки)</t>
        </is>
      </c>
      <c r="F915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5" t="inlineStr">
        <is>
          <t>П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inlineStr">
        <is>
          <t>2</t>
        </is>
      </c>
      <c r="B916" t="inlineStr">
        <is>
          <t>АТ "Укрексімбанк"</t>
        </is>
      </c>
      <c r="C916" t="inlineStr">
        <is>
          <t>Державний</t>
        </is>
      </c>
      <c r="D916" t="inlineStr">
        <is>
          <t>6393</t>
        </is>
      </c>
      <c r="E916" t="inlineStr">
        <is>
          <t>Загальні доходи (6)</t>
        </is>
      </c>
      <c r="F916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6" t="inlineStr">
        <is>
          <t>П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2</t>
        </is>
      </c>
      <c r="B917" t="inlineStr">
        <is>
          <t>АТ "Укрексімбанк"</t>
        </is>
      </c>
      <c r="C917" t="inlineStr">
        <is>
          <t>Державний</t>
        </is>
      </c>
      <c r="D917" t="inlineStr">
        <is>
          <t>6394</t>
        </is>
      </c>
      <c r="E917" t="inlineStr">
        <is>
          <t>(без привʼязки)</t>
        </is>
      </c>
      <c r="F917" t="inlineStr">
        <is>
          <t>Дохід від переоцінки об'єктів інвестиційної нерухомості</t>
        </is>
      </c>
      <c r="G917" t="inlineStr">
        <is>
          <t>П</t>
        </is>
      </c>
      <c r="H917" t="n">
        <v>0</v>
      </c>
      <c r="I917" t="n">
        <v>0</v>
      </c>
      <c r="J917" t="n">
        <v>0</v>
      </c>
      <c r="K917" t="n">
        <v>2790.86814</v>
      </c>
      <c r="L917" t="n">
        <v>2790.86814</v>
      </c>
      <c r="M917" t="n">
        <v>0</v>
      </c>
      <c r="N917" t="n">
        <v>2818.88414</v>
      </c>
      <c r="O917" t="n">
        <v>2818.88414</v>
      </c>
      <c r="P917" t="n">
        <v>0</v>
      </c>
    </row>
    <row r="918">
      <c r="A918" t="inlineStr">
        <is>
          <t>2</t>
        </is>
      </c>
      <c r="B918" t="inlineStr">
        <is>
          <t>АТ "Укрексімбанк"</t>
        </is>
      </c>
      <c r="C918" t="inlineStr">
        <is>
          <t>Державний</t>
        </is>
      </c>
      <c r="D918" t="inlineStr">
        <is>
          <t>6394</t>
        </is>
      </c>
      <c r="E918" t="inlineStr">
        <is>
          <t>Загальні доходи (6)</t>
        </is>
      </c>
      <c r="F918" t="inlineStr">
        <is>
          <t>Дохід від переоцінки об'єктів інвестиційної нерухомості</t>
        </is>
      </c>
      <c r="G918" t="inlineStr">
        <is>
          <t>П</t>
        </is>
      </c>
      <c r="H918" t="n">
        <v>0</v>
      </c>
      <c r="I918" t="n">
        <v>0</v>
      </c>
      <c r="J918" t="n">
        <v>0</v>
      </c>
      <c r="K918" t="n">
        <v>2790.86814</v>
      </c>
      <c r="L918" t="n">
        <v>2790.86814</v>
      </c>
      <c r="M918" t="n">
        <v>0</v>
      </c>
      <c r="N918" t="n">
        <v>2818.88414</v>
      </c>
      <c r="O918" t="n">
        <v>2818.88414</v>
      </c>
      <c r="P918" t="n">
        <v>0</v>
      </c>
    </row>
    <row r="919">
      <c r="A919" t="inlineStr">
        <is>
          <t>2</t>
        </is>
      </c>
      <c r="B919" t="inlineStr">
        <is>
          <t>АТ "Укрексімбанк"</t>
        </is>
      </c>
      <c r="C919" t="inlineStr">
        <is>
          <t>Державний</t>
        </is>
      </c>
      <c r="D919" t="inlineStr">
        <is>
          <t>6395</t>
        </is>
      </c>
      <c r="E919" t="inlineStr">
        <is>
          <t>(без привʼязки)</t>
        </is>
      </c>
      <c r="F919" t="inlineStr">
        <is>
          <t>Дохід від лізингу (оренди)</t>
        </is>
      </c>
      <c r="G919" t="inlineStr">
        <is>
          <t>П</t>
        </is>
      </c>
      <c r="H919" t="n">
        <v>0</v>
      </c>
      <c r="I919" t="n">
        <v>0</v>
      </c>
      <c r="J919" t="n">
        <v>0</v>
      </c>
      <c r="K919" t="n">
        <v>12332.98951</v>
      </c>
      <c r="L919" t="n">
        <v>12332.98951</v>
      </c>
      <c r="M919" t="n">
        <v>0</v>
      </c>
      <c r="N919" t="n">
        <v>29481.43802</v>
      </c>
      <c r="O919" t="n">
        <v>29481.43802</v>
      </c>
      <c r="P919" t="n">
        <v>0</v>
      </c>
    </row>
    <row r="920">
      <c r="A920" t="inlineStr">
        <is>
          <t>2</t>
        </is>
      </c>
      <c r="B920" t="inlineStr">
        <is>
          <t>АТ "Укрексімбанк"</t>
        </is>
      </c>
      <c r="C920" t="inlineStr">
        <is>
          <t>Державний</t>
        </is>
      </c>
      <c r="D920" t="inlineStr">
        <is>
          <t>6395</t>
        </is>
      </c>
      <c r="E920" t="inlineStr">
        <is>
          <t>Загальні доходи (6)</t>
        </is>
      </c>
      <c r="F920" t="inlineStr">
        <is>
          <t>Дохід від лізингу (оренди)</t>
        </is>
      </c>
      <c r="G920" t="inlineStr">
        <is>
          <t>П</t>
        </is>
      </c>
      <c r="H920" t="n">
        <v>0</v>
      </c>
      <c r="I920" t="n">
        <v>0</v>
      </c>
      <c r="J920" t="n">
        <v>0</v>
      </c>
      <c r="K920" t="n">
        <v>12332.98951</v>
      </c>
      <c r="L920" t="n">
        <v>12332.98951</v>
      </c>
      <c r="M920" t="n">
        <v>0</v>
      </c>
      <c r="N920" t="n">
        <v>29481.43802</v>
      </c>
      <c r="O920" t="n">
        <v>29481.43802</v>
      </c>
      <c r="P920" t="n">
        <v>0</v>
      </c>
    </row>
    <row r="921">
      <c r="A921" t="inlineStr">
        <is>
          <t>2</t>
        </is>
      </c>
      <c r="B921" t="inlineStr">
        <is>
          <t>АТ "Укрексімбанк"</t>
        </is>
      </c>
      <c r="C921" t="inlineStr">
        <is>
          <t>Державний</t>
        </is>
      </c>
      <c r="D921" t="inlineStr">
        <is>
          <t>6396</t>
        </is>
      </c>
      <c r="E921" t="inlineStr">
        <is>
          <t>(без привʼязки)</t>
        </is>
      </c>
      <c r="F921" t="inlineStr">
        <is>
          <t xml:space="preserve">Дохід від наданих консультаційних послуг фінансового характеру </t>
        </is>
      </c>
      <c r="G921" t="inlineStr">
        <is>
          <t>П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4</v>
      </c>
      <c r="O921" t="n">
        <v>4</v>
      </c>
      <c r="P921" t="n">
        <v>0</v>
      </c>
    </row>
    <row r="922">
      <c r="A922" t="inlineStr">
        <is>
          <t>2</t>
        </is>
      </c>
      <c r="B922" t="inlineStr">
        <is>
          <t>АТ "Укрексімбанк"</t>
        </is>
      </c>
      <c r="C922" t="inlineStr">
        <is>
          <t>Державний</t>
        </is>
      </c>
      <c r="D922" t="inlineStr">
        <is>
          <t>6396</t>
        </is>
      </c>
      <c r="E922" t="inlineStr">
        <is>
          <t>Загальні доходи (6)</t>
        </is>
      </c>
      <c r="F922" t="inlineStr">
        <is>
          <t xml:space="preserve">Дохід від наданих консультаційних послуг фінансового характеру </t>
        </is>
      </c>
      <c r="G922" t="inlineStr">
        <is>
          <t>П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4</v>
      </c>
      <c r="O922" t="n">
        <v>4</v>
      </c>
      <c r="P922" t="n">
        <v>0</v>
      </c>
    </row>
    <row r="923">
      <c r="A923" t="inlineStr">
        <is>
          <t>2</t>
        </is>
      </c>
      <c r="B923" t="inlineStr">
        <is>
          <t>АТ "Укрексімбанк"</t>
        </is>
      </c>
      <c r="C923" t="inlineStr">
        <is>
          <t>Державний</t>
        </is>
      </c>
      <c r="D923" t="inlineStr">
        <is>
          <t>6397</t>
        </is>
      </c>
      <c r="E923" t="inlineStr">
        <is>
          <t>(без привʼязки)</t>
        </is>
      </c>
      <c r="F923" t="inlineStr">
        <is>
          <t>Штрафи, пені, що отримані банком</t>
        </is>
      </c>
      <c r="G923" t="inlineStr">
        <is>
          <t>П</t>
        </is>
      </c>
      <c r="H923" t="n">
        <v>0.00636</v>
      </c>
      <c r="I923" t="n">
        <v>0.00636</v>
      </c>
      <c r="J923" t="n">
        <v>0</v>
      </c>
      <c r="K923" t="n">
        <v>1185.32896</v>
      </c>
      <c r="L923" t="n">
        <v>1185.32896</v>
      </c>
      <c r="M923" t="n">
        <v>0</v>
      </c>
      <c r="N923" t="n">
        <v>20111.80664</v>
      </c>
      <c r="O923" t="n">
        <v>20111.80664</v>
      </c>
      <c r="P923" t="n">
        <v>0</v>
      </c>
    </row>
    <row r="924">
      <c r="A924" t="inlineStr">
        <is>
          <t>2</t>
        </is>
      </c>
      <c r="B924" t="inlineStr">
        <is>
          <t>АТ "Укрексімбанк"</t>
        </is>
      </c>
      <c r="C924" t="inlineStr">
        <is>
          <t>Державний</t>
        </is>
      </c>
      <c r="D924" t="inlineStr">
        <is>
          <t>6397</t>
        </is>
      </c>
      <c r="E924" t="inlineStr">
        <is>
          <t>Загальні доходи (6)</t>
        </is>
      </c>
      <c r="F924" t="inlineStr">
        <is>
          <t>Штрафи, пені, що отримані банком</t>
        </is>
      </c>
      <c r="G924" t="inlineStr">
        <is>
          <t>П</t>
        </is>
      </c>
      <c r="H924" t="n">
        <v>0.00636</v>
      </c>
      <c r="I924" t="n">
        <v>0.00636</v>
      </c>
      <c r="J924" t="n">
        <v>0</v>
      </c>
      <c r="K924" t="n">
        <v>1185.32896</v>
      </c>
      <c r="L924" t="n">
        <v>1185.32896</v>
      </c>
      <c r="M924" t="n">
        <v>0</v>
      </c>
      <c r="N924" t="n">
        <v>20111.80664</v>
      </c>
      <c r="O924" t="n">
        <v>20111.80664</v>
      </c>
      <c r="P924" t="n">
        <v>0</v>
      </c>
    </row>
    <row r="925">
      <c r="A925" t="inlineStr">
        <is>
          <t>2</t>
        </is>
      </c>
      <c r="B925" t="inlineStr">
        <is>
          <t>АТ "Укрексімбанк"</t>
        </is>
      </c>
      <c r="C925" t="inlineStr">
        <is>
          <t>Державний</t>
        </is>
      </c>
      <c r="D925" t="inlineStr">
        <is>
          <t>6398</t>
        </is>
      </c>
      <c r="E925" t="inlineStr">
        <is>
          <t>(без привʼязки)</t>
        </is>
      </c>
      <c r="F925" t="inlineStr">
        <is>
          <t>Дохід під час первісного визнання фінансових зобов'язань за вартістю, вищою/нижчою, ніж справедлива</t>
        </is>
      </c>
      <c r="G925" t="inlineStr">
        <is>
          <t>П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t="inlineStr">
        <is>
          <t>2</t>
        </is>
      </c>
      <c r="B926" t="inlineStr">
        <is>
          <t>АТ "Укрексімбанк"</t>
        </is>
      </c>
      <c r="C926" t="inlineStr">
        <is>
          <t>Державний</t>
        </is>
      </c>
      <c r="D926" t="inlineStr">
        <is>
          <t>6398</t>
        </is>
      </c>
      <c r="E926" t="inlineStr">
        <is>
          <t>Загальні доходи (6)</t>
        </is>
      </c>
      <c r="F926" t="inlineStr">
        <is>
          <t>Дохід під час первісного визнання фінансових зобов'язань за вартістю, вищою/нижчою, ніж справедлива</t>
        </is>
      </c>
      <c r="G926" t="inlineStr">
        <is>
          <t>П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inlineStr">
        <is>
          <t>2</t>
        </is>
      </c>
      <c r="B927" t="inlineStr">
        <is>
          <t>АТ "Укрексімбанк"</t>
        </is>
      </c>
      <c r="C927" t="inlineStr">
        <is>
          <t>Державний</t>
        </is>
      </c>
      <c r="D927" t="inlineStr">
        <is>
          <t>6399</t>
        </is>
      </c>
      <c r="E927" t="inlineStr">
        <is>
          <t>(без привʼязки)</t>
        </is>
      </c>
      <c r="F927" t="inlineStr">
        <is>
          <t>Інші операційні доходи</t>
        </is>
      </c>
      <c r="G927" t="inlineStr">
        <is>
          <t>П</t>
        </is>
      </c>
      <c r="H927" t="n">
        <v>0</v>
      </c>
      <c r="I927" t="n">
        <v>0</v>
      </c>
      <c r="J927" t="n">
        <v>0</v>
      </c>
      <c r="K927" t="n">
        <v>3407.72926</v>
      </c>
      <c r="L927" t="n">
        <v>3407.72926</v>
      </c>
      <c r="M927" t="n">
        <v>0</v>
      </c>
      <c r="N927" t="n">
        <v>46984.12701</v>
      </c>
      <c r="O927" t="n">
        <v>46984.12701</v>
      </c>
      <c r="P927" t="n">
        <v>0</v>
      </c>
    </row>
    <row r="928">
      <c r="A928" t="inlineStr">
        <is>
          <t>2</t>
        </is>
      </c>
      <c r="B928" t="inlineStr">
        <is>
          <t>АТ "Укрексімбанк"</t>
        </is>
      </c>
      <c r="C928" t="inlineStr">
        <is>
          <t>Державний</t>
        </is>
      </c>
      <c r="D928" t="inlineStr">
        <is>
          <t>6399</t>
        </is>
      </c>
      <c r="E928" t="inlineStr">
        <is>
          <t>Загальні доходи (6)</t>
        </is>
      </c>
      <c r="F928" t="inlineStr">
        <is>
          <t>Інші операційні доходи</t>
        </is>
      </c>
      <c r="G928" t="inlineStr">
        <is>
          <t>П</t>
        </is>
      </c>
      <c r="H928" t="n">
        <v>0</v>
      </c>
      <c r="I928" t="n">
        <v>0</v>
      </c>
      <c r="J928" t="n">
        <v>0</v>
      </c>
      <c r="K928" t="n">
        <v>3407.72926</v>
      </c>
      <c r="L928" t="n">
        <v>3407.72926</v>
      </c>
      <c r="M928" t="n">
        <v>0</v>
      </c>
      <c r="N928" t="n">
        <v>46984.12701</v>
      </c>
      <c r="O928" t="n">
        <v>46984.12701</v>
      </c>
      <c r="P928" t="n">
        <v>0</v>
      </c>
    </row>
    <row r="929">
      <c r="A929" t="inlineStr">
        <is>
          <t>2</t>
        </is>
      </c>
      <c r="B929" t="inlineStr">
        <is>
          <t>АТ "Укрексімбанк"</t>
        </is>
      </c>
      <c r="C929" t="inlineStr">
        <is>
          <t>Державний</t>
        </is>
      </c>
      <c r="D929" t="inlineStr">
        <is>
          <t>6490</t>
        </is>
      </c>
      <c r="E929" t="inlineStr">
        <is>
          <t>(без привʼязки)</t>
        </is>
      </c>
      <c r="F929" t="inlineStr">
        <is>
          <t>Позитивний результат від продажу нематеріальних активів та основних засобів</t>
        </is>
      </c>
      <c r="G929" t="inlineStr">
        <is>
          <t>П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33.31042</v>
      </c>
      <c r="O929" t="n">
        <v>33.31042</v>
      </c>
      <c r="P929" t="n">
        <v>0</v>
      </c>
    </row>
    <row r="930">
      <c r="A930" t="inlineStr">
        <is>
          <t>2</t>
        </is>
      </c>
      <c r="B930" t="inlineStr">
        <is>
          <t>АТ "Укрексімбанк"</t>
        </is>
      </c>
      <c r="C930" t="inlineStr">
        <is>
          <t>Державний</t>
        </is>
      </c>
      <c r="D930" t="inlineStr">
        <is>
          <t>6490</t>
        </is>
      </c>
      <c r="E930" t="inlineStr">
        <is>
          <t>Загальні доходи (6)</t>
        </is>
      </c>
      <c r="F930" t="inlineStr">
        <is>
          <t>Позитивний результат від продажу нематеріальних активів та основних засобів</t>
        </is>
      </c>
      <c r="G930" t="inlineStr">
        <is>
          <t>П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33.31042</v>
      </c>
      <c r="O930" t="n">
        <v>33.31042</v>
      </c>
      <c r="P930" t="n">
        <v>0</v>
      </c>
    </row>
    <row r="931">
      <c r="A931" t="inlineStr">
        <is>
          <t>2</t>
        </is>
      </c>
      <c r="B931" t="inlineStr">
        <is>
          <t>АТ "Укрексімбанк"</t>
        </is>
      </c>
      <c r="C931" t="inlineStr">
        <is>
          <t>Державний</t>
        </is>
      </c>
      <c r="D931" t="inlineStr">
        <is>
          <t>6499</t>
        </is>
      </c>
      <c r="E931" t="inlineStr">
        <is>
          <t>(без привʼязки)</t>
        </is>
      </c>
      <c r="F931" t="inlineStr">
        <is>
          <t>Інші доходи</t>
        </is>
      </c>
      <c r="G931" t="inlineStr">
        <is>
          <t>П</t>
        </is>
      </c>
      <c r="H931" t="n">
        <v>0</v>
      </c>
      <c r="I931" t="n">
        <v>0</v>
      </c>
      <c r="J931" t="n">
        <v>0</v>
      </c>
      <c r="K931" t="n">
        <v>54.23591</v>
      </c>
      <c r="L931" t="n">
        <v>54.23591</v>
      </c>
      <c r="M931" t="n">
        <v>0</v>
      </c>
      <c r="N931" t="n">
        <v>77346.09277</v>
      </c>
      <c r="O931" t="n">
        <v>77346.09277</v>
      </c>
      <c r="P931" t="n">
        <v>0</v>
      </c>
    </row>
    <row r="932">
      <c r="A932" t="inlineStr">
        <is>
          <t>2</t>
        </is>
      </c>
      <c r="B932" t="inlineStr">
        <is>
          <t>АТ "Укрексімбанк"</t>
        </is>
      </c>
      <c r="C932" t="inlineStr">
        <is>
          <t>Державний</t>
        </is>
      </c>
      <c r="D932" t="inlineStr">
        <is>
          <t>6499</t>
        </is>
      </c>
      <c r="E932" t="inlineStr">
        <is>
          <t>Загальні доходи (6)</t>
        </is>
      </c>
      <c r="F932" t="inlineStr">
        <is>
          <t>Інші доходи</t>
        </is>
      </c>
      <c r="G932" t="inlineStr">
        <is>
          <t>П</t>
        </is>
      </c>
      <c r="H932" t="n">
        <v>0</v>
      </c>
      <c r="I932" t="n">
        <v>0</v>
      </c>
      <c r="J932" t="n">
        <v>0</v>
      </c>
      <c r="K932" t="n">
        <v>54.23591</v>
      </c>
      <c r="L932" t="n">
        <v>54.23591</v>
      </c>
      <c r="M932" t="n">
        <v>0</v>
      </c>
      <c r="N932" t="n">
        <v>77346.09277</v>
      </c>
      <c r="O932" t="n">
        <v>77346.09277</v>
      </c>
      <c r="P932" t="n">
        <v>0</v>
      </c>
    </row>
    <row r="933">
      <c r="A933" t="inlineStr">
        <is>
          <t>2</t>
        </is>
      </c>
      <c r="B933" t="inlineStr">
        <is>
          <t>АТ "Укрексімбанк"</t>
        </is>
      </c>
      <c r="C933" t="inlineStr">
        <is>
          <t>Державний</t>
        </is>
      </c>
      <c r="D933" t="inlineStr">
        <is>
          <t>6500</t>
        </is>
      </c>
      <c r="E933" t="inlineStr">
        <is>
          <t>(без привʼязки)</t>
        </is>
      </c>
      <c r="F933" t="inlineStr">
        <is>
          <t>Комісійні доходи від розрахунково-касового обслуговування банків</t>
        </is>
      </c>
      <c r="G933" t="inlineStr">
        <is>
          <t>П</t>
        </is>
      </c>
      <c r="H933" t="n">
        <v>1.27114</v>
      </c>
      <c r="I933" t="n">
        <v>1.27114</v>
      </c>
      <c r="J933" t="n">
        <v>0</v>
      </c>
      <c r="K933" t="n">
        <v>14799.92335</v>
      </c>
      <c r="L933" t="n">
        <v>14799.92335</v>
      </c>
      <c r="M933" t="n">
        <v>0</v>
      </c>
      <c r="N933" t="n">
        <v>185254.50764</v>
      </c>
      <c r="O933" t="n">
        <v>185254.50764</v>
      </c>
      <c r="P933" t="n">
        <v>0</v>
      </c>
    </row>
    <row r="934">
      <c r="A934" t="inlineStr">
        <is>
          <t>2</t>
        </is>
      </c>
      <c r="B934" t="inlineStr">
        <is>
          <t>АТ "Укрексімбанк"</t>
        </is>
      </c>
      <c r="C934" t="inlineStr">
        <is>
          <t>Державний</t>
        </is>
      </c>
      <c r="D934" t="inlineStr">
        <is>
          <t>6500</t>
        </is>
      </c>
      <c r="E934" t="inlineStr">
        <is>
          <t>Загальні доходи (6)</t>
        </is>
      </c>
      <c r="F934" t="inlineStr">
        <is>
          <t>Комісійні доходи від розрахунково-касового обслуговування банків</t>
        </is>
      </c>
      <c r="G934" t="inlineStr">
        <is>
          <t>П</t>
        </is>
      </c>
      <c r="H934" t="n">
        <v>1.27114</v>
      </c>
      <c r="I934" t="n">
        <v>1.27114</v>
      </c>
      <c r="J934" t="n">
        <v>0</v>
      </c>
      <c r="K934" t="n">
        <v>14799.92335</v>
      </c>
      <c r="L934" t="n">
        <v>14799.92335</v>
      </c>
      <c r="M934" t="n">
        <v>0</v>
      </c>
      <c r="N934" t="n">
        <v>185254.50764</v>
      </c>
      <c r="O934" t="n">
        <v>185254.50764</v>
      </c>
      <c r="P934" t="n">
        <v>0</v>
      </c>
    </row>
    <row r="935">
      <c r="A935" t="inlineStr">
        <is>
          <t>2</t>
        </is>
      </c>
      <c r="B935" t="inlineStr">
        <is>
          <t>АТ "Укрексімбанк"</t>
        </is>
      </c>
      <c r="C935" t="inlineStr">
        <is>
          <t>Державний</t>
        </is>
      </c>
      <c r="D935" t="inlineStr">
        <is>
          <t>6503</t>
        </is>
      </c>
      <c r="E935" t="inlineStr">
        <is>
          <t>(без привʼязки)</t>
        </is>
      </c>
      <c r="F935" t="inlineStr">
        <is>
          <t>Комісійні доходи за операціями з цінними паперами для банків</t>
        </is>
      </c>
      <c r="G935" t="inlineStr">
        <is>
          <t>П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inlineStr">
        <is>
          <t>2</t>
        </is>
      </c>
      <c r="B936" t="inlineStr">
        <is>
          <t>АТ "Укрексімбанк"</t>
        </is>
      </c>
      <c r="C936" t="inlineStr">
        <is>
          <t>Державний</t>
        </is>
      </c>
      <c r="D936" t="inlineStr">
        <is>
          <t>6503</t>
        </is>
      </c>
      <c r="E936" t="inlineStr">
        <is>
          <t>Загальні доходи (6)</t>
        </is>
      </c>
      <c r="F936" t="inlineStr">
        <is>
          <t>Комісійні доходи за операціями з цінними паперами для банків</t>
        </is>
      </c>
      <c r="G936" t="inlineStr">
        <is>
          <t>П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t="inlineStr">
        <is>
          <t>2</t>
        </is>
      </c>
      <c r="B937" t="inlineStr">
        <is>
          <t>АТ "Укрексімбанк"</t>
        </is>
      </c>
      <c r="C937" t="inlineStr">
        <is>
          <t>Державний</t>
        </is>
      </c>
      <c r="D937" t="inlineStr">
        <is>
          <t>6504</t>
        </is>
      </c>
      <c r="E937" t="inlineStr">
        <is>
          <t>(без привʼязки)</t>
        </is>
      </c>
      <c r="F937" t="inlineStr">
        <is>
          <t>Комісійні доходи за операціями на валютному ринку та ринку банківських металів для банків</t>
        </is>
      </c>
      <c r="G937" t="inlineStr">
        <is>
          <t>П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16.86792</v>
      </c>
      <c r="O937" t="n">
        <v>16.86792</v>
      </c>
      <c r="P937" t="n">
        <v>0</v>
      </c>
    </row>
    <row r="938">
      <c r="A938" t="inlineStr">
        <is>
          <t>2</t>
        </is>
      </c>
      <c r="B938" t="inlineStr">
        <is>
          <t>АТ "Укрексімбанк"</t>
        </is>
      </c>
      <c r="C938" t="inlineStr">
        <is>
          <t>Державний</t>
        </is>
      </c>
      <c r="D938" t="inlineStr">
        <is>
          <t>6504</t>
        </is>
      </c>
      <c r="E938" t="inlineStr">
        <is>
          <t>Загальні доходи (6)</t>
        </is>
      </c>
      <c r="F938" t="inlineStr">
        <is>
          <t>Комісійні доходи за операціями на валютному ринку та ринку банківських металів для банків</t>
        </is>
      </c>
      <c r="G938" t="inlineStr">
        <is>
          <t>П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16.86792</v>
      </c>
      <c r="O938" t="n">
        <v>16.86792</v>
      </c>
      <c r="P938" t="n">
        <v>0</v>
      </c>
    </row>
    <row r="939">
      <c r="A939" t="inlineStr">
        <is>
          <t>2</t>
        </is>
      </c>
      <c r="B939" t="inlineStr">
        <is>
          <t>АТ "Укрексімбанк"</t>
        </is>
      </c>
      <c r="C939" t="inlineStr">
        <is>
          <t>Державний</t>
        </is>
      </c>
      <c r="D939" t="inlineStr">
        <is>
          <t>6508</t>
        </is>
      </c>
      <c r="E939" t="inlineStr">
        <is>
          <t>(без привʼязки)</t>
        </is>
      </c>
      <c r="F939" t="inlineStr">
        <is>
          <t>Комісійні доходи за позабалансовими операціями з банками</t>
        </is>
      </c>
      <c r="G939" t="inlineStr">
        <is>
          <t>П</t>
        </is>
      </c>
      <c r="H939" t="n">
        <v>0</v>
      </c>
      <c r="I939" t="n">
        <v>0</v>
      </c>
      <c r="J939" t="n">
        <v>0</v>
      </c>
      <c r="K939" t="n">
        <v>1643.13785</v>
      </c>
      <c r="L939" t="n">
        <v>1643.13785</v>
      </c>
      <c r="M939" t="n">
        <v>0</v>
      </c>
      <c r="N939" t="n">
        <v>3971.0363</v>
      </c>
      <c r="O939" t="n">
        <v>3971.0363</v>
      </c>
      <c r="P939" t="n">
        <v>0</v>
      </c>
    </row>
    <row r="940">
      <c r="A940" t="inlineStr">
        <is>
          <t>2</t>
        </is>
      </c>
      <c r="B940" t="inlineStr">
        <is>
          <t>АТ "Укрексімбанк"</t>
        </is>
      </c>
      <c r="C940" t="inlineStr">
        <is>
          <t>Державний</t>
        </is>
      </c>
      <c r="D940" t="inlineStr">
        <is>
          <t>6508</t>
        </is>
      </c>
      <c r="E940" t="inlineStr">
        <is>
          <t>Загальні доходи (6)</t>
        </is>
      </c>
      <c r="F940" t="inlineStr">
        <is>
          <t>Комісійні доходи за позабалансовими операціями з банками</t>
        </is>
      </c>
      <c r="G940" t="inlineStr">
        <is>
          <t>П</t>
        </is>
      </c>
      <c r="H940" t="n">
        <v>0</v>
      </c>
      <c r="I940" t="n">
        <v>0</v>
      </c>
      <c r="J940" t="n">
        <v>0</v>
      </c>
      <c r="K940" t="n">
        <v>1643.13785</v>
      </c>
      <c r="L940" t="n">
        <v>1643.13785</v>
      </c>
      <c r="M940" t="n">
        <v>0</v>
      </c>
      <c r="N940" t="n">
        <v>3971.0363</v>
      </c>
      <c r="O940" t="n">
        <v>3971.0363</v>
      </c>
      <c r="P940" t="n">
        <v>0</v>
      </c>
    </row>
    <row r="941">
      <c r="A941" t="inlineStr">
        <is>
          <t>2</t>
        </is>
      </c>
      <c r="B941" t="inlineStr">
        <is>
          <t>АТ "Укрексімбанк"</t>
        </is>
      </c>
      <c r="C941" t="inlineStr">
        <is>
          <t>Державний</t>
        </is>
      </c>
      <c r="D941" t="inlineStr">
        <is>
          <t>6509</t>
        </is>
      </c>
      <c r="E941" t="inlineStr">
        <is>
          <t>(без привʼязки)</t>
        </is>
      </c>
      <c r="F941" t="inlineStr">
        <is>
          <t>Інші комісійні доходи за операціями з банками</t>
        </is>
      </c>
      <c r="G941" t="inlineStr">
        <is>
          <t>П</t>
        </is>
      </c>
      <c r="H941" t="n">
        <v>0</v>
      </c>
      <c r="I941" t="n">
        <v>0</v>
      </c>
      <c r="J941" t="n">
        <v>0</v>
      </c>
      <c r="K941" t="n">
        <v>5800.39262</v>
      </c>
      <c r="L941" t="n">
        <v>5800.39262</v>
      </c>
      <c r="M941" t="n">
        <v>0</v>
      </c>
      <c r="N941" t="n">
        <v>61383.15365</v>
      </c>
      <c r="O941" t="n">
        <v>61383.15365</v>
      </c>
      <c r="P941" t="n">
        <v>0</v>
      </c>
    </row>
    <row r="942">
      <c r="A942" t="inlineStr">
        <is>
          <t>2</t>
        </is>
      </c>
      <c r="B942" t="inlineStr">
        <is>
          <t>АТ "Укрексімбанк"</t>
        </is>
      </c>
      <c r="C942" t="inlineStr">
        <is>
          <t>Державний</t>
        </is>
      </c>
      <c r="D942" t="inlineStr">
        <is>
          <t>6509</t>
        </is>
      </c>
      <c r="E942" t="inlineStr">
        <is>
          <t>Загальні доходи (6)</t>
        </is>
      </c>
      <c r="F942" t="inlineStr">
        <is>
          <t>Інші комісійні доходи за операціями з банками</t>
        </is>
      </c>
      <c r="G942" t="inlineStr">
        <is>
          <t>П</t>
        </is>
      </c>
      <c r="H942" t="n">
        <v>0</v>
      </c>
      <c r="I942" t="n">
        <v>0</v>
      </c>
      <c r="J942" t="n">
        <v>0</v>
      </c>
      <c r="K942" t="n">
        <v>5800.39262</v>
      </c>
      <c r="L942" t="n">
        <v>5800.39262</v>
      </c>
      <c r="M942" t="n">
        <v>0</v>
      </c>
      <c r="N942" t="n">
        <v>61383.15365</v>
      </c>
      <c r="O942" t="n">
        <v>61383.15365</v>
      </c>
      <c r="P942" t="n">
        <v>0</v>
      </c>
    </row>
    <row r="943">
      <c r="A943" t="inlineStr">
        <is>
          <t>2</t>
        </is>
      </c>
      <c r="B943" t="inlineStr">
        <is>
          <t>АТ "Укрексімбанк"</t>
        </is>
      </c>
      <c r="C943" t="inlineStr">
        <is>
          <t>Державний</t>
        </is>
      </c>
      <c r="D943" t="inlineStr">
        <is>
          <t>6510</t>
        </is>
      </c>
      <c r="E943" t="inlineStr">
        <is>
          <t>(без привʼязки)</t>
        </is>
      </c>
      <c r="F943" t="inlineStr">
        <is>
          <t>Комісійні доходи від розрахунково-касового обслуговування клієнтів</t>
        </is>
      </c>
      <c r="G943" t="inlineStr">
        <is>
          <t>П</t>
        </is>
      </c>
      <c r="H943" t="n">
        <v>100.16006</v>
      </c>
      <c r="I943" t="n">
        <v>100.16006</v>
      </c>
      <c r="J943" t="n">
        <v>0</v>
      </c>
      <c r="K943" t="n">
        <v>83875.94125</v>
      </c>
      <c r="L943" t="n">
        <v>83875.94125</v>
      </c>
      <c r="M943" t="n">
        <v>0</v>
      </c>
      <c r="N943" t="n">
        <v>886804.23599</v>
      </c>
      <c r="O943" t="n">
        <v>886804.23599</v>
      </c>
      <c r="P943" t="n">
        <v>0</v>
      </c>
    </row>
    <row r="944">
      <c r="A944" t="inlineStr">
        <is>
          <t>2</t>
        </is>
      </c>
      <c r="B944" t="inlineStr">
        <is>
          <t>АТ "Укрексімбанк"</t>
        </is>
      </c>
      <c r="C944" t="inlineStr">
        <is>
          <t>Державний</t>
        </is>
      </c>
      <c r="D944" t="inlineStr">
        <is>
          <t>6510</t>
        </is>
      </c>
      <c r="E944" t="inlineStr">
        <is>
          <t>Загальні доходи (6)</t>
        </is>
      </c>
      <c r="F944" t="inlineStr">
        <is>
          <t>Комісійні доходи від розрахунково-касового обслуговування клієнтів</t>
        </is>
      </c>
      <c r="G944" t="inlineStr">
        <is>
          <t>П</t>
        </is>
      </c>
      <c r="H944" t="n">
        <v>100.16006</v>
      </c>
      <c r="I944" t="n">
        <v>100.16006</v>
      </c>
      <c r="J944" t="n">
        <v>0</v>
      </c>
      <c r="K944" t="n">
        <v>83875.94125</v>
      </c>
      <c r="L944" t="n">
        <v>83875.94125</v>
      </c>
      <c r="M944" t="n">
        <v>0</v>
      </c>
      <c r="N944" t="n">
        <v>886804.23599</v>
      </c>
      <c r="O944" t="n">
        <v>886804.23599</v>
      </c>
      <c r="P944" t="n">
        <v>0</v>
      </c>
    </row>
    <row r="945">
      <c r="A945" t="inlineStr">
        <is>
          <t>2</t>
        </is>
      </c>
      <c r="B945" t="inlineStr">
        <is>
          <t>АТ "Укрексімбанк"</t>
        </is>
      </c>
      <c r="C945" t="inlineStr">
        <is>
          <t>Державний</t>
        </is>
      </c>
      <c r="D945" t="inlineStr">
        <is>
          <t>6511</t>
        </is>
      </c>
      <c r="E945" t="inlineStr">
        <is>
          <t>(без привʼязки)</t>
        </is>
      </c>
      <c r="F945" t="inlineStr">
        <is>
          <t>Комісійні доходи від кредитного обслуговування клієнтів</t>
        </is>
      </c>
      <c r="G945" t="inlineStr">
        <is>
          <t>П</t>
        </is>
      </c>
      <c r="H945" t="n">
        <v>0.00694</v>
      </c>
      <c r="I945" t="n">
        <v>0.00694</v>
      </c>
      <c r="J945" t="n">
        <v>0</v>
      </c>
      <c r="K945" t="n">
        <v>2405.14587</v>
      </c>
      <c r="L945" t="n">
        <v>2405.14587</v>
      </c>
      <c r="M945" t="n">
        <v>0</v>
      </c>
      <c r="N945" t="n">
        <v>26636.80447</v>
      </c>
      <c r="O945" t="n">
        <v>26636.80447</v>
      </c>
      <c r="P945" t="n">
        <v>0</v>
      </c>
    </row>
    <row r="946">
      <c r="A946" t="inlineStr">
        <is>
          <t>2</t>
        </is>
      </c>
      <c r="B946" t="inlineStr">
        <is>
          <t>АТ "Укрексімбанк"</t>
        </is>
      </c>
      <c r="C946" t="inlineStr">
        <is>
          <t>Державний</t>
        </is>
      </c>
      <c r="D946" t="inlineStr">
        <is>
          <t>6511</t>
        </is>
      </c>
      <c r="E946" t="inlineStr">
        <is>
          <t>Загальні доходи (6)</t>
        </is>
      </c>
      <c r="F946" t="inlineStr">
        <is>
          <t>Комісійні доходи від кредитного обслуговування клієнтів</t>
        </is>
      </c>
      <c r="G946" t="inlineStr">
        <is>
          <t>П</t>
        </is>
      </c>
      <c r="H946" t="n">
        <v>0.00694</v>
      </c>
      <c r="I946" t="n">
        <v>0.00694</v>
      </c>
      <c r="J946" t="n">
        <v>0</v>
      </c>
      <c r="K946" t="n">
        <v>2405.14587</v>
      </c>
      <c r="L946" t="n">
        <v>2405.14587</v>
      </c>
      <c r="M946" t="n">
        <v>0</v>
      </c>
      <c r="N946" t="n">
        <v>26636.80447</v>
      </c>
      <c r="O946" t="n">
        <v>26636.80447</v>
      </c>
      <c r="P946" t="n">
        <v>0</v>
      </c>
    </row>
    <row r="947">
      <c r="A947" t="inlineStr">
        <is>
          <t>2</t>
        </is>
      </c>
      <c r="B947" t="inlineStr">
        <is>
          <t>АТ "Укрексімбанк"</t>
        </is>
      </c>
      <c r="C947" t="inlineStr">
        <is>
          <t>Державний</t>
        </is>
      </c>
      <c r="D947" t="inlineStr">
        <is>
          <t>6513</t>
        </is>
      </c>
      <c r="E947" t="inlineStr">
        <is>
          <t>(без привʼязки)</t>
        </is>
      </c>
      <c r="F947" t="inlineStr">
        <is>
          <t>Комісійні доходи за операціями з цінними паперами для клієнтів</t>
        </is>
      </c>
      <c r="G947" t="inlineStr">
        <is>
          <t>П</t>
        </is>
      </c>
      <c r="H947" t="n">
        <v>0</v>
      </c>
      <c r="I947" t="n">
        <v>0</v>
      </c>
      <c r="J947" t="n">
        <v>0</v>
      </c>
      <c r="K947" t="n">
        <v>961.8774100000001</v>
      </c>
      <c r="L947" t="n">
        <v>961.8774100000001</v>
      </c>
      <c r="M947" t="n">
        <v>0</v>
      </c>
      <c r="N947" t="n">
        <v>10562.72029</v>
      </c>
      <c r="O947" t="n">
        <v>10562.72029</v>
      </c>
      <c r="P947" t="n">
        <v>0</v>
      </c>
    </row>
    <row r="948">
      <c r="A948" t="inlineStr">
        <is>
          <t>2</t>
        </is>
      </c>
      <c r="B948" t="inlineStr">
        <is>
          <t>АТ "Укрексімбанк"</t>
        </is>
      </c>
      <c r="C948" t="inlineStr">
        <is>
          <t>Державний</t>
        </is>
      </c>
      <c r="D948" t="inlineStr">
        <is>
          <t>6513</t>
        </is>
      </c>
      <c r="E948" t="inlineStr">
        <is>
          <t>Загальні доходи (6)</t>
        </is>
      </c>
      <c r="F948" t="inlineStr">
        <is>
          <t>Комісійні доходи за операціями з цінними паперами для клієнтів</t>
        </is>
      </c>
      <c r="G948" t="inlineStr">
        <is>
          <t>П</t>
        </is>
      </c>
      <c r="H948" t="n">
        <v>0</v>
      </c>
      <c r="I948" t="n">
        <v>0</v>
      </c>
      <c r="J948" t="n">
        <v>0</v>
      </c>
      <c r="K948" t="n">
        <v>961.8774100000001</v>
      </c>
      <c r="L948" t="n">
        <v>961.8774100000001</v>
      </c>
      <c r="M948" t="n">
        <v>0</v>
      </c>
      <c r="N948" t="n">
        <v>10562.72029</v>
      </c>
      <c r="O948" t="n">
        <v>10562.72029</v>
      </c>
      <c r="P948" t="n">
        <v>0</v>
      </c>
    </row>
    <row r="949">
      <c r="A949" t="inlineStr">
        <is>
          <t>2</t>
        </is>
      </c>
      <c r="B949" t="inlineStr">
        <is>
          <t>АТ "Укрексімбанк"</t>
        </is>
      </c>
      <c r="C949" t="inlineStr">
        <is>
          <t>Державний</t>
        </is>
      </c>
      <c r="D949" t="inlineStr">
        <is>
          <t>6514</t>
        </is>
      </c>
      <c r="E949" t="inlineStr">
        <is>
          <t>(без привʼязки)</t>
        </is>
      </c>
      <c r="F949" t="inlineStr">
        <is>
          <t>Комісійні доходи за операціями на валютному ринку та ринку банківських металів для клієнтів</t>
        </is>
      </c>
      <c r="G949" t="inlineStr">
        <is>
          <t>П</t>
        </is>
      </c>
      <c r="H949" t="n">
        <v>491.13277</v>
      </c>
      <c r="I949" t="n">
        <v>491.13277</v>
      </c>
      <c r="J949" t="n">
        <v>0</v>
      </c>
      <c r="K949" t="n">
        <v>35016.8303</v>
      </c>
      <c r="L949" t="n">
        <v>35016.8303</v>
      </c>
      <c r="M949" t="n">
        <v>0</v>
      </c>
      <c r="N949" t="n">
        <v>360868.23283</v>
      </c>
      <c r="O949" t="n">
        <v>360868.23283</v>
      </c>
      <c r="P949" t="n">
        <v>0</v>
      </c>
    </row>
    <row r="950">
      <c r="A950" t="inlineStr">
        <is>
          <t>2</t>
        </is>
      </c>
      <c r="B950" t="inlineStr">
        <is>
          <t>АТ "Укрексімбанк"</t>
        </is>
      </c>
      <c r="C950" t="inlineStr">
        <is>
          <t>Державний</t>
        </is>
      </c>
      <c r="D950" t="inlineStr">
        <is>
          <t>6514</t>
        </is>
      </c>
      <c r="E950" t="inlineStr">
        <is>
          <t>Загальні доходи (6)</t>
        </is>
      </c>
      <c r="F950" t="inlineStr">
        <is>
          <t>Комісійні доходи за операціями на валютному ринку та ринку банківських металів для клієнтів</t>
        </is>
      </c>
      <c r="G950" t="inlineStr">
        <is>
          <t>П</t>
        </is>
      </c>
      <c r="H950" t="n">
        <v>491.13277</v>
      </c>
      <c r="I950" t="n">
        <v>491.13277</v>
      </c>
      <c r="J950" t="n">
        <v>0</v>
      </c>
      <c r="K950" t="n">
        <v>35016.8303</v>
      </c>
      <c r="L950" t="n">
        <v>35016.8303</v>
      </c>
      <c r="M950" t="n">
        <v>0</v>
      </c>
      <c r="N950" t="n">
        <v>360868.23283</v>
      </c>
      <c r="O950" t="n">
        <v>360868.23283</v>
      </c>
      <c r="P950" t="n">
        <v>0</v>
      </c>
    </row>
    <row r="951">
      <c r="A951" t="inlineStr">
        <is>
          <t>2</t>
        </is>
      </c>
      <c r="B951" t="inlineStr">
        <is>
          <t>АТ "Укрексімбанк"</t>
        </is>
      </c>
      <c r="C951" t="inlineStr">
        <is>
          <t>Державний</t>
        </is>
      </c>
      <c r="D951" t="inlineStr">
        <is>
          <t>6516</t>
        </is>
      </c>
      <c r="E951" t="inlineStr">
        <is>
          <t>(без привʼязки)</t>
        </is>
      </c>
      <c r="F951" t="inlineStr">
        <is>
          <t>Комісійні доходи від довірчого обслуговування клієнтів</t>
        </is>
      </c>
      <c r="G951" t="inlineStr">
        <is>
          <t>П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t="inlineStr">
        <is>
          <t>2</t>
        </is>
      </c>
      <c r="B952" t="inlineStr">
        <is>
          <t>АТ "Укрексімбанк"</t>
        </is>
      </c>
      <c r="C952" t="inlineStr">
        <is>
          <t>Державний</t>
        </is>
      </c>
      <c r="D952" t="inlineStr">
        <is>
          <t>6516</t>
        </is>
      </c>
      <c r="E952" t="inlineStr">
        <is>
          <t>Загальні доходи (6)</t>
        </is>
      </c>
      <c r="F952" t="inlineStr">
        <is>
          <t>Комісійні доходи від довірчого обслуговування клієнтів</t>
        </is>
      </c>
      <c r="G952" t="inlineStr">
        <is>
          <t>П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2</t>
        </is>
      </c>
      <c r="B953" t="inlineStr">
        <is>
          <t>АТ "Укрексімбанк"</t>
        </is>
      </c>
      <c r="C953" t="inlineStr">
        <is>
          <t>Державний</t>
        </is>
      </c>
      <c r="D953" t="inlineStr">
        <is>
          <t>6518</t>
        </is>
      </c>
      <c r="E953" t="inlineStr">
        <is>
          <t>(без привʼязки)</t>
        </is>
      </c>
      <c r="F953" t="inlineStr">
        <is>
          <t>Комісійні доходи за позабалансовими операціями з клієнтами</t>
        </is>
      </c>
      <c r="G953" t="inlineStr">
        <is>
          <t>П</t>
        </is>
      </c>
      <c r="H953" t="n">
        <v>6.59209</v>
      </c>
      <c r="I953" t="n">
        <v>6.59209</v>
      </c>
      <c r="J953" t="n">
        <v>0</v>
      </c>
      <c r="K953" t="n">
        <v>21447.64451</v>
      </c>
      <c r="L953" t="n">
        <v>21447.64451</v>
      </c>
      <c r="M953" t="n">
        <v>0</v>
      </c>
      <c r="N953" t="n">
        <v>194018.74956</v>
      </c>
      <c r="O953" t="n">
        <v>194018.74956</v>
      </c>
      <c r="P953" t="n">
        <v>0</v>
      </c>
    </row>
    <row r="954">
      <c r="A954" t="inlineStr">
        <is>
          <t>2</t>
        </is>
      </c>
      <c r="B954" t="inlineStr">
        <is>
          <t>АТ "Укрексімбанк"</t>
        </is>
      </c>
      <c r="C954" t="inlineStr">
        <is>
          <t>Державний</t>
        </is>
      </c>
      <c r="D954" t="inlineStr">
        <is>
          <t>6518</t>
        </is>
      </c>
      <c r="E954" t="inlineStr">
        <is>
          <t>Загальні доходи (6)</t>
        </is>
      </c>
      <c r="F954" t="inlineStr">
        <is>
          <t>Комісійні доходи за позабалансовими операціями з клієнтами</t>
        </is>
      </c>
      <c r="G954" t="inlineStr">
        <is>
          <t>П</t>
        </is>
      </c>
      <c r="H954" t="n">
        <v>6.59209</v>
      </c>
      <c r="I954" t="n">
        <v>6.59209</v>
      </c>
      <c r="J954" t="n">
        <v>0</v>
      </c>
      <c r="K954" t="n">
        <v>21447.64451</v>
      </c>
      <c r="L954" t="n">
        <v>21447.64451</v>
      </c>
      <c r="M954" t="n">
        <v>0</v>
      </c>
      <c r="N954" t="n">
        <v>194018.74956</v>
      </c>
      <c r="O954" t="n">
        <v>194018.74956</v>
      </c>
      <c r="P954" t="n">
        <v>0</v>
      </c>
    </row>
    <row r="955">
      <c r="A955" t="inlineStr">
        <is>
          <t>2</t>
        </is>
      </c>
      <c r="B955" t="inlineStr">
        <is>
          <t>АТ "Укрексімбанк"</t>
        </is>
      </c>
      <c r="C955" t="inlineStr">
        <is>
          <t>Державний</t>
        </is>
      </c>
      <c r="D955" t="inlineStr">
        <is>
          <t>6519</t>
        </is>
      </c>
      <c r="E955" t="inlineStr">
        <is>
          <t>(без привʼязки)</t>
        </is>
      </c>
      <c r="F955" t="inlineStr">
        <is>
          <t>Інші комісійні доходи за операціями з клієнтами</t>
        </is>
      </c>
      <c r="G955" t="inlineStr">
        <is>
          <t>П</t>
        </is>
      </c>
      <c r="H955" t="n">
        <v>0.41084</v>
      </c>
      <c r="I955" t="n">
        <v>0.41084</v>
      </c>
      <c r="J955" t="n">
        <v>0</v>
      </c>
      <c r="K955" t="n">
        <v>3260.82272</v>
      </c>
      <c r="L955" t="n">
        <v>3260.82272</v>
      </c>
      <c r="M955" t="n">
        <v>0</v>
      </c>
      <c r="N955" t="n">
        <v>32805.77825</v>
      </c>
      <c r="O955" t="n">
        <v>32805.77825</v>
      </c>
      <c r="P955" t="n">
        <v>0</v>
      </c>
    </row>
    <row r="956">
      <c r="A956" t="inlineStr">
        <is>
          <t>2</t>
        </is>
      </c>
      <c r="B956" t="inlineStr">
        <is>
          <t>АТ "Укрексімбанк"</t>
        </is>
      </c>
      <c r="C956" t="inlineStr">
        <is>
          <t>Державний</t>
        </is>
      </c>
      <c r="D956" t="inlineStr">
        <is>
          <t>6519</t>
        </is>
      </c>
      <c r="E956" t="inlineStr">
        <is>
          <t>Загальні доходи (6)</t>
        </is>
      </c>
      <c r="F956" t="inlineStr">
        <is>
          <t>Інші комісійні доходи за операціями з клієнтами</t>
        </is>
      </c>
      <c r="G956" t="inlineStr">
        <is>
          <t>П</t>
        </is>
      </c>
      <c r="H956" t="n">
        <v>0.41084</v>
      </c>
      <c r="I956" t="n">
        <v>0.41084</v>
      </c>
      <c r="J956" t="n">
        <v>0</v>
      </c>
      <c r="K956" t="n">
        <v>3260.82272</v>
      </c>
      <c r="L956" t="n">
        <v>3260.82272</v>
      </c>
      <c r="M956" t="n">
        <v>0</v>
      </c>
      <c r="N956" t="n">
        <v>32805.77825</v>
      </c>
      <c r="O956" t="n">
        <v>32805.77825</v>
      </c>
      <c r="P956" t="n">
        <v>0</v>
      </c>
    </row>
    <row r="957">
      <c r="A957" t="inlineStr">
        <is>
          <t>2</t>
        </is>
      </c>
      <c r="B957" t="inlineStr">
        <is>
          <t>АТ "Укрексімбанк"</t>
        </is>
      </c>
      <c r="C957" t="inlineStr">
        <is>
          <t>Державний</t>
        </is>
      </c>
      <c r="D957" t="inlineStr">
        <is>
          <t>6520</t>
        </is>
      </c>
      <c r="E957" t="inlineStr">
        <is>
          <t>(без привʼязки)</t>
        </is>
      </c>
      <c r="F957" t="inlineStr">
        <is>
          <t>Комісійні доходи за операціями з філіями банку</t>
        </is>
      </c>
      <c r="G957" t="inlineStr">
        <is>
          <t>П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t="inlineStr">
        <is>
          <t>2</t>
        </is>
      </c>
      <c r="B958" t="inlineStr">
        <is>
          <t>АТ "Укрексімбанк"</t>
        </is>
      </c>
      <c r="C958" t="inlineStr">
        <is>
          <t>Державний</t>
        </is>
      </c>
      <c r="D958" t="inlineStr">
        <is>
          <t>6520</t>
        </is>
      </c>
      <c r="E958" t="inlineStr">
        <is>
          <t>Загальні доходи (6)</t>
        </is>
      </c>
      <c r="F958" t="inlineStr">
        <is>
          <t>Комісійні доходи за операціями з філіями банку</t>
        </is>
      </c>
      <c r="G958" t="inlineStr">
        <is>
          <t>П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inlineStr">
        <is>
          <t>2</t>
        </is>
      </c>
      <c r="B959" t="inlineStr">
        <is>
          <t>АТ "Укрексімбанк"</t>
        </is>
      </c>
      <c r="C959" t="inlineStr">
        <is>
          <t>Державний</t>
        </is>
      </c>
      <c r="D959" t="inlineStr">
        <is>
          <t>6711</t>
        </is>
      </c>
      <c r="E959" t="inlineStr">
        <is>
          <t>(без привʼязки)</t>
        </is>
      </c>
      <c r="F959" t="inlineStr">
        <is>
          <t>Повернення раніше списаної безнадійної заборгованості інших банків</t>
        </is>
      </c>
      <c r="G959" t="inlineStr">
        <is>
          <t>П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t="inlineStr">
        <is>
          <t>2</t>
        </is>
      </c>
      <c r="B960" t="inlineStr">
        <is>
          <t>АТ "Укрексімбанк"</t>
        </is>
      </c>
      <c r="C960" t="inlineStr">
        <is>
          <t>Державний</t>
        </is>
      </c>
      <c r="D960" t="inlineStr">
        <is>
          <t>6711</t>
        </is>
      </c>
      <c r="E960" t="inlineStr">
        <is>
          <t>Загальні доходи (6)</t>
        </is>
      </c>
      <c r="F960" t="inlineStr">
        <is>
          <t>Повернення раніше списаної безнадійної заборгованості інших банків</t>
        </is>
      </c>
      <c r="G960" t="inlineStr">
        <is>
          <t>П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inlineStr">
        <is>
          <t>2</t>
        </is>
      </c>
      <c r="B961" t="inlineStr">
        <is>
          <t>АТ "Укрексімбанк"</t>
        </is>
      </c>
      <c r="C961" t="inlineStr">
        <is>
          <t>Державний</t>
        </is>
      </c>
      <c r="D961" t="inlineStr">
        <is>
          <t>6712</t>
        </is>
      </c>
      <c r="E961" t="inlineStr">
        <is>
          <t>(без привʼязки)</t>
        </is>
      </c>
      <c r="F961" t="inlineStr">
        <is>
          <t>Повернення раніше списаної безнадійної заборгованості за кредитами, що надані клієнтам</t>
        </is>
      </c>
      <c r="G961" t="inlineStr">
        <is>
          <t>П</t>
        </is>
      </c>
      <c r="H961" t="n">
        <v>0</v>
      </c>
      <c r="I961" t="n">
        <v>0</v>
      </c>
      <c r="J961" t="n">
        <v>0</v>
      </c>
      <c r="K961" t="n">
        <v>3070.15326</v>
      </c>
      <c r="L961" t="n">
        <v>3070.15326</v>
      </c>
      <c r="M961" t="n">
        <v>0</v>
      </c>
      <c r="N961" t="n">
        <v>716077.04421</v>
      </c>
      <c r="O961" t="n">
        <v>716077.04421</v>
      </c>
      <c r="P961" t="n">
        <v>0</v>
      </c>
    </row>
    <row r="962">
      <c r="A962" t="inlineStr">
        <is>
          <t>2</t>
        </is>
      </c>
      <c r="B962" t="inlineStr">
        <is>
          <t>АТ "Укрексімбанк"</t>
        </is>
      </c>
      <c r="C962" t="inlineStr">
        <is>
          <t>Державний</t>
        </is>
      </c>
      <c r="D962" t="inlineStr">
        <is>
          <t>6712</t>
        </is>
      </c>
      <c r="E962" t="inlineStr">
        <is>
          <t>Загальні доходи (6)</t>
        </is>
      </c>
      <c r="F962" t="inlineStr">
        <is>
          <t>Повернення раніше списаної безнадійної заборгованості за кредитами, що надані клієнтам</t>
        </is>
      </c>
      <c r="G962" t="inlineStr">
        <is>
          <t>П</t>
        </is>
      </c>
      <c r="H962" t="n">
        <v>0</v>
      </c>
      <c r="I962" t="n">
        <v>0</v>
      </c>
      <c r="J962" t="n">
        <v>0</v>
      </c>
      <c r="K962" t="n">
        <v>3070.15326</v>
      </c>
      <c r="L962" t="n">
        <v>3070.15326</v>
      </c>
      <c r="M962" t="n">
        <v>0</v>
      </c>
      <c r="N962" t="n">
        <v>716077.04421</v>
      </c>
      <c r="O962" t="n">
        <v>716077.04421</v>
      </c>
      <c r="P962" t="n">
        <v>0</v>
      </c>
    </row>
    <row r="963">
      <c r="A963" t="inlineStr">
        <is>
          <t>2</t>
        </is>
      </c>
      <c r="B963" t="inlineStr">
        <is>
          <t>АТ "Укрексімбанк"</t>
        </is>
      </c>
      <c r="C963" t="inlineStr">
        <is>
          <t>Державний</t>
        </is>
      </c>
      <c r="D963" t="inlineStr">
        <is>
          <t>6715</t>
        </is>
      </c>
      <c r="E963" t="inlineStr">
        <is>
          <t>(без привʼязки)</t>
        </is>
      </c>
      <c r="F963" t="inlineStr">
        <is>
          <t>Повернення раніше списаної безнадійної нефінансової дебіторської заборгованості банку</t>
        </is>
      </c>
      <c r="G963" t="inlineStr">
        <is>
          <t>П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t="inlineStr">
        <is>
          <t>2</t>
        </is>
      </c>
      <c r="B964" t="inlineStr">
        <is>
          <t>АТ "Укрексімбанк"</t>
        </is>
      </c>
      <c r="C964" t="inlineStr">
        <is>
          <t>Державний</t>
        </is>
      </c>
      <c r="D964" t="inlineStr">
        <is>
          <t>6715</t>
        </is>
      </c>
      <c r="E964" t="inlineStr">
        <is>
          <t>Загальні доходи (6)</t>
        </is>
      </c>
      <c r="F964" t="inlineStr">
        <is>
          <t>Повернення раніше списаної безнадійної нефінансової дебіторської заборгованості банку</t>
        </is>
      </c>
      <c r="G964" t="inlineStr">
        <is>
          <t>П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t="inlineStr">
        <is>
          <t>2</t>
        </is>
      </c>
      <c r="B965" t="inlineStr">
        <is>
          <t>АТ "Укрексімбанк"</t>
        </is>
      </c>
      <c r="C965" t="inlineStr">
        <is>
          <t>Державний</t>
        </is>
      </c>
      <c r="D965" t="inlineStr">
        <is>
          <t>6717</t>
        </is>
      </c>
      <c r="E965" t="inlineStr">
        <is>
          <t>(без привʼязки)</t>
        </is>
      </c>
      <c r="F965" t="inlineStr">
        <is>
          <t>Повернення раніше списаної безнадійної фінансової дебіторської заборгованості банку</t>
        </is>
      </c>
      <c r="G965" t="inlineStr">
        <is>
          <t>П</t>
        </is>
      </c>
      <c r="H965" t="n">
        <v>0</v>
      </c>
      <c r="I965" t="n">
        <v>0</v>
      </c>
      <c r="J965" t="n">
        <v>0</v>
      </c>
      <c r="K965" t="n">
        <v>0.12</v>
      </c>
      <c r="L965" t="n">
        <v>0.12</v>
      </c>
      <c r="M965" t="n">
        <v>0</v>
      </c>
      <c r="N965" t="n">
        <v>0.16185</v>
      </c>
      <c r="O965" t="n">
        <v>0.16185</v>
      </c>
      <c r="P965" t="n">
        <v>0</v>
      </c>
    </row>
    <row r="966">
      <c r="A966" t="inlineStr">
        <is>
          <t>2</t>
        </is>
      </c>
      <c r="B966" t="inlineStr">
        <is>
          <t>АТ "Укрексімбанк"</t>
        </is>
      </c>
      <c r="C966" t="inlineStr">
        <is>
          <t>Державний</t>
        </is>
      </c>
      <c r="D966" t="inlineStr">
        <is>
          <t>6717</t>
        </is>
      </c>
      <c r="E966" t="inlineStr">
        <is>
          <t>Загальні доходи (6)</t>
        </is>
      </c>
      <c r="F966" t="inlineStr">
        <is>
          <t>Повернення раніше списаної безнадійної фінансової дебіторської заборгованості банку</t>
        </is>
      </c>
      <c r="G966" t="inlineStr">
        <is>
          <t>П</t>
        </is>
      </c>
      <c r="H966" t="n">
        <v>0</v>
      </c>
      <c r="I966" t="n">
        <v>0</v>
      </c>
      <c r="J966" t="n">
        <v>0</v>
      </c>
      <c r="K966" t="n">
        <v>0.12</v>
      </c>
      <c r="L966" t="n">
        <v>0.12</v>
      </c>
      <c r="M966" t="n">
        <v>0</v>
      </c>
      <c r="N966" t="n">
        <v>0.16185</v>
      </c>
      <c r="O966" t="n">
        <v>0.16185</v>
      </c>
      <c r="P966" t="n">
        <v>0</v>
      </c>
    </row>
    <row r="967">
      <c r="A967" t="inlineStr">
        <is>
          <t>2</t>
        </is>
      </c>
      <c r="B967" t="inlineStr">
        <is>
          <t>АТ "Укрексімбанк"</t>
        </is>
      </c>
      <c r="C967" t="inlineStr">
        <is>
          <t>Державний</t>
        </is>
      </c>
      <c r="D967" t="inlineStr">
        <is>
          <t>7003</t>
        </is>
      </c>
      <c r="E967" t="inlineStr">
        <is>
          <t>(без привʼязки)</t>
        </is>
      </c>
      <c r="F967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967" t="inlineStr">
        <is>
          <t>А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inlineStr">
        <is>
          <t>2</t>
        </is>
      </c>
      <c r="B968" t="inlineStr">
        <is>
          <t>АТ "Укрексімбанк"</t>
        </is>
      </c>
      <c r="C968" t="inlineStr">
        <is>
          <t>Державний</t>
        </is>
      </c>
      <c r="D968" t="inlineStr">
        <is>
          <t>7003</t>
        </is>
      </c>
      <c r="E968" t="inlineStr">
        <is>
          <t>Загальні витрати (7)</t>
        </is>
      </c>
      <c r="F968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968" t="inlineStr">
        <is>
          <t>А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inlineStr">
        <is>
          <t>2</t>
        </is>
      </c>
      <c r="B969" t="inlineStr">
        <is>
          <t>АТ "Укрексімбанк"</t>
        </is>
      </c>
      <c r="C969" t="inlineStr">
        <is>
          <t>Державний</t>
        </is>
      </c>
      <c r="D969" t="inlineStr">
        <is>
          <t>7010</t>
        </is>
      </c>
      <c r="E969" t="inlineStr">
        <is>
          <t>(без привʼязки)</t>
        </is>
      </c>
      <c r="F969" t="inlineStr">
        <is>
          <t>Процентні витрати за коштами на вимогу інших банків</t>
        </is>
      </c>
      <c r="G969" t="inlineStr">
        <is>
          <t>А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t="inlineStr">
        <is>
          <t>2</t>
        </is>
      </c>
      <c r="B970" t="inlineStr">
        <is>
          <t>АТ "Укрексімбанк"</t>
        </is>
      </c>
      <c r="C970" t="inlineStr">
        <is>
          <t>Державний</t>
        </is>
      </c>
      <c r="D970" t="inlineStr">
        <is>
          <t>7010</t>
        </is>
      </c>
      <c r="E970" t="inlineStr">
        <is>
          <t>Загальні витрати (7)</t>
        </is>
      </c>
      <c r="F970" t="inlineStr">
        <is>
          <t>Процентні витрати за коштами на вимогу інших банків</t>
        </is>
      </c>
      <c r="G970" t="inlineStr">
        <is>
          <t>А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inlineStr">
        <is>
          <t>2</t>
        </is>
      </c>
      <c r="B971" t="inlineStr">
        <is>
          <t>АТ "Укрексімбанк"</t>
        </is>
      </c>
      <c r="C971" t="inlineStr">
        <is>
          <t>Державний</t>
        </is>
      </c>
      <c r="D971" t="inlineStr">
        <is>
          <t>7011</t>
        </is>
      </c>
      <c r="E971" t="inlineStr">
        <is>
          <t>(без привʼязки)</t>
        </is>
      </c>
      <c r="F971" t="inlineStr">
        <is>
          <t>Процентні витрати за депозитами овернайт інших банків</t>
        </is>
      </c>
      <c r="G971" t="inlineStr">
        <is>
          <t>А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inlineStr">
        <is>
          <t>2</t>
        </is>
      </c>
      <c r="B972" t="inlineStr">
        <is>
          <t>АТ "Укрексімбанк"</t>
        </is>
      </c>
      <c r="C972" t="inlineStr">
        <is>
          <t>Державний</t>
        </is>
      </c>
      <c r="D972" t="inlineStr">
        <is>
          <t>7011</t>
        </is>
      </c>
      <c r="E972" t="inlineStr">
        <is>
          <t>Загальні витрати (7)</t>
        </is>
      </c>
      <c r="F972" t="inlineStr">
        <is>
          <t>Процентні витрати за депозитами овернайт інших банків</t>
        </is>
      </c>
      <c r="G972" t="inlineStr">
        <is>
          <t>А</t>
        </is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t="inlineStr">
        <is>
          <t>2</t>
        </is>
      </c>
      <c r="B973" t="inlineStr">
        <is>
          <t>АТ "Укрексімбанк"</t>
        </is>
      </c>
      <c r="C973" t="inlineStr">
        <is>
          <t>Державний</t>
        </is>
      </c>
      <c r="D973" t="inlineStr">
        <is>
          <t>7012</t>
        </is>
      </c>
      <c r="E973" t="inlineStr">
        <is>
          <t>(без привʼязки)</t>
        </is>
      </c>
      <c r="F973" t="inlineStr">
        <is>
          <t>Процентні витрати за строковими вкладами (депозитами) інших банків</t>
        </is>
      </c>
      <c r="G973" t="inlineStr">
        <is>
          <t>А</t>
        </is>
      </c>
      <c r="H973" t="n">
        <v>11.29248</v>
      </c>
      <c r="I973" t="n">
        <v>11.29248</v>
      </c>
      <c r="J973" t="n">
        <v>0</v>
      </c>
      <c r="K973" t="n">
        <v>0</v>
      </c>
      <c r="L973" t="n">
        <v>0</v>
      </c>
      <c r="M973" t="n">
        <v>0</v>
      </c>
      <c r="N973" t="n">
        <v>299.25042</v>
      </c>
      <c r="O973" t="n">
        <v>299.25042</v>
      </c>
      <c r="P973" t="n">
        <v>0</v>
      </c>
    </row>
    <row r="974">
      <c r="A974" t="inlineStr">
        <is>
          <t>2</t>
        </is>
      </c>
      <c r="B974" t="inlineStr">
        <is>
          <t>АТ "Укрексімбанк"</t>
        </is>
      </c>
      <c r="C974" t="inlineStr">
        <is>
          <t>Державний</t>
        </is>
      </c>
      <c r="D974" t="inlineStr">
        <is>
          <t>7012</t>
        </is>
      </c>
      <c r="E974" t="inlineStr">
        <is>
          <t>Загальні витрати (7)</t>
        </is>
      </c>
      <c r="F974" t="inlineStr">
        <is>
          <t>Процентні витрати за строковими вкладами (депозитами) інших банків</t>
        </is>
      </c>
      <c r="G974" t="inlineStr">
        <is>
          <t>А</t>
        </is>
      </c>
      <c r="H974" t="n">
        <v>11.29248</v>
      </c>
      <c r="I974" t="n">
        <v>11.29248</v>
      </c>
      <c r="J974" t="n">
        <v>0</v>
      </c>
      <c r="K974" t="n">
        <v>0</v>
      </c>
      <c r="L974" t="n">
        <v>0</v>
      </c>
      <c r="M974" t="n">
        <v>0</v>
      </c>
      <c r="N974" t="n">
        <v>299.25042</v>
      </c>
      <c r="O974" t="n">
        <v>299.25042</v>
      </c>
      <c r="P974" t="n">
        <v>0</v>
      </c>
    </row>
    <row r="975">
      <c r="A975" t="inlineStr">
        <is>
          <t>2</t>
        </is>
      </c>
      <c r="B975" t="inlineStr">
        <is>
          <t>АТ "Укрексімбанк"</t>
        </is>
      </c>
      <c r="C975" t="inlineStr">
        <is>
          <t>Державний</t>
        </is>
      </c>
      <c r="D975" t="inlineStr">
        <is>
          <t>7014</t>
        </is>
      </c>
      <c r="E975" t="inlineStr">
        <is>
          <t>(без привʼязки)</t>
        </is>
      </c>
      <c r="F975" t="inlineStr">
        <is>
          <t>Процентні витрати за кредитами овернайт, що отримані від інших банків</t>
        </is>
      </c>
      <c r="G975" t="inlineStr">
        <is>
          <t>А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inlineStr">
        <is>
          <t>2</t>
        </is>
      </c>
      <c r="B976" t="inlineStr">
        <is>
          <t>АТ "Укрексімбанк"</t>
        </is>
      </c>
      <c r="C976" t="inlineStr">
        <is>
          <t>Державний</t>
        </is>
      </c>
      <c r="D976" t="inlineStr">
        <is>
          <t>7014</t>
        </is>
      </c>
      <c r="E976" t="inlineStr">
        <is>
          <t>Загальні витрати (7)</t>
        </is>
      </c>
      <c r="F976" t="inlineStr">
        <is>
          <t>Процентні витрати за кредитами овернайт, що отримані від інших банків</t>
        </is>
      </c>
      <c r="G976" t="inlineStr">
        <is>
          <t>А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inlineStr">
        <is>
          <t>2</t>
        </is>
      </c>
      <c r="B977" t="inlineStr">
        <is>
          <t>АТ "Укрексімбанк"</t>
        </is>
      </c>
      <c r="C977" t="inlineStr">
        <is>
          <t>Державний</t>
        </is>
      </c>
      <c r="D977" t="inlineStr">
        <is>
          <t>7015</t>
        </is>
      </c>
      <c r="E977" t="inlineStr">
        <is>
          <t>(без привʼязки)</t>
        </is>
      </c>
      <c r="F977" t="inlineStr">
        <is>
          <t>Процентні витрати за кредитами, що отримані від інших банків за операціями репо</t>
        </is>
      </c>
      <c r="G977" t="inlineStr">
        <is>
          <t>А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inlineStr">
        <is>
          <t>2</t>
        </is>
      </c>
      <c r="B978" t="inlineStr">
        <is>
          <t>АТ "Укрексімбанк"</t>
        </is>
      </c>
      <c r="C978" t="inlineStr">
        <is>
          <t>Державний</t>
        </is>
      </c>
      <c r="D978" t="inlineStr">
        <is>
          <t>7015</t>
        </is>
      </c>
      <c r="E978" t="inlineStr">
        <is>
          <t>Загальні витрати (7)</t>
        </is>
      </c>
      <c r="F978" t="inlineStr">
        <is>
          <t>Процентні витрати за кредитами, що отримані від інших банків за операціями репо</t>
        </is>
      </c>
      <c r="G978" t="inlineStr">
        <is>
          <t>А</t>
        </is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t="inlineStr">
        <is>
          <t>2</t>
        </is>
      </c>
      <c r="B979" t="inlineStr">
        <is>
          <t>АТ "Укрексімбанк"</t>
        </is>
      </c>
      <c r="C979" t="inlineStr">
        <is>
          <t>Державний</t>
        </is>
      </c>
      <c r="D979" t="inlineStr">
        <is>
          <t>7016</t>
        </is>
      </c>
      <c r="E979" t="inlineStr">
        <is>
          <t>(без привʼязки)</t>
        </is>
      </c>
      <c r="F979" t="inlineStr">
        <is>
          <t>Процентні витрати за кредитами овердрафт, що отримані від інших банків</t>
        </is>
      </c>
      <c r="G979" t="inlineStr">
        <is>
          <t>А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t="inlineStr">
        <is>
          <t>2</t>
        </is>
      </c>
      <c r="B980" t="inlineStr">
        <is>
          <t>АТ "Укрексімбанк"</t>
        </is>
      </c>
      <c r="C980" t="inlineStr">
        <is>
          <t>Державний</t>
        </is>
      </c>
      <c r="D980" t="inlineStr">
        <is>
          <t>7016</t>
        </is>
      </c>
      <c r="E980" t="inlineStr">
        <is>
          <t>Загальні витрати (7)</t>
        </is>
      </c>
      <c r="F980" t="inlineStr">
        <is>
          <t>Процентні витрати за кредитами овердрафт, що отримані від інших банків</t>
        </is>
      </c>
      <c r="G980" t="inlineStr">
        <is>
          <t>А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inlineStr">
        <is>
          <t>2</t>
        </is>
      </c>
      <c r="B981" t="inlineStr">
        <is>
          <t>АТ "Укрексімбанк"</t>
        </is>
      </c>
      <c r="C981" t="inlineStr">
        <is>
          <t>Державний</t>
        </is>
      </c>
      <c r="D981" t="inlineStr">
        <is>
          <t>7017</t>
        </is>
      </c>
      <c r="E981" t="inlineStr">
        <is>
          <t>(без привʼязки)</t>
        </is>
      </c>
      <c r="F981" t="inlineStr">
        <is>
          <t>Процентні витрати за іншими кредитами, що отримані від інших банків</t>
        </is>
      </c>
      <c r="G981" t="inlineStr">
        <is>
          <t>А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inlineStr">
        <is>
          <t>2</t>
        </is>
      </c>
      <c r="B982" t="inlineStr">
        <is>
          <t>АТ "Укрексімбанк"</t>
        </is>
      </c>
      <c r="C982" t="inlineStr">
        <is>
          <t>Державний</t>
        </is>
      </c>
      <c r="D982" t="inlineStr">
        <is>
          <t>7017</t>
        </is>
      </c>
      <c r="E982" t="inlineStr">
        <is>
          <t>Загальні витрати (7)</t>
        </is>
      </c>
      <c r="F982" t="inlineStr">
        <is>
          <t>Процентні витрати за іншими кредитами, що отримані від інших банків</t>
        </is>
      </c>
      <c r="G982" t="inlineStr">
        <is>
          <t>А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inlineStr">
        <is>
          <t>2</t>
        </is>
      </c>
      <c r="B983" t="inlineStr">
        <is>
          <t>АТ "Укрексімбанк"</t>
        </is>
      </c>
      <c r="C983" t="inlineStr">
        <is>
          <t>Державний</t>
        </is>
      </c>
      <c r="D983" t="inlineStr">
        <is>
          <t>7020</t>
        </is>
      </c>
      <c r="E983" t="inlineStr">
        <is>
          <t>(без привʼязки)</t>
        </is>
      </c>
      <c r="F983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3" t="inlineStr">
        <is>
          <t>А</t>
        </is>
      </c>
      <c r="H983" t="n">
        <v>768865.98042</v>
      </c>
      <c r="I983" t="n">
        <v>768865.98042</v>
      </c>
      <c r="J983" t="n">
        <v>0</v>
      </c>
      <c r="K983" t="n">
        <v>14.87129</v>
      </c>
      <c r="L983" t="n">
        <v>14.87129</v>
      </c>
      <c r="M983" t="n">
        <v>0</v>
      </c>
      <c r="N983" t="n">
        <v>8311961.48632</v>
      </c>
      <c r="O983" t="n">
        <v>8311961.48632</v>
      </c>
      <c r="P983" t="n">
        <v>0</v>
      </c>
    </row>
    <row r="984">
      <c r="A984" t="inlineStr">
        <is>
          <t>2</t>
        </is>
      </c>
      <c r="B984" t="inlineStr">
        <is>
          <t>АТ "Укрексімбанк"</t>
        </is>
      </c>
      <c r="C984" t="inlineStr">
        <is>
          <t>Державний</t>
        </is>
      </c>
      <c r="D984" t="inlineStr">
        <is>
          <t>7020</t>
        </is>
      </c>
      <c r="E984" t="inlineStr">
        <is>
          <t>Загальні витрати (7)</t>
        </is>
      </c>
      <c r="F98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4" t="inlineStr">
        <is>
          <t>А</t>
        </is>
      </c>
      <c r="H984" t="n">
        <v>768865.98042</v>
      </c>
      <c r="I984" t="n">
        <v>768865.98042</v>
      </c>
      <c r="J984" t="n">
        <v>0</v>
      </c>
      <c r="K984" t="n">
        <v>14.87129</v>
      </c>
      <c r="L984" t="n">
        <v>14.87129</v>
      </c>
      <c r="M984" t="n">
        <v>0</v>
      </c>
      <c r="N984" t="n">
        <v>8311961.48632</v>
      </c>
      <c r="O984" t="n">
        <v>8311961.48632</v>
      </c>
      <c r="P984" t="n">
        <v>0</v>
      </c>
    </row>
    <row r="985">
      <c r="A985" t="inlineStr">
        <is>
          <t>2</t>
        </is>
      </c>
      <c r="B985" t="inlineStr">
        <is>
          <t>АТ "Укрексімбанк"</t>
        </is>
      </c>
      <c r="C985" t="inlineStr">
        <is>
          <t>Державний</t>
        </is>
      </c>
      <c r="D985" t="inlineStr">
        <is>
          <t>7020</t>
        </is>
      </c>
      <c r="E985" t="inlineStr">
        <is>
          <t>(без привʼязки)</t>
        </is>
      </c>
      <c r="F985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5" t="inlineStr">
        <is>
          <t>П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inlineStr">
        <is>
          <t>2</t>
        </is>
      </c>
      <c r="B986" t="inlineStr">
        <is>
          <t>АТ "Укрексімбанк"</t>
        </is>
      </c>
      <c r="C986" t="inlineStr">
        <is>
          <t>Державний</t>
        </is>
      </c>
      <c r="D986" t="inlineStr">
        <is>
          <t>7020</t>
        </is>
      </c>
      <c r="E986" t="inlineStr">
        <is>
          <t>Загальні витрати (7)</t>
        </is>
      </c>
      <c r="F986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6" t="inlineStr">
        <is>
          <t>П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inlineStr">
        <is>
          <t>2</t>
        </is>
      </c>
      <c r="B987" t="inlineStr">
        <is>
          <t>АТ "Укрексімбанк"</t>
        </is>
      </c>
      <c r="C987" t="inlineStr">
        <is>
          <t>Державний</t>
        </is>
      </c>
      <c r="D987" t="inlineStr">
        <is>
          <t>7021</t>
        </is>
      </c>
      <c r="E987" t="inlineStr">
        <is>
          <t>(без привʼязки)</t>
        </is>
      </c>
      <c r="F98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7" t="inlineStr">
        <is>
          <t>А</t>
        </is>
      </c>
      <c r="H987" t="n">
        <v>213690.93073</v>
      </c>
      <c r="I987" t="n">
        <v>213690.93073</v>
      </c>
      <c r="J987" t="n">
        <v>0</v>
      </c>
      <c r="K987" t="n">
        <v>1453.69526</v>
      </c>
      <c r="L987" t="n">
        <v>1453.69526</v>
      </c>
      <c r="M987" t="n">
        <v>0</v>
      </c>
      <c r="N987" t="n">
        <v>2855612.20113</v>
      </c>
      <c r="O987" t="n">
        <v>2855612.20113</v>
      </c>
      <c r="P987" t="n">
        <v>0</v>
      </c>
    </row>
    <row r="988">
      <c r="A988" t="inlineStr">
        <is>
          <t>2</t>
        </is>
      </c>
      <c r="B988" t="inlineStr">
        <is>
          <t>АТ "Укрексімбанк"</t>
        </is>
      </c>
      <c r="C988" t="inlineStr">
        <is>
          <t>Державний</t>
        </is>
      </c>
      <c r="D988" t="inlineStr">
        <is>
          <t>7021</t>
        </is>
      </c>
      <c r="E988" t="inlineStr">
        <is>
          <t>Загальні витрати (7)</t>
        </is>
      </c>
      <c r="F988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8" t="inlineStr">
        <is>
          <t>А</t>
        </is>
      </c>
      <c r="H988" t="n">
        <v>213690.93073</v>
      </c>
      <c r="I988" t="n">
        <v>213690.93073</v>
      </c>
      <c r="J988" t="n">
        <v>0</v>
      </c>
      <c r="K988" t="n">
        <v>1453.69526</v>
      </c>
      <c r="L988" t="n">
        <v>1453.69526</v>
      </c>
      <c r="M988" t="n">
        <v>0</v>
      </c>
      <c r="N988" t="n">
        <v>2855612.20113</v>
      </c>
      <c r="O988" t="n">
        <v>2855612.20113</v>
      </c>
      <c r="P988" t="n">
        <v>0</v>
      </c>
    </row>
    <row r="989">
      <c r="A989" t="inlineStr">
        <is>
          <t>2</t>
        </is>
      </c>
      <c r="B989" t="inlineStr">
        <is>
          <t>АТ "Укрексімбанк"</t>
        </is>
      </c>
      <c r="C989" t="inlineStr">
        <is>
          <t>Державний</t>
        </is>
      </c>
      <c r="D989" t="inlineStr">
        <is>
          <t>7021</t>
        </is>
      </c>
      <c r="E989" t="inlineStr">
        <is>
          <t>(без привʼязки)</t>
        </is>
      </c>
      <c r="F989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9" t="inlineStr">
        <is>
          <t>П</t>
        </is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2</t>
        </is>
      </c>
      <c r="B990" t="inlineStr">
        <is>
          <t>АТ "Укрексімбанк"</t>
        </is>
      </c>
      <c r="C990" t="inlineStr">
        <is>
          <t>Державний</t>
        </is>
      </c>
      <c r="D990" t="inlineStr">
        <is>
          <t>7021</t>
        </is>
      </c>
      <c r="E990" t="inlineStr">
        <is>
          <t>Загальні витрати (7)</t>
        </is>
      </c>
      <c r="F990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90" t="inlineStr">
        <is>
          <t>П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2</t>
        </is>
      </c>
      <c r="B991" t="inlineStr">
        <is>
          <t>АТ "Укрексімбанк"</t>
        </is>
      </c>
      <c r="C991" t="inlineStr">
        <is>
          <t>Державний</t>
        </is>
      </c>
      <c r="D991" t="inlineStr">
        <is>
          <t>7028</t>
        </is>
      </c>
      <c r="E991" t="inlineStr">
        <is>
          <t>(без привʼязки)</t>
        </is>
      </c>
      <c r="F991" t="inlineStr">
        <is>
          <t xml:space="preserve">Процентні витрати за орендним зобов'язанням орендаря </t>
        </is>
      </c>
      <c r="G991" t="inlineStr">
        <is>
          <t>А</t>
        </is>
      </c>
      <c r="H991" t="n">
        <v>468.59136</v>
      </c>
      <c r="I991" t="n">
        <v>468.59136</v>
      </c>
      <c r="J991" t="n">
        <v>0</v>
      </c>
      <c r="K991" t="n">
        <v>0</v>
      </c>
      <c r="L991" t="n">
        <v>0</v>
      </c>
      <c r="M991" t="n">
        <v>0</v>
      </c>
      <c r="N991" t="n">
        <v>5649.46424</v>
      </c>
      <c r="O991" t="n">
        <v>5649.46424</v>
      </c>
      <c r="P991" t="n">
        <v>0</v>
      </c>
    </row>
    <row r="992">
      <c r="A992" t="inlineStr">
        <is>
          <t>2</t>
        </is>
      </c>
      <c r="B992" t="inlineStr">
        <is>
          <t>АТ "Укрексімбанк"</t>
        </is>
      </c>
      <c r="C992" t="inlineStr">
        <is>
          <t>Державний</t>
        </is>
      </c>
      <c r="D992" t="inlineStr">
        <is>
          <t>7028</t>
        </is>
      </c>
      <c r="E992" t="inlineStr">
        <is>
          <t>Загальні витрати (7)</t>
        </is>
      </c>
      <c r="F992" t="inlineStr">
        <is>
          <t xml:space="preserve">Процентні витрати за орендним зобов'язанням орендаря </t>
        </is>
      </c>
      <c r="G992" t="inlineStr">
        <is>
          <t>А</t>
        </is>
      </c>
      <c r="H992" t="n">
        <v>468.59136</v>
      </c>
      <c r="I992" t="n">
        <v>468.59136</v>
      </c>
      <c r="J992" t="n">
        <v>0</v>
      </c>
      <c r="K992" t="n">
        <v>0</v>
      </c>
      <c r="L992" t="n">
        <v>0</v>
      </c>
      <c r="M992" t="n">
        <v>0</v>
      </c>
      <c r="N992" t="n">
        <v>5649.46424</v>
      </c>
      <c r="O992" t="n">
        <v>5649.46424</v>
      </c>
      <c r="P992" t="n">
        <v>0</v>
      </c>
    </row>
    <row r="993">
      <c r="A993" t="inlineStr">
        <is>
          <t>2</t>
        </is>
      </c>
      <c r="B993" t="inlineStr">
        <is>
          <t>АТ "Укрексімбанк"</t>
        </is>
      </c>
      <c r="C993" t="inlineStr">
        <is>
          <t>Державний</t>
        </is>
      </c>
      <c r="D993" t="inlineStr">
        <is>
          <t>7028</t>
        </is>
      </c>
      <c r="E993" t="inlineStr">
        <is>
          <t>(без привʼязки)</t>
        </is>
      </c>
      <c r="F993" t="inlineStr">
        <is>
          <t xml:space="preserve">Процентні витрати за орендним зобов'язанням орендаря </t>
        </is>
      </c>
      <c r="G993" t="inlineStr">
        <is>
          <t>П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inlineStr">
        <is>
          <t>2</t>
        </is>
      </c>
      <c r="B994" t="inlineStr">
        <is>
          <t>АТ "Укрексімбанк"</t>
        </is>
      </c>
      <c r="C994" t="inlineStr">
        <is>
          <t>Державний</t>
        </is>
      </c>
      <c r="D994" t="inlineStr">
        <is>
          <t>7028</t>
        </is>
      </c>
      <c r="E994" t="inlineStr">
        <is>
          <t>Загальні витрати (7)</t>
        </is>
      </c>
      <c r="F994" t="inlineStr">
        <is>
          <t xml:space="preserve">Процентні витрати за орендним зобов'язанням орендаря </t>
        </is>
      </c>
      <c r="G994" t="inlineStr">
        <is>
          <t>П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inlineStr">
        <is>
          <t>2</t>
        </is>
      </c>
      <c r="B995" t="inlineStr">
        <is>
          <t>АТ "Укрексімбанк"</t>
        </is>
      </c>
      <c r="C995" t="inlineStr">
        <is>
          <t>Державний</t>
        </is>
      </c>
      <c r="D995" t="inlineStr">
        <is>
          <t>7030</t>
        </is>
      </c>
      <c r="E995" t="inlineStr">
        <is>
          <t>(без привʼязки)</t>
        </is>
      </c>
      <c r="F995" t="inlineStr">
        <is>
          <t>Процентні витрати за коштами бюджету та позабюджетних фондів України</t>
        </is>
      </c>
      <c r="G995" t="inlineStr">
        <is>
          <t>А</t>
        </is>
      </c>
      <c r="H995" t="n">
        <v>618.70458</v>
      </c>
      <c r="I995" t="n">
        <v>618.70458</v>
      </c>
      <c r="J995" t="n">
        <v>0</v>
      </c>
      <c r="K995" t="n">
        <v>0</v>
      </c>
      <c r="L995" t="n">
        <v>0</v>
      </c>
      <c r="M995" t="n">
        <v>0</v>
      </c>
      <c r="N995" t="n">
        <v>7016.87125</v>
      </c>
      <c r="O995" t="n">
        <v>7016.87125</v>
      </c>
      <c r="P995" t="n">
        <v>0</v>
      </c>
    </row>
    <row r="996">
      <c r="A996" t="inlineStr">
        <is>
          <t>2</t>
        </is>
      </c>
      <c r="B996" t="inlineStr">
        <is>
          <t>АТ "Укрексімбанк"</t>
        </is>
      </c>
      <c r="C996" t="inlineStr">
        <is>
          <t>Державний</t>
        </is>
      </c>
      <c r="D996" t="inlineStr">
        <is>
          <t>7030</t>
        </is>
      </c>
      <c r="E996" t="inlineStr">
        <is>
          <t>Загальні витрати (7)</t>
        </is>
      </c>
      <c r="F996" t="inlineStr">
        <is>
          <t>Процентні витрати за коштами бюджету та позабюджетних фондів України</t>
        </is>
      </c>
      <c r="G996" t="inlineStr">
        <is>
          <t>А</t>
        </is>
      </c>
      <c r="H996" t="n">
        <v>618.70458</v>
      </c>
      <c r="I996" t="n">
        <v>618.70458</v>
      </c>
      <c r="J996" t="n">
        <v>0</v>
      </c>
      <c r="K996" t="n">
        <v>0</v>
      </c>
      <c r="L996" t="n">
        <v>0</v>
      </c>
      <c r="M996" t="n">
        <v>0</v>
      </c>
      <c r="N996" t="n">
        <v>7016.87125</v>
      </c>
      <c r="O996" t="n">
        <v>7016.87125</v>
      </c>
      <c r="P996" t="n">
        <v>0</v>
      </c>
    </row>
    <row r="997">
      <c r="A997" t="inlineStr">
        <is>
          <t>2</t>
        </is>
      </c>
      <c r="B997" t="inlineStr">
        <is>
          <t>АТ "Укрексімбанк"</t>
        </is>
      </c>
      <c r="C997" t="inlineStr">
        <is>
          <t>Державний</t>
        </is>
      </c>
      <c r="D997" t="inlineStr">
        <is>
          <t>7040</t>
        </is>
      </c>
      <c r="E997" t="inlineStr">
        <is>
          <t>(без привʼязки)</t>
        </is>
      </c>
      <c r="F997" t="inlineStr">
        <is>
          <t>Процентні витрати за коштами на вимогу фізичних осіб</t>
        </is>
      </c>
      <c r="G997" t="inlineStr">
        <is>
          <t>А</t>
        </is>
      </c>
      <c r="H997" t="n">
        <v>36.9831</v>
      </c>
      <c r="I997" t="n">
        <v>36.9831</v>
      </c>
      <c r="J997" t="n">
        <v>0</v>
      </c>
      <c r="K997" t="n">
        <v>0.00637</v>
      </c>
      <c r="L997" t="n">
        <v>0.00637</v>
      </c>
      <c r="M997" t="n">
        <v>0</v>
      </c>
      <c r="N997" t="n">
        <v>22083.88138</v>
      </c>
      <c r="O997" t="n">
        <v>22083.88138</v>
      </c>
      <c r="P997" t="n">
        <v>0</v>
      </c>
    </row>
    <row r="998">
      <c r="A998" t="inlineStr">
        <is>
          <t>2</t>
        </is>
      </c>
      <c r="B998" t="inlineStr">
        <is>
          <t>АТ "Укрексімбанк"</t>
        </is>
      </c>
      <c r="C998" t="inlineStr">
        <is>
          <t>Державний</t>
        </is>
      </c>
      <c r="D998" t="inlineStr">
        <is>
          <t>7040</t>
        </is>
      </c>
      <c r="E998" t="inlineStr">
        <is>
          <t>Проценти за поточними вкладами ДГ (код 7040)</t>
        </is>
      </c>
      <c r="F998" t="inlineStr">
        <is>
          <t>Процентні витрати за коштами на вимогу фізичних осіб</t>
        </is>
      </c>
      <c r="G998" t="inlineStr">
        <is>
          <t>А</t>
        </is>
      </c>
      <c r="H998" t="n">
        <v>36.9831</v>
      </c>
      <c r="I998" t="n">
        <v>36.9831</v>
      </c>
      <c r="J998" t="n">
        <v>0</v>
      </c>
      <c r="K998" t="n">
        <v>0.00637</v>
      </c>
      <c r="L998" t="n">
        <v>0.00637</v>
      </c>
      <c r="M998" t="n">
        <v>0</v>
      </c>
      <c r="N998" t="n">
        <v>22083.88138</v>
      </c>
      <c r="O998" t="n">
        <v>22083.88138</v>
      </c>
      <c r="P998" t="n">
        <v>0</v>
      </c>
    </row>
    <row r="999">
      <c r="A999" t="inlineStr">
        <is>
          <t>2</t>
        </is>
      </c>
      <c r="B999" t="inlineStr">
        <is>
          <t>АТ "Укрексімбанк"</t>
        </is>
      </c>
      <c r="C999" t="inlineStr">
        <is>
          <t>Державний</t>
        </is>
      </c>
      <c r="D999" t="inlineStr">
        <is>
          <t>7040</t>
        </is>
      </c>
      <c r="E999" t="inlineStr">
        <is>
          <t>Загальні витрати (7)</t>
        </is>
      </c>
      <c r="F999" t="inlineStr">
        <is>
          <t>Процентні витрати за коштами на вимогу фізичних осіб</t>
        </is>
      </c>
      <c r="G999" t="inlineStr">
        <is>
          <t>А</t>
        </is>
      </c>
      <c r="H999" t="n">
        <v>36.9831</v>
      </c>
      <c r="I999" t="n">
        <v>36.9831</v>
      </c>
      <c r="J999" t="n">
        <v>0</v>
      </c>
      <c r="K999" t="n">
        <v>0.00637</v>
      </c>
      <c r="L999" t="n">
        <v>0.00637</v>
      </c>
      <c r="M999" t="n">
        <v>0</v>
      </c>
      <c r="N999" t="n">
        <v>22083.88138</v>
      </c>
      <c r="O999" t="n">
        <v>22083.88138</v>
      </c>
      <c r="P999" t="n">
        <v>0</v>
      </c>
    </row>
    <row r="1000">
      <c r="A1000" t="inlineStr">
        <is>
          <t>2</t>
        </is>
      </c>
      <c r="B1000" t="inlineStr">
        <is>
          <t>АТ "Укрексімбанк"</t>
        </is>
      </c>
      <c r="C1000" t="inlineStr">
        <is>
          <t>Державний</t>
        </is>
      </c>
      <c r="D1000" t="inlineStr">
        <is>
          <t>7040</t>
        </is>
      </c>
      <c r="E1000" t="inlineStr">
        <is>
          <t>(без привʼязки)</t>
        </is>
      </c>
      <c r="F1000" t="inlineStr">
        <is>
          <t>Процентні витрати за коштами на вимогу фізичних осіб</t>
        </is>
      </c>
      <c r="G1000" t="inlineStr">
        <is>
          <t>П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-0.21997</v>
      </c>
      <c r="O1000" t="n">
        <v>-0.21997</v>
      </c>
      <c r="P1000" t="n">
        <v>0</v>
      </c>
    </row>
    <row r="1001">
      <c r="A1001" t="inlineStr">
        <is>
          <t>2</t>
        </is>
      </c>
      <c r="B1001" t="inlineStr">
        <is>
          <t>АТ "Укрексімбанк"</t>
        </is>
      </c>
      <c r="C1001" t="inlineStr">
        <is>
          <t>Державний</t>
        </is>
      </c>
      <c r="D1001" t="inlineStr">
        <is>
          <t>7040</t>
        </is>
      </c>
      <c r="E1001" t="inlineStr">
        <is>
          <t>Проценти за поточними вкладами ДГ (код 7040)</t>
        </is>
      </c>
      <c r="F1001" t="inlineStr">
        <is>
          <t>Процентні витрати за коштами на вимогу фізичних осіб</t>
        </is>
      </c>
      <c r="G1001" t="inlineStr">
        <is>
          <t>П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-0.21997</v>
      </c>
      <c r="O1001" t="n">
        <v>-0.21997</v>
      </c>
      <c r="P1001" t="n">
        <v>0</v>
      </c>
    </row>
    <row r="1002">
      <c r="A1002" t="inlineStr">
        <is>
          <t>2</t>
        </is>
      </c>
      <c r="B1002" t="inlineStr">
        <is>
          <t>АТ "Укрексімбанк"</t>
        </is>
      </c>
      <c r="C1002" t="inlineStr">
        <is>
          <t>Державний</t>
        </is>
      </c>
      <c r="D1002" t="inlineStr">
        <is>
          <t>7040</t>
        </is>
      </c>
      <c r="E1002" t="inlineStr">
        <is>
          <t>Загальні витрати (7)</t>
        </is>
      </c>
      <c r="F1002" t="inlineStr">
        <is>
          <t>Процентні витрати за коштами на вимогу фізичних осіб</t>
        </is>
      </c>
      <c r="G1002" t="inlineStr">
        <is>
          <t>П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-0.21997</v>
      </c>
      <c r="O1002" t="n">
        <v>-0.21997</v>
      </c>
      <c r="P1002" t="n">
        <v>0</v>
      </c>
    </row>
    <row r="1003">
      <c r="A1003" t="inlineStr">
        <is>
          <t>2</t>
        </is>
      </c>
      <c r="B1003" t="inlineStr">
        <is>
          <t>АТ "Укрексімбанк"</t>
        </is>
      </c>
      <c r="C1003" t="inlineStr">
        <is>
          <t>Державний</t>
        </is>
      </c>
      <c r="D1003" t="inlineStr">
        <is>
          <t>7041</t>
        </is>
      </c>
      <c r="E1003" t="inlineStr">
        <is>
          <t>(без привʼязки)</t>
        </is>
      </c>
      <c r="F1003" t="inlineStr">
        <is>
          <t>Процентні витрати за строковими коштами фізичних осіб</t>
        </is>
      </c>
      <c r="G1003" t="inlineStr">
        <is>
          <t>А</t>
        </is>
      </c>
      <c r="H1003" t="n">
        <v>74430.54678999999</v>
      </c>
      <c r="I1003" t="n">
        <v>74430.54678999999</v>
      </c>
      <c r="J1003" t="n">
        <v>0</v>
      </c>
      <c r="K1003" t="n">
        <v>406.32412</v>
      </c>
      <c r="L1003" t="n">
        <v>406.32412</v>
      </c>
      <c r="M1003" t="n">
        <v>0</v>
      </c>
      <c r="N1003" t="n">
        <v>1078546.71065</v>
      </c>
      <c r="O1003" t="n">
        <v>1078546.71065</v>
      </c>
      <c r="P1003" t="n">
        <v>0</v>
      </c>
    </row>
    <row r="1004">
      <c r="A1004" t="inlineStr">
        <is>
          <t>2</t>
        </is>
      </c>
      <c r="B1004" t="inlineStr">
        <is>
          <t>АТ "Укрексімбанк"</t>
        </is>
      </c>
      <c r="C1004" t="inlineStr">
        <is>
          <t>Державний</t>
        </is>
      </c>
      <c r="D1004" t="inlineStr">
        <is>
          <t>7041</t>
        </is>
      </c>
      <c r="E1004" t="inlineStr">
        <is>
          <t>Проценти за строковими вкладами ДГ (код 7041)</t>
        </is>
      </c>
      <c r="F1004" t="inlineStr">
        <is>
          <t>Процентні витрати за строковими коштами фізичних осіб</t>
        </is>
      </c>
      <c r="G1004" t="inlineStr">
        <is>
          <t>А</t>
        </is>
      </c>
      <c r="H1004" t="n">
        <v>74430.54678999999</v>
      </c>
      <c r="I1004" t="n">
        <v>74430.54678999999</v>
      </c>
      <c r="J1004" t="n">
        <v>0</v>
      </c>
      <c r="K1004" t="n">
        <v>406.32412</v>
      </c>
      <c r="L1004" t="n">
        <v>406.32412</v>
      </c>
      <c r="M1004" t="n">
        <v>0</v>
      </c>
      <c r="N1004" t="n">
        <v>1078546.71065</v>
      </c>
      <c r="O1004" t="n">
        <v>1078546.71065</v>
      </c>
      <c r="P1004" t="n">
        <v>0</v>
      </c>
    </row>
    <row r="1005">
      <c r="A1005" t="inlineStr">
        <is>
          <t>2</t>
        </is>
      </c>
      <c r="B1005" t="inlineStr">
        <is>
          <t>АТ "Укрексімбанк"</t>
        </is>
      </c>
      <c r="C1005" t="inlineStr">
        <is>
          <t>Державний</t>
        </is>
      </c>
      <c r="D1005" t="inlineStr">
        <is>
          <t>7041</t>
        </is>
      </c>
      <c r="E1005" t="inlineStr">
        <is>
          <t>Загальні витрати (7)</t>
        </is>
      </c>
      <c r="F1005" t="inlineStr">
        <is>
          <t>Процентні витрати за строковими коштами фізичних осіб</t>
        </is>
      </c>
      <c r="G1005" t="inlineStr">
        <is>
          <t>А</t>
        </is>
      </c>
      <c r="H1005" t="n">
        <v>74430.54678999999</v>
      </c>
      <c r="I1005" t="n">
        <v>74430.54678999999</v>
      </c>
      <c r="J1005" t="n">
        <v>0</v>
      </c>
      <c r="K1005" t="n">
        <v>406.32412</v>
      </c>
      <c r="L1005" t="n">
        <v>406.32412</v>
      </c>
      <c r="M1005" t="n">
        <v>0</v>
      </c>
      <c r="N1005" t="n">
        <v>1078546.71065</v>
      </c>
      <c r="O1005" t="n">
        <v>1078546.71065</v>
      </c>
      <c r="P1005" t="n">
        <v>0</v>
      </c>
    </row>
    <row r="1006">
      <c r="A1006" t="inlineStr">
        <is>
          <t>2</t>
        </is>
      </c>
      <c r="B1006" t="inlineStr">
        <is>
          <t>АТ "Укрексімбанк"</t>
        </is>
      </c>
      <c r="C1006" t="inlineStr">
        <is>
          <t>Державний</t>
        </is>
      </c>
      <c r="D1006" t="inlineStr">
        <is>
          <t>7041</t>
        </is>
      </c>
      <c r="E1006" t="inlineStr">
        <is>
          <t>(без привʼязки)</t>
        </is>
      </c>
      <c r="F1006" t="inlineStr">
        <is>
          <t>Процентні витрати за строковими коштами фізичних осіб</t>
        </is>
      </c>
      <c r="G1006" t="inlineStr">
        <is>
          <t>П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inlineStr">
        <is>
          <t>2</t>
        </is>
      </c>
      <c r="B1007" t="inlineStr">
        <is>
          <t>АТ "Укрексімбанк"</t>
        </is>
      </c>
      <c r="C1007" t="inlineStr">
        <is>
          <t>Державний</t>
        </is>
      </c>
      <c r="D1007" t="inlineStr">
        <is>
          <t>7041</t>
        </is>
      </c>
      <c r="E1007" t="inlineStr">
        <is>
          <t>Проценти за строковими вкладами ДГ (код 7041)</t>
        </is>
      </c>
      <c r="F1007" t="inlineStr">
        <is>
          <t>Процентні витрати за строковими коштами фізичних осіб</t>
        </is>
      </c>
      <c r="G1007" t="inlineStr">
        <is>
          <t>П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inlineStr">
        <is>
          <t>2</t>
        </is>
      </c>
      <c r="B1008" t="inlineStr">
        <is>
          <t>АТ "Укрексімбанк"</t>
        </is>
      </c>
      <c r="C1008" t="inlineStr">
        <is>
          <t>Державний</t>
        </is>
      </c>
      <c r="D1008" t="inlineStr">
        <is>
          <t>7041</t>
        </is>
      </c>
      <c r="E1008" t="inlineStr">
        <is>
          <t>Загальні витрати (7)</t>
        </is>
      </c>
      <c r="F1008" t="inlineStr">
        <is>
          <t>Процентні витрати за строковими коштами фізичних осіб</t>
        </is>
      </c>
      <c r="G1008" t="inlineStr">
        <is>
          <t>П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inlineStr">
        <is>
          <t>2</t>
        </is>
      </c>
      <c r="B1009" t="inlineStr">
        <is>
          <t>АТ "Укрексімбанк"</t>
        </is>
      </c>
      <c r="C1009" t="inlineStr">
        <is>
          <t>Державний</t>
        </is>
      </c>
      <c r="D1009" t="inlineStr">
        <is>
          <t>7048</t>
        </is>
      </c>
      <c r="E1009" t="inlineStr">
        <is>
          <t>(без привʼязки)</t>
        </is>
      </c>
      <c r="F1009" t="inlineStr">
        <is>
          <t>Процентні витрати за орендним зобов’язанням орендаря перед фізичними особами</t>
        </is>
      </c>
      <c r="G1009" t="inlineStr">
        <is>
          <t>А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2</t>
        </is>
      </c>
      <c r="B1010" t="inlineStr">
        <is>
          <t>АТ "Укрексімбанк"</t>
        </is>
      </c>
      <c r="C1010" t="inlineStr">
        <is>
          <t>Державний</t>
        </is>
      </c>
      <c r="D1010" t="inlineStr">
        <is>
          <t>7048</t>
        </is>
      </c>
      <c r="E1010" t="inlineStr">
        <is>
          <t>Загальні витрати (7)</t>
        </is>
      </c>
      <c r="F1010" t="inlineStr">
        <is>
          <t>Процентні витрати за орендним зобов’язанням орендаря перед фізичними особами</t>
        </is>
      </c>
      <c r="G1010" t="inlineStr">
        <is>
          <t>А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2</t>
        </is>
      </c>
      <c r="B1011" t="inlineStr">
        <is>
          <t>АТ "Укрексімбанк"</t>
        </is>
      </c>
      <c r="C1011" t="inlineStr">
        <is>
          <t>Державний</t>
        </is>
      </c>
      <c r="D1011" t="inlineStr">
        <is>
          <t>7048</t>
        </is>
      </c>
      <c r="E1011" t="inlineStr">
        <is>
          <t>(без привʼязки)</t>
        </is>
      </c>
      <c r="F1011" t="inlineStr">
        <is>
          <t>Процентні витрати за орендним зобов’язанням орендаря перед фізичними особами</t>
        </is>
      </c>
      <c r="G1011" t="inlineStr">
        <is>
          <t>П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inlineStr">
        <is>
          <t>2</t>
        </is>
      </c>
      <c r="B1012" t="inlineStr">
        <is>
          <t>АТ "Укрексімбанк"</t>
        </is>
      </c>
      <c r="C1012" t="inlineStr">
        <is>
          <t>Державний</t>
        </is>
      </c>
      <c r="D1012" t="inlineStr">
        <is>
          <t>7048</t>
        </is>
      </c>
      <c r="E1012" t="inlineStr">
        <is>
          <t>Загальні витрати (7)</t>
        </is>
      </c>
      <c r="F1012" t="inlineStr">
        <is>
          <t>Процентні витрати за орендним зобов’язанням орендаря перед фізичними особами</t>
        </is>
      </c>
      <c r="G1012" t="inlineStr">
        <is>
          <t>П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2</t>
        </is>
      </c>
      <c r="B1013" t="inlineStr">
        <is>
          <t>АТ "Укрексімбанк"</t>
        </is>
      </c>
      <c r="C1013" t="inlineStr">
        <is>
          <t>Державний</t>
        </is>
      </c>
      <c r="D1013" t="inlineStr">
        <is>
          <t>7060</t>
        </is>
      </c>
      <c r="E1013" t="inlineStr">
        <is>
          <t>(без привʼязки)</t>
        </is>
      </c>
      <c r="F1013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3" t="inlineStr">
        <is>
          <t>А</t>
        </is>
      </c>
      <c r="H1013" t="n">
        <v>114756.99285</v>
      </c>
      <c r="I1013" t="n">
        <v>114756.99285</v>
      </c>
      <c r="J1013" t="n">
        <v>0</v>
      </c>
      <c r="K1013" t="n">
        <v>4048.69512</v>
      </c>
      <c r="L1013" t="n">
        <v>4048.69512</v>
      </c>
      <c r="M1013" t="n">
        <v>0</v>
      </c>
      <c r="N1013" t="n">
        <v>1373575.60553</v>
      </c>
      <c r="O1013" t="n">
        <v>1373575.60553</v>
      </c>
      <c r="P1013" t="n">
        <v>0</v>
      </c>
    </row>
    <row r="1014">
      <c r="A1014" t="inlineStr">
        <is>
          <t>2</t>
        </is>
      </c>
      <c r="B1014" t="inlineStr">
        <is>
          <t>АТ "Укрексімбанк"</t>
        </is>
      </c>
      <c r="C1014" t="inlineStr">
        <is>
          <t>Державний</t>
        </is>
      </c>
      <c r="D1014" t="inlineStr">
        <is>
          <t>7060</t>
        </is>
      </c>
      <c r="E1014" t="inlineStr">
        <is>
          <t>Загальні витрати (7)</t>
        </is>
      </c>
      <c r="F10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4" t="inlineStr">
        <is>
          <t>А</t>
        </is>
      </c>
      <c r="H1014" t="n">
        <v>114756.99285</v>
      </c>
      <c r="I1014" t="n">
        <v>114756.99285</v>
      </c>
      <c r="J1014" t="n">
        <v>0</v>
      </c>
      <c r="K1014" t="n">
        <v>4048.69512</v>
      </c>
      <c r="L1014" t="n">
        <v>4048.69512</v>
      </c>
      <c r="M1014" t="n">
        <v>0</v>
      </c>
      <c r="N1014" t="n">
        <v>1373575.60553</v>
      </c>
      <c r="O1014" t="n">
        <v>1373575.60553</v>
      </c>
      <c r="P1014" t="n">
        <v>0</v>
      </c>
    </row>
    <row r="1015">
      <c r="A1015" t="inlineStr">
        <is>
          <t>2</t>
        </is>
      </c>
      <c r="B1015" t="inlineStr">
        <is>
          <t>АТ "Укрексімбанк"</t>
        </is>
      </c>
      <c r="C1015" t="inlineStr">
        <is>
          <t>Державний</t>
        </is>
      </c>
      <c r="D1015" t="inlineStr">
        <is>
          <t>7060</t>
        </is>
      </c>
      <c r="E1015" t="inlineStr">
        <is>
          <t>(без привʼязки)</t>
        </is>
      </c>
      <c r="F1015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5" t="inlineStr">
        <is>
          <t>П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inlineStr">
        <is>
          <t>2</t>
        </is>
      </c>
      <c r="B1016" t="inlineStr">
        <is>
          <t>АТ "Укрексімбанк"</t>
        </is>
      </c>
      <c r="C1016" t="inlineStr">
        <is>
          <t>Державний</t>
        </is>
      </c>
      <c r="D1016" t="inlineStr">
        <is>
          <t>7060</t>
        </is>
      </c>
      <c r="E1016" t="inlineStr">
        <is>
          <t>Загальні витрати (7)</t>
        </is>
      </c>
      <c r="F1016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6" t="inlineStr">
        <is>
          <t>П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2</t>
        </is>
      </c>
      <c r="B1017" t="inlineStr">
        <is>
          <t>АТ "Укрексімбанк"</t>
        </is>
      </c>
      <c r="C1017" t="inlineStr">
        <is>
          <t>Державний</t>
        </is>
      </c>
      <c r="D1017" t="inlineStr">
        <is>
          <t>7070</t>
        </is>
      </c>
      <c r="E1017" t="inlineStr">
        <is>
          <t>(без привʼязки)</t>
        </is>
      </c>
      <c r="F1017" t="inlineStr">
        <is>
          <t>Процентні витрати за коштами на вимогу небанківських фінансових установ</t>
        </is>
      </c>
      <c r="G1017" t="inlineStr">
        <is>
          <t>А</t>
        </is>
      </c>
      <c r="H1017" t="n">
        <v>41736.38289</v>
      </c>
      <c r="I1017" t="n">
        <v>41736.38289</v>
      </c>
      <c r="J1017" t="n">
        <v>0</v>
      </c>
      <c r="K1017" t="n">
        <v>71.57536</v>
      </c>
      <c r="L1017" t="n">
        <v>71.57536</v>
      </c>
      <c r="M1017" t="n">
        <v>0</v>
      </c>
      <c r="N1017" t="n">
        <v>362836.9648</v>
      </c>
      <c r="O1017" t="n">
        <v>362836.9648</v>
      </c>
      <c r="P1017" t="n">
        <v>0</v>
      </c>
    </row>
    <row r="1018">
      <c r="A1018" t="inlineStr">
        <is>
          <t>2</t>
        </is>
      </c>
      <c r="B1018" t="inlineStr">
        <is>
          <t>АТ "Укрексімбанк"</t>
        </is>
      </c>
      <c r="C1018" t="inlineStr">
        <is>
          <t>Державний</t>
        </is>
      </c>
      <c r="D1018" t="inlineStr">
        <is>
          <t>7070</t>
        </is>
      </c>
      <c r="E1018" t="inlineStr">
        <is>
          <t>Загальні витрати (7)</t>
        </is>
      </c>
      <c r="F1018" t="inlineStr">
        <is>
          <t>Процентні витрати за коштами на вимогу небанківських фінансових установ</t>
        </is>
      </c>
      <c r="G1018" t="inlineStr">
        <is>
          <t>А</t>
        </is>
      </c>
      <c r="H1018" t="n">
        <v>41736.38289</v>
      </c>
      <c r="I1018" t="n">
        <v>41736.38289</v>
      </c>
      <c r="J1018" t="n">
        <v>0</v>
      </c>
      <c r="K1018" t="n">
        <v>71.57536</v>
      </c>
      <c r="L1018" t="n">
        <v>71.57536</v>
      </c>
      <c r="M1018" t="n">
        <v>0</v>
      </c>
      <c r="N1018" t="n">
        <v>362836.9648</v>
      </c>
      <c r="O1018" t="n">
        <v>362836.9648</v>
      </c>
      <c r="P1018" t="n">
        <v>0</v>
      </c>
    </row>
    <row r="1019">
      <c r="A1019" t="inlineStr">
        <is>
          <t>2</t>
        </is>
      </c>
      <c r="B1019" t="inlineStr">
        <is>
          <t>АТ "Укрексімбанк"</t>
        </is>
      </c>
      <c r="C1019" t="inlineStr">
        <is>
          <t>Державний</t>
        </is>
      </c>
      <c r="D1019" t="inlineStr">
        <is>
          <t>7071</t>
        </is>
      </c>
      <c r="E1019" t="inlineStr">
        <is>
          <t>(без привʼязки)</t>
        </is>
      </c>
      <c r="F1019" t="inlineStr">
        <is>
          <t>Процентні витрати за строковими коштами небанківських фінансових установ</t>
        </is>
      </c>
      <c r="G1019" t="inlineStr">
        <is>
          <t>А</t>
        </is>
      </c>
      <c r="H1019" t="n">
        <v>26051.70565</v>
      </c>
      <c r="I1019" t="n">
        <v>26051.70565</v>
      </c>
      <c r="J1019" t="n">
        <v>0</v>
      </c>
      <c r="K1019" t="n">
        <v>107.54123</v>
      </c>
      <c r="L1019" t="n">
        <v>107.54123</v>
      </c>
      <c r="M1019" t="n">
        <v>0</v>
      </c>
      <c r="N1019" t="n">
        <v>241515.82667</v>
      </c>
      <c r="O1019" t="n">
        <v>241515.82667</v>
      </c>
      <c r="P1019" t="n">
        <v>0</v>
      </c>
    </row>
    <row r="1020">
      <c r="A1020" t="inlineStr">
        <is>
          <t>2</t>
        </is>
      </c>
      <c r="B1020" t="inlineStr">
        <is>
          <t>АТ "Укрексімбанк"</t>
        </is>
      </c>
      <c r="C1020" t="inlineStr">
        <is>
          <t>Державний</t>
        </is>
      </c>
      <c r="D1020" t="inlineStr">
        <is>
          <t>7071</t>
        </is>
      </c>
      <c r="E1020" t="inlineStr">
        <is>
          <t>Загальні витрати (7)</t>
        </is>
      </c>
      <c r="F1020" t="inlineStr">
        <is>
          <t>Процентні витрати за строковими коштами небанківських фінансових установ</t>
        </is>
      </c>
      <c r="G1020" t="inlineStr">
        <is>
          <t>А</t>
        </is>
      </c>
      <c r="H1020" t="n">
        <v>26051.70565</v>
      </c>
      <c r="I1020" t="n">
        <v>26051.70565</v>
      </c>
      <c r="J1020" t="n">
        <v>0</v>
      </c>
      <c r="K1020" t="n">
        <v>107.54123</v>
      </c>
      <c r="L1020" t="n">
        <v>107.54123</v>
      </c>
      <c r="M1020" t="n">
        <v>0</v>
      </c>
      <c r="N1020" t="n">
        <v>241515.82667</v>
      </c>
      <c r="O1020" t="n">
        <v>241515.82667</v>
      </c>
      <c r="P1020" t="n">
        <v>0</v>
      </c>
    </row>
    <row r="1021">
      <c r="A1021" t="inlineStr">
        <is>
          <t>2</t>
        </is>
      </c>
      <c r="B1021" t="inlineStr">
        <is>
          <t>АТ "Укрексімбанк"</t>
        </is>
      </c>
      <c r="C1021" t="inlineStr">
        <is>
          <t>Державний</t>
        </is>
      </c>
      <c r="D1021" t="inlineStr">
        <is>
          <t>7071</t>
        </is>
      </c>
      <c r="E1021" t="inlineStr">
        <is>
          <t>(без привʼязки)</t>
        </is>
      </c>
      <c r="F1021" t="inlineStr">
        <is>
          <t>Процентні витрати за строковими коштами небанківських фінансових установ</t>
        </is>
      </c>
      <c r="G1021" t="inlineStr">
        <is>
          <t>П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inlineStr">
        <is>
          <t>2</t>
        </is>
      </c>
      <c r="B1022" t="inlineStr">
        <is>
          <t>АТ "Укрексімбанк"</t>
        </is>
      </c>
      <c r="C1022" t="inlineStr">
        <is>
          <t>Державний</t>
        </is>
      </c>
      <c r="D1022" t="inlineStr">
        <is>
          <t>7071</t>
        </is>
      </c>
      <c r="E1022" t="inlineStr">
        <is>
          <t>Загальні витрати (7)</t>
        </is>
      </c>
      <c r="F1022" t="inlineStr">
        <is>
          <t>Процентні витрати за строковими коштами небанківських фінансових установ</t>
        </is>
      </c>
      <c r="G1022" t="inlineStr">
        <is>
          <t>П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inlineStr">
        <is>
          <t>2</t>
        </is>
      </c>
      <c r="B1023" t="inlineStr">
        <is>
          <t>АТ "Укрексімбанк"</t>
        </is>
      </c>
      <c r="C1023" t="inlineStr">
        <is>
          <t>Державний</t>
        </is>
      </c>
      <c r="D1023" t="inlineStr">
        <is>
          <t>7120</t>
        </is>
      </c>
      <c r="E1023" t="inlineStr">
        <is>
          <t>(без привʼязки)</t>
        </is>
      </c>
      <c r="F1023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1023" t="inlineStr">
        <is>
          <t>А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inlineStr">
        <is>
          <t>2</t>
        </is>
      </c>
      <c r="B1024" t="inlineStr">
        <is>
          <t>АТ "Укрексімбанк"</t>
        </is>
      </c>
      <c r="C1024" t="inlineStr">
        <is>
          <t>Державний</t>
        </is>
      </c>
      <c r="D1024" t="inlineStr">
        <is>
          <t>7120</t>
        </is>
      </c>
      <c r="E1024" t="inlineStr">
        <is>
          <t>Загальні витрати (7)</t>
        </is>
      </c>
      <c r="F102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1024" t="inlineStr">
        <is>
          <t>А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inlineStr">
        <is>
          <t>2</t>
        </is>
      </c>
      <c r="B1025" t="inlineStr">
        <is>
          <t>АТ "Укрексімбанк"</t>
        </is>
      </c>
      <c r="C1025" t="inlineStr">
        <is>
          <t>Державний</t>
        </is>
      </c>
      <c r="D1025" t="inlineStr">
        <is>
          <t>7122</t>
        </is>
      </c>
      <c r="E1025" t="inlineStr">
        <is>
          <t>(без привʼязки)</t>
        </is>
      </c>
      <c r="F1025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1025" t="inlineStr">
        <is>
          <t>А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inlineStr">
        <is>
          <t>2</t>
        </is>
      </c>
      <c r="B1026" t="inlineStr">
        <is>
          <t>АТ "Укрексімбанк"</t>
        </is>
      </c>
      <c r="C1026" t="inlineStr">
        <is>
          <t>Державний</t>
        </is>
      </c>
      <c r="D1026" t="inlineStr">
        <is>
          <t>7122</t>
        </is>
      </c>
      <c r="E1026" t="inlineStr">
        <is>
          <t>Загальні витрати (7)</t>
        </is>
      </c>
      <c r="F1026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1026" t="inlineStr">
        <is>
          <t>А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inlineStr">
        <is>
          <t>2</t>
        </is>
      </c>
      <c r="B1027" t="inlineStr">
        <is>
          <t>АТ "Укрексімбанк"</t>
        </is>
      </c>
      <c r="C1027" t="inlineStr">
        <is>
          <t>Державний</t>
        </is>
      </c>
      <c r="D1027" t="inlineStr">
        <is>
          <t>7140</t>
        </is>
      </c>
      <c r="E1027" t="inlineStr">
        <is>
          <t>(без привʼязки)</t>
        </is>
      </c>
      <c r="F1027" t="inlineStr">
        <is>
          <t>Процентні витрати за субординованим боргом</t>
        </is>
      </c>
      <c r="G1027" t="inlineStr">
        <is>
          <t>А</t>
        </is>
      </c>
      <c r="H1027" t="n">
        <v>38897.56451</v>
      </c>
      <c r="I1027" t="n">
        <v>38897.56451</v>
      </c>
      <c r="J1027" t="n">
        <v>0</v>
      </c>
      <c r="K1027" t="n">
        <v>681.36393</v>
      </c>
      <c r="L1027" t="n">
        <v>681.36393</v>
      </c>
      <c r="M1027" t="n">
        <v>0</v>
      </c>
      <c r="N1027" t="n">
        <v>417544.2157</v>
      </c>
      <c r="O1027" t="n">
        <v>417544.2157</v>
      </c>
      <c r="P1027" t="n">
        <v>0</v>
      </c>
    </row>
    <row r="1028">
      <c r="A1028" t="inlineStr">
        <is>
          <t>2</t>
        </is>
      </c>
      <c r="B1028" t="inlineStr">
        <is>
          <t>АТ "Укрексімбанк"</t>
        </is>
      </c>
      <c r="C1028" t="inlineStr">
        <is>
          <t>Державний</t>
        </is>
      </c>
      <c r="D1028" t="inlineStr">
        <is>
          <t>7140</t>
        </is>
      </c>
      <c r="E1028" t="inlineStr">
        <is>
          <t>Загальні витрати (7)</t>
        </is>
      </c>
      <c r="F1028" t="inlineStr">
        <is>
          <t>Процентні витрати за субординованим боргом</t>
        </is>
      </c>
      <c r="G1028" t="inlineStr">
        <is>
          <t>А</t>
        </is>
      </c>
      <c r="H1028" t="n">
        <v>38897.56451</v>
      </c>
      <c r="I1028" t="n">
        <v>38897.56451</v>
      </c>
      <c r="J1028" t="n">
        <v>0</v>
      </c>
      <c r="K1028" t="n">
        <v>681.36393</v>
      </c>
      <c r="L1028" t="n">
        <v>681.36393</v>
      </c>
      <c r="M1028" t="n">
        <v>0</v>
      </c>
      <c r="N1028" t="n">
        <v>417544.2157</v>
      </c>
      <c r="O1028" t="n">
        <v>417544.2157</v>
      </c>
      <c r="P1028" t="n">
        <v>0</v>
      </c>
    </row>
    <row r="1029">
      <c r="A1029" t="inlineStr">
        <is>
          <t>2</t>
        </is>
      </c>
      <c r="B1029" t="inlineStr">
        <is>
          <t>АТ "Укрексімбанк"</t>
        </is>
      </c>
      <c r="C1029" t="inlineStr">
        <is>
          <t>Державний</t>
        </is>
      </c>
      <c r="D1029" t="inlineStr">
        <is>
          <t>7140</t>
        </is>
      </c>
      <c r="E1029" t="inlineStr">
        <is>
          <t>(без привʼязки)</t>
        </is>
      </c>
      <c r="F1029" t="inlineStr">
        <is>
          <t>Процентні витрати за субординованим боргом</t>
        </is>
      </c>
      <c r="G1029" t="inlineStr">
        <is>
          <t>П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inlineStr">
        <is>
          <t>2</t>
        </is>
      </c>
      <c r="B1030" t="inlineStr">
        <is>
          <t>АТ "Укрексімбанк"</t>
        </is>
      </c>
      <c r="C1030" t="inlineStr">
        <is>
          <t>Державний</t>
        </is>
      </c>
      <c r="D1030" t="inlineStr">
        <is>
          <t>7140</t>
        </is>
      </c>
      <c r="E1030" t="inlineStr">
        <is>
          <t>Загальні витрати (7)</t>
        </is>
      </c>
      <c r="F1030" t="inlineStr">
        <is>
          <t>Процентні витрати за субординованим боргом</t>
        </is>
      </c>
      <c r="G1030" t="inlineStr">
        <is>
          <t>П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2</t>
        </is>
      </c>
      <c r="B1031" t="inlineStr">
        <is>
          <t>АТ "Укрексімбанк"</t>
        </is>
      </c>
      <c r="C1031" t="inlineStr">
        <is>
          <t>Державний</t>
        </is>
      </c>
      <c r="D1031" t="inlineStr">
        <is>
          <t>7141</t>
        </is>
      </c>
      <c r="E1031" t="inlineStr">
        <is>
          <t>(без привʼязки)</t>
        </is>
      </c>
      <c r="F1031" t="inlineStr">
        <is>
          <t>Інші процентні витрати</t>
        </is>
      </c>
      <c r="G1031" t="inlineStr">
        <is>
          <t>А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102.56936</v>
      </c>
      <c r="O1031" t="n">
        <v>102.56936</v>
      </c>
      <c r="P1031" t="n">
        <v>0</v>
      </c>
    </row>
    <row r="1032">
      <c r="A1032" t="inlineStr">
        <is>
          <t>2</t>
        </is>
      </c>
      <c r="B1032" t="inlineStr">
        <is>
          <t>АТ "Укрексімбанк"</t>
        </is>
      </c>
      <c r="C1032" t="inlineStr">
        <is>
          <t>Державний</t>
        </is>
      </c>
      <c r="D1032" t="inlineStr">
        <is>
          <t>7141</t>
        </is>
      </c>
      <c r="E1032" t="inlineStr">
        <is>
          <t>Загальні витрати (7)</t>
        </is>
      </c>
      <c r="F1032" t="inlineStr">
        <is>
          <t>Інші процентні витрати</t>
        </is>
      </c>
      <c r="G1032" t="inlineStr">
        <is>
          <t>А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102.56936</v>
      </c>
      <c r="O1032" t="n">
        <v>102.56936</v>
      </c>
      <c r="P1032" t="n">
        <v>0</v>
      </c>
    </row>
    <row r="1033">
      <c r="A1033" t="inlineStr">
        <is>
          <t>2</t>
        </is>
      </c>
      <c r="B1033" t="inlineStr">
        <is>
          <t>АТ "Укрексімбанк"</t>
        </is>
      </c>
      <c r="C1033" t="inlineStr">
        <is>
          <t>Державний</t>
        </is>
      </c>
      <c r="D1033" t="inlineStr">
        <is>
          <t>7142</t>
        </is>
      </c>
      <c r="E1033" t="inlineStr">
        <is>
          <t>(без привʼязки)</t>
        </is>
      </c>
      <c r="F1033" t="inlineStr">
        <is>
          <t>Процентні витрати за капітальним інструментом з умовами списання/конверсії</t>
        </is>
      </c>
      <c r="G1033" t="inlineStr">
        <is>
          <t>А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2</t>
        </is>
      </c>
      <c r="B1034" t="inlineStr">
        <is>
          <t>АТ "Укрексімбанк"</t>
        </is>
      </c>
      <c r="C1034" t="inlineStr">
        <is>
          <t>Державний</t>
        </is>
      </c>
      <c r="D1034" t="inlineStr">
        <is>
          <t>7142</t>
        </is>
      </c>
      <c r="E1034" t="inlineStr">
        <is>
          <t>Загальні витрати (7)</t>
        </is>
      </c>
      <c r="F1034" t="inlineStr">
        <is>
          <t>Процентні витрати за капітальним інструментом з умовами списання/конверсії</t>
        </is>
      </c>
      <c r="G1034" t="inlineStr">
        <is>
          <t>А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2</t>
        </is>
      </c>
      <c r="B1035" t="inlineStr">
        <is>
          <t>АТ "Укрексімбанк"</t>
        </is>
      </c>
      <c r="C1035" t="inlineStr">
        <is>
          <t>Державний</t>
        </is>
      </c>
      <c r="D1035" t="inlineStr">
        <is>
          <t>7300</t>
        </is>
      </c>
      <c r="E1035" t="inlineStr">
        <is>
          <t>(без привʼязки)</t>
        </is>
      </c>
      <c r="F1035" t="inlineStr">
        <is>
          <t>Витрати на СЕП</t>
        </is>
      </c>
      <c r="G1035" t="inlineStr">
        <is>
          <t>А</t>
        </is>
      </c>
      <c r="H1035" t="n">
        <v>1181.0727</v>
      </c>
      <c r="I1035" t="n">
        <v>1181.0727</v>
      </c>
      <c r="J1035" t="n">
        <v>0</v>
      </c>
      <c r="K1035" t="n">
        <v>0</v>
      </c>
      <c r="L1035" t="n">
        <v>0</v>
      </c>
      <c r="M1035" t="n">
        <v>0</v>
      </c>
      <c r="N1035" t="n">
        <v>12074.61724</v>
      </c>
      <c r="O1035" t="n">
        <v>12074.61724</v>
      </c>
      <c r="P1035" t="n">
        <v>0</v>
      </c>
    </row>
    <row r="1036">
      <c r="A1036" t="inlineStr">
        <is>
          <t>2</t>
        </is>
      </c>
      <c r="B1036" t="inlineStr">
        <is>
          <t>АТ "Укрексімбанк"</t>
        </is>
      </c>
      <c r="C1036" t="inlineStr">
        <is>
          <t>Державний</t>
        </is>
      </c>
      <c r="D1036" t="inlineStr">
        <is>
          <t>7300</t>
        </is>
      </c>
      <c r="E1036" t="inlineStr">
        <is>
          <t>Загальні витрати (7)</t>
        </is>
      </c>
      <c r="F1036" t="inlineStr">
        <is>
          <t>Витрати на СЕП</t>
        </is>
      </c>
      <c r="G1036" t="inlineStr">
        <is>
          <t>А</t>
        </is>
      </c>
      <c r="H1036" t="n">
        <v>1181.0727</v>
      </c>
      <c r="I1036" t="n">
        <v>1181.0727</v>
      </c>
      <c r="J1036" t="n">
        <v>0</v>
      </c>
      <c r="K1036" t="n">
        <v>0</v>
      </c>
      <c r="L1036" t="n">
        <v>0</v>
      </c>
      <c r="M1036" t="n">
        <v>0</v>
      </c>
      <c r="N1036" t="n">
        <v>12074.61724</v>
      </c>
      <c r="O1036" t="n">
        <v>12074.61724</v>
      </c>
      <c r="P1036" t="n">
        <v>0</v>
      </c>
    </row>
    <row r="1037">
      <c r="A1037" t="inlineStr">
        <is>
          <t>2</t>
        </is>
      </c>
      <c r="B1037" t="inlineStr">
        <is>
          <t>АТ "Укрексімбанк"</t>
        </is>
      </c>
      <c r="C1037" t="inlineStr">
        <is>
          <t>Державний</t>
        </is>
      </c>
      <c r="D1037" t="inlineStr">
        <is>
          <t>7301</t>
        </is>
      </c>
      <c r="E1037" t="inlineStr">
        <is>
          <t>(без привʼязки)</t>
        </is>
      </c>
      <c r="F1037" t="inlineStr">
        <is>
          <t>Витрати на інші системи банківського зв'язку</t>
        </is>
      </c>
      <c r="G1037" t="inlineStr">
        <is>
          <t>А</t>
        </is>
      </c>
      <c r="H1037" t="n">
        <v>2360.8518</v>
      </c>
      <c r="I1037" t="n">
        <v>2360.8518</v>
      </c>
      <c r="J1037" t="n">
        <v>0</v>
      </c>
      <c r="K1037" t="n">
        <v>0</v>
      </c>
      <c r="L1037" t="n">
        <v>0</v>
      </c>
      <c r="M1037" t="n">
        <v>0</v>
      </c>
      <c r="N1037" t="n">
        <v>23573.16823</v>
      </c>
      <c r="O1037" t="n">
        <v>23573.16823</v>
      </c>
      <c r="P1037" t="n">
        <v>0</v>
      </c>
    </row>
    <row r="1038">
      <c r="A1038" t="inlineStr">
        <is>
          <t>2</t>
        </is>
      </c>
      <c r="B1038" t="inlineStr">
        <is>
          <t>АТ "Укрексімбанк"</t>
        </is>
      </c>
      <c r="C1038" t="inlineStr">
        <is>
          <t>Державний</t>
        </is>
      </c>
      <c r="D1038" t="inlineStr">
        <is>
          <t>7301</t>
        </is>
      </c>
      <c r="E1038" t="inlineStr">
        <is>
          <t>Загальні витрати (7)</t>
        </is>
      </c>
      <c r="F1038" t="inlineStr">
        <is>
          <t>Витрати на інші системи банківського зв'язку</t>
        </is>
      </c>
      <c r="G1038" t="inlineStr">
        <is>
          <t>А</t>
        </is>
      </c>
      <c r="H1038" t="n">
        <v>2360.8518</v>
      </c>
      <c r="I1038" t="n">
        <v>2360.8518</v>
      </c>
      <c r="J1038" t="n">
        <v>0</v>
      </c>
      <c r="K1038" t="n">
        <v>0</v>
      </c>
      <c r="L1038" t="n">
        <v>0</v>
      </c>
      <c r="M1038" t="n">
        <v>0</v>
      </c>
      <c r="N1038" t="n">
        <v>23573.16823</v>
      </c>
      <c r="O1038" t="n">
        <v>23573.16823</v>
      </c>
      <c r="P1038" t="n">
        <v>0</v>
      </c>
    </row>
    <row r="1039">
      <c r="A1039" t="inlineStr">
        <is>
          <t>2</t>
        </is>
      </c>
      <c r="B1039" t="inlineStr">
        <is>
          <t>АТ "Укрексімбанк"</t>
        </is>
      </c>
      <c r="C1039" t="inlineStr">
        <is>
          <t>Державний</t>
        </is>
      </c>
      <c r="D1039" t="inlineStr">
        <is>
          <t>7320</t>
        </is>
      </c>
      <c r="E1039" t="inlineStr">
        <is>
          <t>(без привʼязки)</t>
        </is>
      </c>
      <c r="F1039" t="inlineStr">
        <is>
          <t>Витрати від модифікації фінансових активів</t>
        </is>
      </c>
      <c r="G1039" t="inlineStr">
        <is>
          <t>А</t>
        </is>
      </c>
      <c r="H1039" t="n">
        <v>184593.97868</v>
      </c>
      <c r="I1039" t="n">
        <v>184593.97868</v>
      </c>
      <c r="J1039" t="n">
        <v>0</v>
      </c>
      <c r="K1039" t="n">
        <v>0.08734</v>
      </c>
      <c r="L1039" t="n">
        <v>0.08734</v>
      </c>
      <c r="M1039" t="n">
        <v>0</v>
      </c>
      <c r="N1039" t="n">
        <v>271743.70224</v>
      </c>
      <c r="O1039" t="n">
        <v>271743.70224</v>
      </c>
      <c r="P1039" t="n">
        <v>0</v>
      </c>
    </row>
    <row r="1040">
      <c r="A1040" t="inlineStr">
        <is>
          <t>2</t>
        </is>
      </c>
      <c r="B1040" t="inlineStr">
        <is>
          <t>АТ "Укрексімбанк"</t>
        </is>
      </c>
      <c r="C1040" t="inlineStr">
        <is>
          <t>Державний</t>
        </is>
      </c>
      <c r="D1040" t="inlineStr">
        <is>
          <t>7320</t>
        </is>
      </c>
      <c r="E1040" t="inlineStr">
        <is>
          <t>Загальні витрати (7)</t>
        </is>
      </c>
      <c r="F1040" t="inlineStr">
        <is>
          <t>Витрати від модифікації фінансових активів</t>
        </is>
      </c>
      <c r="G1040" t="inlineStr">
        <is>
          <t>А</t>
        </is>
      </c>
      <c r="H1040" t="n">
        <v>184593.97868</v>
      </c>
      <c r="I1040" t="n">
        <v>184593.97868</v>
      </c>
      <c r="J1040" t="n">
        <v>0</v>
      </c>
      <c r="K1040" t="n">
        <v>0.08734</v>
      </c>
      <c r="L1040" t="n">
        <v>0.08734</v>
      </c>
      <c r="M1040" t="n">
        <v>0</v>
      </c>
      <c r="N1040" t="n">
        <v>271743.70224</v>
      </c>
      <c r="O1040" t="n">
        <v>271743.70224</v>
      </c>
      <c r="P1040" t="n">
        <v>0</v>
      </c>
    </row>
    <row r="1041">
      <c r="A1041" t="inlineStr">
        <is>
          <t>2</t>
        </is>
      </c>
      <c r="B1041" t="inlineStr">
        <is>
          <t>АТ "Укрексімбанк"</t>
        </is>
      </c>
      <c r="C1041" t="inlineStr">
        <is>
          <t>Державний</t>
        </is>
      </c>
      <c r="D1041" t="inlineStr">
        <is>
          <t>7330</t>
        </is>
      </c>
      <c r="E1041" t="inlineStr">
        <is>
          <t>(без привʼязки)</t>
        </is>
      </c>
      <c r="F1041" t="inlineStr">
        <is>
          <t>Витрати від модифікації фінансових зобов'язань</t>
        </is>
      </c>
      <c r="G1041" t="inlineStr">
        <is>
          <t>А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inlineStr">
        <is>
          <t>2</t>
        </is>
      </c>
      <c r="B1042" t="inlineStr">
        <is>
          <t>АТ "Укрексімбанк"</t>
        </is>
      </c>
      <c r="C1042" t="inlineStr">
        <is>
          <t>Державний</t>
        </is>
      </c>
      <c r="D1042" t="inlineStr">
        <is>
          <t>7330</t>
        </is>
      </c>
      <c r="E1042" t="inlineStr">
        <is>
          <t>Загальні витрати (7)</t>
        </is>
      </c>
      <c r="F1042" t="inlineStr">
        <is>
          <t>Витрати від модифікації фінансових зобов'язань</t>
        </is>
      </c>
      <c r="G1042" t="inlineStr">
        <is>
          <t>А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2</t>
        </is>
      </c>
      <c r="B1043" t="inlineStr">
        <is>
          <t>АТ "Укрексімбанк"</t>
        </is>
      </c>
      <c r="C1043" t="inlineStr">
        <is>
          <t>Державний</t>
        </is>
      </c>
      <c r="D1043" t="inlineStr">
        <is>
          <t>7340</t>
        </is>
      </c>
      <c r="E1043" t="inlineStr">
        <is>
          <t>(без привʼязки)</t>
        </is>
      </c>
      <c r="F1043" t="inlineStr">
        <is>
          <t>Витрати від припинення визнання фінансових активів</t>
        </is>
      </c>
      <c r="G1043" t="inlineStr">
        <is>
          <t>А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2</t>
        </is>
      </c>
      <c r="B1044" t="inlineStr">
        <is>
          <t>АТ "Укрексімбанк"</t>
        </is>
      </c>
      <c r="C1044" t="inlineStr">
        <is>
          <t>Державний</t>
        </is>
      </c>
      <c r="D1044" t="inlineStr">
        <is>
          <t>7340</t>
        </is>
      </c>
      <c r="E1044" t="inlineStr">
        <is>
          <t>Загальні витрати (7)</t>
        </is>
      </c>
      <c r="F1044" t="inlineStr">
        <is>
          <t>Витрати від припинення визнання фінансових активів</t>
        </is>
      </c>
      <c r="G1044" t="inlineStr">
        <is>
          <t>А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inlineStr">
        <is>
          <t>2</t>
        </is>
      </c>
      <c r="B1045" t="inlineStr">
        <is>
          <t>АТ "Укрексімбанк"</t>
        </is>
      </c>
      <c r="C1045" t="inlineStr">
        <is>
          <t>Державний</t>
        </is>
      </c>
      <c r="D1045" t="inlineStr">
        <is>
          <t>7350</t>
        </is>
      </c>
      <c r="E1045" t="inlineStr">
        <is>
          <t>(без привʼязки)</t>
        </is>
      </c>
      <c r="F1045" t="inlineStr">
        <is>
          <t>Витрати від припинення визнання фінансових зобов'язань</t>
        </is>
      </c>
      <c r="G1045" t="inlineStr">
        <is>
          <t>А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inlineStr">
        <is>
          <t>2</t>
        </is>
      </c>
      <c r="B1046" t="inlineStr">
        <is>
          <t>АТ "Укрексімбанк"</t>
        </is>
      </c>
      <c r="C1046" t="inlineStr">
        <is>
          <t>Державний</t>
        </is>
      </c>
      <c r="D1046" t="inlineStr">
        <is>
          <t>7350</t>
        </is>
      </c>
      <c r="E1046" t="inlineStr">
        <is>
          <t>Загальні витрати (7)</t>
        </is>
      </c>
      <c r="F1046" t="inlineStr">
        <is>
          <t>Витрати від припинення визнання фінансових зобов'язань</t>
        </is>
      </c>
      <c r="G1046" t="inlineStr">
        <is>
          <t>А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2</t>
        </is>
      </c>
      <c r="B1047" t="inlineStr">
        <is>
          <t>АТ "Укрексімбанк"</t>
        </is>
      </c>
      <c r="C1047" t="inlineStr">
        <is>
          <t>Державний</t>
        </is>
      </c>
      <c r="D1047" t="inlineStr">
        <is>
          <t>7360</t>
        </is>
      </c>
      <c r="E1047" t="inlineStr">
        <is>
          <t>(без привʼязки)</t>
        </is>
      </c>
      <c r="F1047" t="inlineStr">
        <is>
          <t>Витрати від модифікації лізингу (оренди)</t>
        </is>
      </c>
      <c r="G1047" t="inlineStr">
        <is>
          <t>А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8.07274</v>
      </c>
      <c r="O1047" t="n">
        <v>8.07274</v>
      </c>
      <c r="P1047" t="n">
        <v>0</v>
      </c>
    </row>
    <row r="1048">
      <c r="A1048" t="inlineStr">
        <is>
          <t>2</t>
        </is>
      </c>
      <c r="B1048" t="inlineStr">
        <is>
          <t>АТ "Укрексімбанк"</t>
        </is>
      </c>
      <c r="C1048" t="inlineStr">
        <is>
          <t>Державний</t>
        </is>
      </c>
      <c r="D1048" t="inlineStr">
        <is>
          <t>7360</t>
        </is>
      </c>
      <c r="E1048" t="inlineStr">
        <is>
          <t>Загальні витрати (7)</t>
        </is>
      </c>
      <c r="F1048" t="inlineStr">
        <is>
          <t>Витрати від модифікації лізингу (оренди)</t>
        </is>
      </c>
      <c r="G1048" t="inlineStr">
        <is>
          <t>А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8.07274</v>
      </c>
      <c r="O1048" t="n">
        <v>8.07274</v>
      </c>
      <c r="P1048" t="n">
        <v>0</v>
      </c>
    </row>
    <row r="1049">
      <c r="A1049" t="inlineStr">
        <is>
          <t>2</t>
        </is>
      </c>
      <c r="B1049" t="inlineStr">
        <is>
          <t>АТ "Укрексімбанк"</t>
        </is>
      </c>
      <c r="C1049" t="inlineStr">
        <is>
          <t>Державний</t>
        </is>
      </c>
      <c r="D1049" t="inlineStr">
        <is>
          <t>7390</t>
        </is>
      </c>
      <c r="E1049" t="inlineStr">
        <is>
          <t>(без привʼязки)</t>
        </is>
      </c>
      <c r="F1049" t="inlineStr">
        <is>
          <t>Витрати під час первісного визнання фінансових активів за вартістю, вищою/нижчою, ніж справедлива</t>
        </is>
      </c>
      <c r="G1049" t="inlineStr">
        <is>
          <t>А</t>
        </is>
      </c>
      <c r="H1049" t="n">
        <v>6055.04808</v>
      </c>
      <c r="I1049" t="n">
        <v>6055.04808</v>
      </c>
      <c r="J1049" t="n">
        <v>0</v>
      </c>
      <c r="K1049" t="n">
        <v>0</v>
      </c>
      <c r="L1049" t="n">
        <v>0</v>
      </c>
      <c r="M1049" t="n">
        <v>0</v>
      </c>
      <c r="N1049" t="n">
        <v>355605.99348</v>
      </c>
      <c r="O1049" t="n">
        <v>355605.99348</v>
      </c>
      <c r="P1049" t="n">
        <v>0</v>
      </c>
    </row>
    <row r="1050">
      <c r="A1050" t="inlineStr">
        <is>
          <t>2</t>
        </is>
      </c>
      <c r="B1050" t="inlineStr">
        <is>
          <t>АТ "Укрексімбанк"</t>
        </is>
      </c>
      <c r="C1050" t="inlineStr">
        <is>
          <t>Державний</t>
        </is>
      </c>
      <c r="D1050" t="inlineStr">
        <is>
          <t>7390</t>
        </is>
      </c>
      <c r="E1050" t="inlineStr">
        <is>
          <t>Загальні витрати (7)</t>
        </is>
      </c>
      <c r="F1050" t="inlineStr">
        <is>
          <t>Витрати під час первісного визнання фінансових активів за вартістю, вищою/нижчою, ніж справедлива</t>
        </is>
      </c>
      <c r="G1050" t="inlineStr">
        <is>
          <t>А</t>
        </is>
      </c>
      <c r="H1050" t="n">
        <v>6055.04808</v>
      </c>
      <c r="I1050" t="n">
        <v>6055.04808</v>
      </c>
      <c r="J1050" t="n">
        <v>0</v>
      </c>
      <c r="K1050" t="n">
        <v>0</v>
      </c>
      <c r="L1050" t="n">
        <v>0</v>
      </c>
      <c r="M1050" t="n">
        <v>0</v>
      </c>
      <c r="N1050" t="n">
        <v>355605.99348</v>
      </c>
      <c r="O1050" t="n">
        <v>355605.99348</v>
      </c>
      <c r="P1050" t="n">
        <v>0</v>
      </c>
    </row>
    <row r="1051">
      <c r="A1051" t="inlineStr">
        <is>
          <t>2</t>
        </is>
      </c>
      <c r="B1051" t="inlineStr">
        <is>
          <t>АТ "Укрексімбанк"</t>
        </is>
      </c>
      <c r="C1051" t="inlineStr">
        <is>
          <t>Державний</t>
        </is>
      </c>
      <c r="D1051" t="inlineStr">
        <is>
          <t>7391</t>
        </is>
      </c>
      <c r="E1051" t="inlineStr">
        <is>
          <t>(без привʼязки)</t>
        </is>
      </c>
      <c r="F1051" t="inlineStr">
        <is>
          <t>Витрати на інкасацію та перевезення цінностей</t>
        </is>
      </c>
      <c r="G1051" t="inlineStr">
        <is>
          <t>А</t>
        </is>
      </c>
      <c r="H1051" t="n">
        <v>1126.46</v>
      </c>
      <c r="I1051" t="n">
        <v>1126.46</v>
      </c>
      <c r="J1051" t="n">
        <v>0</v>
      </c>
      <c r="K1051" t="n">
        <v>0</v>
      </c>
      <c r="L1051" t="n">
        <v>0</v>
      </c>
      <c r="M1051" t="n">
        <v>0</v>
      </c>
      <c r="N1051" t="n">
        <v>14369.9421</v>
      </c>
      <c r="O1051" t="n">
        <v>14369.9421</v>
      </c>
      <c r="P1051" t="n">
        <v>0</v>
      </c>
    </row>
    <row r="1052">
      <c r="A1052" t="inlineStr">
        <is>
          <t>2</t>
        </is>
      </c>
      <c r="B1052" t="inlineStr">
        <is>
          <t>АТ "Укрексімбанк"</t>
        </is>
      </c>
      <c r="C1052" t="inlineStr">
        <is>
          <t>Державний</t>
        </is>
      </c>
      <c r="D1052" t="inlineStr">
        <is>
          <t>7391</t>
        </is>
      </c>
      <c r="E1052" t="inlineStr">
        <is>
          <t>Загальні витрати (7)</t>
        </is>
      </c>
      <c r="F1052" t="inlineStr">
        <is>
          <t>Витрати на інкасацію та перевезення цінностей</t>
        </is>
      </c>
      <c r="G1052" t="inlineStr">
        <is>
          <t>А</t>
        </is>
      </c>
      <c r="H1052" t="n">
        <v>1126.46</v>
      </c>
      <c r="I1052" t="n">
        <v>1126.46</v>
      </c>
      <c r="J1052" t="n">
        <v>0</v>
      </c>
      <c r="K1052" t="n">
        <v>0</v>
      </c>
      <c r="L1052" t="n">
        <v>0</v>
      </c>
      <c r="M1052" t="n">
        <v>0</v>
      </c>
      <c r="N1052" t="n">
        <v>14369.9421</v>
      </c>
      <c r="O1052" t="n">
        <v>14369.9421</v>
      </c>
      <c r="P1052" t="n">
        <v>0</v>
      </c>
    </row>
    <row r="1053">
      <c r="A1053" t="inlineStr">
        <is>
          <t>2</t>
        </is>
      </c>
      <c r="B1053" t="inlineStr">
        <is>
          <t>АТ "Укрексімбанк"</t>
        </is>
      </c>
      <c r="C1053" t="inlineStr">
        <is>
          <t>Державний</t>
        </is>
      </c>
      <c r="D1053" t="inlineStr">
        <is>
          <t>7392</t>
        </is>
      </c>
      <c r="E1053" t="inlineStr">
        <is>
          <t>(без привʼязки)</t>
        </is>
      </c>
      <c r="F1053" t="inlineStr">
        <is>
          <t>Витрати на аудит</t>
        </is>
      </c>
      <c r="G1053" t="inlineStr">
        <is>
          <t>А</t>
        </is>
      </c>
      <c r="H1053" t="n">
        <v>3360</v>
      </c>
      <c r="I1053" t="n">
        <v>3360</v>
      </c>
      <c r="J1053" t="n">
        <v>0</v>
      </c>
      <c r="K1053" t="n">
        <v>0</v>
      </c>
      <c r="L1053" t="n">
        <v>0</v>
      </c>
      <c r="M1053" t="n">
        <v>0</v>
      </c>
      <c r="N1053" t="n">
        <v>42083.15165</v>
      </c>
      <c r="O1053" t="n">
        <v>42083.15165</v>
      </c>
      <c r="P1053" t="n">
        <v>0</v>
      </c>
    </row>
    <row r="1054">
      <c r="A1054" t="inlineStr">
        <is>
          <t>2</t>
        </is>
      </c>
      <c r="B1054" t="inlineStr">
        <is>
          <t>АТ "Укрексімбанк"</t>
        </is>
      </c>
      <c r="C1054" t="inlineStr">
        <is>
          <t>Державний</t>
        </is>
      </c>
      <c r="D1054" t="inlineStr">
        <is>
          <t>7392</t>
        </is>
      </c>
      <c r="E1054" t="inlineStr">
        <is>
          <t>Загальні витрати (7)</t>
        </is>
      </c>
      <c r="F1054" t="inlineStr">
        <is>
          <t>Витрати на аудит</t>
        </is>
      </c>
      <c r="G1054" t="inlineStr">
        <is>
          <t>А</t>
        </is>
      </c>
      <c r="H1054" t="n">
        <v>3360</v>
      </c>
      <c r="I1054" t="n">
        <v>3360</v>
      </c>
      <c r="J1054" t="n">
        <v>0</v>
      </c>
      <c r="K1054" t="n">
        <v>0</v>
      </c>
      <c r="L1054" t="n">
        <v>0</v>
      </c>
      <c r="M1054" t="n">
        <v>0</v>
      </c>
      <c r="N1054" t="n">
        <v>42083.15165</v>
      </c>
      <c r="O1054" t="n">
        <v>42083.15165</v>
      </c>
      <c r="P1054" t="n">
        <v>0</v>
      </c>
    </row>
    <row r="1055">
      <c r="A1055" t="inlineStr">
        <is>
          <t>2</t>
        </is>
      </c>
      <c r="B1055" t="inlineStr">
        <is>
          <t>АТ "Укрексімбанк"</t>
        </is>
      </c>
      <c r="C1055" t="inlineStr">
        <is>
          <t>Державний</t>
        </is>
      </c>
      <c r="D1055" t="inlineStr">
        <is>
          <t>7394</t>
        </is>
      </c>
      <c r="E1055" t="inlineStr">
        <is>
          <t>(без привʼязки)</t>
        </is>
      </c>
      <c r="F1055" t="inlineStr">
        <is>
          <t>Витрати від переоцінки об'єктів інвестиційної нерухомості</t>
        </is>
      </c>
      <c r="G1055" t="inlineStr">
        <is>
          <t>А</t>
        </is>
      </c>
      <c r="H1055" t="n">
        <v>22.54752</v>
      </c>
      <c r="I1055" t="n">
        <v>22.54752</v>
      </c>
      <c r="J1055" t="n">
        <v>0</v>
      </c>
      <c r="K1055" t="n">
        <v>0</v>
      </c>
      <c r="L1055" t="n">
        <v>0</v>
      </c>
      <c r="M1055" t="n">
        <v>0</v>
      </c>
      <c r="N1055" t="n">
        <v>32047.02552</v>
      </c>
      <c r="O1055" t="n">
        <v>32047.02552</v>
      </c>
      <c r="P1055" t="n">
        <v>0</v>
      </c>
    </row>
    <row r="1056">
      <c r="A1056" t="inlineStr">
        <is>
          <t>2</t>
        </is>
      </c>
      <c r="B1056" t="inlineStr">
        <is>
          <t>АТ "Укрексімбанк"</t>
        </is>
      </c>
      <c r="C1056" t="inlineStr">
        <is>
          <t>Державний</t>
        </is>
      </c>
      <c r="D1056" t="inlineStr">
        <is>
          <t>7394</t>
        </is>
      </c>
      <c r="E1056" t="inlineStr">
        <is>
          <t>Загальні витрати (7)</t>
        </is>
      </c>
      <c r="F1056" t="inlineStr">
        <is>
          <t>Витрати від переоцінки об'єктів інвестиційної нерухомості</t>
        </is>
      </c>
      <c r="G1056" t="inlineStr">
        <is>
          <t>А</t>
        </is>
      </c>
      <c r="H1056" t="n">
        <v>22.54752</v>
      </c>
      <c r="I1056" t="n">
        <v>22.54752</v>
      </c>
      <c r="J1056" t="n">
        <v>0</v>
      </c>
      <c r="K1056" t="n">
        <v>0</v>
      </c>
      <c r="L1056" t="n">
        <v>0</v>
      </c>
      <c r="M1056" t="n">
        <v>0</v>
      </c>
      <c r="N1056" t="n">
        <v>32047.02552</v>
      </c>
      <c r="O1056" t="n">
        <v>32047.02552</v>
      </c>
      <c r="P1056" t="n">
        <v>0</v>
      </c>
    </row>
    <row r="1057">
      <c r="A1057" t="inlineStr">
        <is>
          <t>2</t>
        </is>
      </c>
      <c r="B1057" t="inlineStr">
        <is>
          <t>АТ "Укрексімбанк"</t>
        </is>
      </c>
      <c r="C1057" t="inlineStr">
        <is>
          <t>Державний</t>
        </is>
      </c>
      <c r="D1057" t="inlineStr">
        <is>
          <t>7395</t>
        </is>
      </c>
      <c r="E1057" t="inlineStr">
        <is>
          <t>(без привʼязки)</t>
        </is>
      </c>
      <c r="F1057" t="inlineStr">
        <is>
          <t>Витрати на лізинг (оренду)</t>
        </is>
      </c>
      <c r="G1057" t="inlineStr">
        <is>
          <t>А</t>
        </is>
      </c>
      <c r="H1057" t="n">
        <v>716.02595</v>
      </c>
      <c r="I1057" t="n">
        <v>716.02595</v>
      </c>
      <c r="J1057" t="n">
        <v>0</v>
      </c>
      <c r="K1057" t="n">
        <v>0.02116</v>
      </c>
      <c r="L1057" t="n">
        <v>0.02116</v>
      </c>
      <c r="M1057" t="n">
        <v>0</v>
      </c>
      <c r="N1057" t="n">
        <v>38014.73547</v>
      </c>
      <c r="O1057" t="n">
        <v>38014.73547</v>
      </c>
      <c r="P1057" t="n">
        <v>0</v>
      </c>
    </row>
    <row r="1058">
      <c r="A1058" t="inlineStr">
        <is>
          <t>2</t>
        </is>
      </c>
      <c r="B1058" t="inlineStr">
        <is>
          <t>АТ "Укрексімбанк"</t>
        </is>
      </c>
      <c r="C1058" t="inlineStr">
        <is>
          <t>Державний</t>
        </is>
      </c>
      <c r="D1058" t="inlineStr">
        <is>
          <t>7395</t>
        </is>
      </c>
      <c r="E1058" t="inlineStr">
        <is>
          <t>Загальні витрати (7)</t>
        </is>
      </c>
      <c r="F1058" t="inlineStr">
        <is>
          <t>Витрати на лізинг (оренду)</t>
        </is>
      </c>
      <c r="G1058" t="inlineStr">
        <is>
          <t>А</t>
        </is>
      </c>
      <c r="H1058" t="n">
        <v>716.02595</v>
      </c>
      <c r="I1058" t="n">
        <v>716.02595</v>
      </c>
      <c r="J1058" t="n">
        <v>0</v>
      </c>
      <c r="K1058" t="n">
        <v>0.02116</v>
      </c>
      <c r="L1058" t="n">
        <v>0.02116</v>
      </c>
      <c r="M1058" t="n">
        <v>0</v>
      </c>
      <c r="N1058" t="n">
        <v>38014.73547</v>
      </c>
      <c r="O1058" t="n">
        <v>38014.73547</v>
      </c>
      <c r="P1058" t="n">
        <v>0</v>
      </c>
    </row>
    <row r="1059">
      <c r="A1059" t="inlineStr">
        <is>
          <t>2</t>
        </is>
      </c>
      <c r="B1059" t="inlineStr">
        <is>
          <t>АТ "Укрексімбанк"</t>
        </is>
      </c>
      <c r="C1059" t="inlineStr">
        <is>
          <t>Державний</t>
        </is>
      </c>
      <c r="D1059" t="inlineStr">
        <is>
          <t>7396</t>
        </is>
      </c>
      <c r="E1059" t="inlineStr">
        <is>
          <t>(без привʼязки)</t>
        </is>
      </c>
      <c r="F1059" t="inlineStr">
        <is>
          <t>Витрати за отриманими консультаційними послугами фінансового характеру</t>
        </is>
      </c>
      <c r="G1059" t="inlineStr">
        <is>
          <t>А</t>
        </is>
      </c>
      <c r="H1059" t="n">
        <v>4.5</v>
      </c>
      <c r="I1059" t="n">
        <v>4.5</v>
      </c>
      <c r="J1059" t="n">
        <v>0</v>
      </c>
      <c r="K1059" t="n">
        <v>0</v>
      </c>
      <c r="L1059" t="n">
        <v>0</v>
      </c>
      <c r="M1059" t="n">
        <v>0</v>
      </c>
      <c r="N1059" t="n">
        <v>265.5575</v>
      </c>
      <c r="O1059" t="n">
        <v>265.5575</v>
      </c>
      <c r="P1059" t="n">
        <v>0</v>
      </c>
    </row>
    <row r="1060">
      <c r="A1060" t="inlineStr">
        <is>
          <t>2</t>
        </is>
      </c>
      <c r="B1060" t="inlineStr">
        <is>
          <t>АТ "Укрексімбанк"</t>
        </is>
      </c>
      <c r="C1060" t="inlineStr">
        <is>
          <t>Державний</t>
        </is>
      </c>
      <c r="D1060" t="inlineStr">
        <is>
          <t>7396</t>
        </is>
      </c>
      <c r="E1060" t="inlineStr">
        <is>
          <t>Загальні витрати (7)</t>
        </is>
      </c>
      <c r="F1060" t="inlineStr">
        <is>
          <t>Витрати за отриманими консультаційними послугами фінансового характеру</t>
        </is>
      </c>
      <c r="G1060" t="inlineStr">
        <is>
          <t>А</t>
        </is>
      </c>
      <c r="H1060" t="n">
        <v>4.5</v>
      </c>
      <c r="I1060" t="n">
        <v>4.5</v>
      </c>
      <c r="J1060" t="n">
        <v>0</v>
      </c>
      <c r="K1060" t="n">
        <v>0</v>
      </c>
      <c r="L1060" t="n">
        <v>0</v>
      </c>
      <c r="M1060" t="n">
        <v>0</v>
      </c>
      <c r="N1060" t="n">
        <v>265.5575</v>
      </c>
      <c r="O1060" t="n">
        <v>265.5575</v>
      </c>
      <c r="P1060" t="n">
        <v>0</v>
      </c>
    </row>
    <row r="1061">
      <c r="A1061" t="inlineStr">
        <is>
          <t>2</t>
        </is>
      </c>
      <c r="B1061" t="inlineStr">
        <is>
          <t>АТ "Укрексімбанк"</t>
        </is>
      </c>
      <c r="C1061" t="inlineStr">
        <is>
          <t>Державний</t>
        </is>
      </c>
      <c r="D1061" t="inlineStr">
        <is>
          <t>7397</t>
        </is>
      </c>
      <c r="E1061" t="inlineStr">
        <is>
          <t>(без привʼязки)</t>
        </is>
      </c>
      <c r="F1061" t="inlineStr">
        <is>
          <t>Штрафи, пені, що сплачені банком</t>
        </is>
      </c>
      <c r="G1061" t="inlineStr">
        <is>
          <t>А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1947.765</v>
      </c>
      <c r="O1061" t="n">
        <v>1947.765</v>
      </c>
      <c r="P1061" t="n">
        <v>0</v>
      </c>
    </row>
    <row r="1062">
      <c r="A1062" t="inlineStr">
        <is>
          <t>2</t>
        </is>
      </c>
      <c r="B1062" t="inlineStr">
        <is>
          <t>АТ "Укрексімбанк"</t>
        </is>
      </c>
      <c r="C1062" t="inlineStr">
        <is>
          <t>Державний</t>
        </is>
      </c>
      <c r="D1062" t="inlineStr">
        <is>
          <t>7397</t>
        </is>
      </c>
      <c r="E1062" t="inlineStr">
        <is>
          <t>Загальні витрати (7)</t>
        </is>
      </c>
      <c r="F1062" t="inlineStr">
        <is>
          <t>Штрафи, пені, що сплачені банком</t>
        </is>
      </c>
      <c r="G1062" t="inlineStr">
        <is>
          <t>А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1947.765</v>
      </c>
      <c r="O1062" t="n">
        <v>1947.765</v>
      </c>
      <c r="P1062" t="n">
        <v>0</v>
      </c>
    </row>
    <row r="1063">
      <c r="A1063" t="inlineStr">
        <is>
          <t>2</t>
        </is>
      </c>
      <c r="B1063" t="inlineStr">
        <is>
          <t>АТ "Укрексімбанк"</t>
        </is>
      </c>
      <c r="C1063" t="inlineStr">
        <is>
          <t>Державний</t>
        </is>
      </c>
      <c r="D1063" t="inlineStr">
        <is>
          <t>7398</t>
        </is>
      </c>
      <c r="E1063" t="inlineStr">
        <is>
          <t>(без привʼязки)</t>
        </is>
      </c>
      <c r="F1063" t="inlineStr">
        <is>
          <t>Витрати під час первісного визнання фінансових зобов'язань за вартістю, вищою/нижчою, ніж справедлива</t>
        </is>
      </c>
      <c r="G1063" t="inlineStr">
        <is>
          <t>А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inlineStr">
        <is>
          <t>2</t>
        </is>
      </c>
      <c r="B1064" t="inlineStr">
        <is>
          <t>АТ "Укрексімбанк"</t>
        </is>
      </c>
      <c r="C1064" t="inlineStr">
        <is>
          <t>Державний</t>
        </is>
      </c>
      <c r="D1064" t="inlineStr">
        <is>
          <t>7398</t>
        </is>
      </c>
      <c r="E1064" t="inlineStr">
        <is>
          <t>Загальні витрати (7)</t>
        </is>
      </c>
      <c r="F1064" t="inlineStr">
        <is>
          <t>Витрати під час первісного визнання фінансових зобов'язань за вартістю, вищою/нижчою, ніж справедлива</t>
        </is>
      </c>
      <c r="G1064" t="inlineStr">
        <is>
          <t>А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inlineStr">
        <is>
          <t>2</t>
        </is>
      </c>
      <c r="B1065" t="inlineStr">
        <is>
          <t>АТ "Укрексімбанк"</t>
        </is>
      </c>
      <c r="C1065" t="inlineStr">
        <is>
          <t>Державний</t>
        </is>
      </c>
      <c r="D1065" t="inlineStr">
        <is>
          <t>7399</t>
        </is>
      </c>
      <c r="E1065" t="inlineStr">
        <is>
          <t>(без привʼязки)</t>
        </is>
      </c>
      <c r="F1065" t="inlineStr">
        <is>
          <t>Інші операційні витрати</t>
        </is>
      </c>
      <c r="G1065" t="inlineStr">
        <is>
          <t>А</t>
        </is>
      </c>
      <c r="H1065" t="n">
        <v>10032.80039</v>
      </c>
      <c r="I1065" t="n">
        <v>10032.80039</v>
      </c>
      <c r="J1065" t="n">
        <v>0</v>
      </c>
      <c r="K1065" t="n">
        <v>24.90125</v>
      </c>
      <c r="L1065" t="n">
        <v>24.90125</v>
      </c>
      <c r="M1065" t="n">
        <v>0</v>
      </c>
      <c r="N1065" t="n">
        <v>179286.69304</v>
      </c>
      <c r="O1065" t="n">
        <v>179286.69304</v>
      </c>
      <c r="P1065" t="n">
        <v>0</v>
      </c>
    </row>
    <row r="1066">
      <c r="A1066" t="inlineStr">
        <is>
          <t>2</t>
        </is>
      </c>
      <c r="B1066" t="inlineStr">
        <is>
          <t>АТ "Укрексімбанк"</t>
        </is>
      </c>
      <c r="C1066" t="inlineStr">
        <is>
          <t>Державний</t>
        </is>
      </c>
      <c r="D1066" t="inlineStr">
        <is>
          <t>7399</t>
        </is>
      </c>
      <c r="E1066" t="inlineStr">
        <is>
          <t>Загальні витрати (7)</t>
        </is>
      </c>
      <c r="F1066" t="inlineStr">
        <is>
          <t>Інші операційні витрати</t>
        </is>
      </c>
      <c r="G1066" t="inlineStr">
        <is>
          <t>А</t>
        </is>
      </c>
      <c r="H1066" t="n">
        <v>10032.80039</v>
      </c>
      <c r="I1066" t="n">
        <v>10032.80039</v>
      </c>
      <c r="J1066" t="n">
        <v>0</v>
      </c>
      <c r="K1066" t="n">
        <v>24.90125</v>
      </c>
      <c r="L1066" t="n">
        <v>24.90125</v>
      </c>
      <c r="M1066" t="n">
        <v>0</v>
      </c>
      <c r="N1066" t="n">
        <v>179286.69304</v>
      </c>
      <c r="O1066" t="n">
        <v>179286.69304</v>
      </c>
      <c r="P1066" t="n">
        <v>0</v>
      </c>
    </row>
    <row r="1067">
      <c r="A1067" t="inlineStr">
        <is>
          <t>2</t>
        </is>
      </c>
      <c r="B1067" t="inlineStr">
        <is>
          <t>АТ "Укрексімбанк"</t>
        </is>
      </c>
      <c r="C1067" t="inlineStr">
        <is>
          <t>Державний</t>
        </is>
      </c>
      <c r="D1067" t="inlineStr">
        <is>
          <t>7400</t>
        </is>
      </c>
      <c r="E1067" t="inlineStr">
        <is>
          <t>(без привʼязки)</t>
        </is>
      </c>
      <c r="F1067" t="inlineStr">
        <is>
          <t>Основна і додаткова заробітна плата</t>
        </is>
      </c>
      <c r="G1067" t="inlineStr">
        <is>
          <t>А</t>
        </is>
      </c>
      <c r="H1067" t="n">
        <v>146459.51333</v>
      </c>
      <c r="I1067" t="n">
        <v>146459.51333</v>
      </c>
      <c r="J1067" t="n">
        <v>0</v>
      </c>
      <c r="K1067" t="n">
        <v>0</v>
      </c>
      <c r="L1067" t="n">
        <v>0</v>
      </c>
      <c r="M1067" t="n">
        <v>0</v>
      </c>
      <c r="N1067" t="n">
        <v>1524838.33885</v>
      </c>
      <c r="O1067" t="n">
        <v>1524838.33885</v>
      </c>
      <c r="P1067" t="n">
        <v>0</v>
      </c>
    </row>
    <row r="1068">
      <c r="A1068" t="inlineStr">
        <is>
          <t>2</t>
        </is>
      </c>
      <c r="B1068" t="inlineStr">
        <is>
          <t>АТ "Укрексімбанк"</t>
        </is>
      </c>
      <c r="C1068" t="inlineStr">
        <is>
          <t>Державний</t>
        </is>
      </c>
      <c r="D1068" t="inlineStr">
        <is>
          <t>7400</t>
        </is>
      </c>
      <c r="E1068" t="inlineStr">
        <is>
          <t>Загальні витрати (7)</t>
        </is>
      </c>
      <c r="F1068" t="inlineStr">
        <is>
          <t>Основна і додаткова заробітна плата</t>
        </is>
      </c>
      <c r="G1068" t="inlineStr">
        <is>
          <t>А</t>
        </is>
      </c>
      <c r="H1068" t="n">
        <v>146459.51333</v>
      </c>
      <c r="I1068" t="n">
        <v>146459.51333</v>
      </c>
      <c r="J1068" t="n">
        <v>0</v>
      </c>
      <c r="K1068" t="n">
        <v>0</v>
      </c>
      <c r="L1068" t="n">
        <v>0</v>
      </c>
      <c r="M1068" t="n">
        <v>0</v>
      </c>
      <c r="N1068" t="n">
        <v>1524838.33885</v>
      </c>
      <c r="O1068" t="n">
        <v>1524838.33885</v>
      </c>
      <c r="P1068" t="n">
        <v>0</v>
      </c>
    </row>
    <row r="1069">
      <c r="A1069" t="inlineStr">
        <is>
          <t>2</t>
        </is>
      </c>
      <c r="B1069" t="inlineStr">
        <is>
          <t>АТ "Укрексімбанк"</t>
        </is>
      </c>
      <c r="C1069" t="inlineStr">
        <is>
          <t>Державний</t>
        </is>
      </c>
      <c r="D1069" t="inlineStr">
        <is>
          <t>7401</t>
        </is>
      </c>
      <c r="E1069" t="inlineStr">
        <is>
          <t>(без привʼязки)</t>
        </is>
      </c>
      <c r="F1069" t="inlineStr">
        <is>
          <t>Єдиний внесок на загальнообов'язкове державне соціальне страхування</t>
        </is>
      </c>
      <c r="G1069" t="inlineStr">
        <is>
          <t>А</t>
        </is>
      </c>
      <c r="H1069" t="n">
        <v>28069.98025</v>
      </c>
      <c r="I1069" t="n">
        <v>28069.98025</v>
      </c>
      <c r="J1069" t="n">
        <v>0</v>
      </c>
      <c r="K1069" t="n">
        <v>0</v>
      </c>
      <c r="L1069" t="n">
        <v>0</v>
      </c>
      <c r="M1069" t="n">
        <v>0</v>
      </c>
      <c r="N1069" t="n">
        <v>324758.29062</v>
      </c>
      <c r="O1069" t="n">
        <v>324758.29062</v>
      </c>
      <c r="P1069" t="n">
        <v>0</v>
      </c>
    </row>
    <row r="1070">
      <c r="A1070" t="inlineStr">
        <is>
          <t>2</t>
        </is>
      </c>
      <c r="B1070" t="inlineStr">
        <is>
          <t>АТ "Укрексімбанк"</t>
        </is>
      </c>
      <c r="C1070" t="inlineStr">
        <is>
          <t>Державний</t>
        </is>
      </c>
      <c r="D1070" t="inlineStr">
        <is>
          <t>7401</t>
        </is>
      </c>
      <c r="E1070" t="inlineStr">
        <is>
          <t>Загальні витрати (7)</t>
        </is>
      </c>
      <c r="F1070" t="inlineStr">
        <is>
          <t>Єдиний внесок на загальнообов'язкове державне соціальне страхування</t>
        </is>
      </c>
      <c r="G1070" t="inlineStr">
        <is>
          <t>А</t>
        </is>
      </c>
      <c r="H1070" t="n">
        <v>28069.98025</v>
      </c>
      <c r="I1070" t="n">
        <v>28069.98025</v>
      </c>
      <c r="J1070" t="n">
        <v>0</v>
      </c>
      <c r="K1070" t="n">
        <v>0</v>
      </c>
      <c r="L1070" t="n">
        <v>0</v>
      </c>
      <c r="M1070" t="n">
        <v>0</v>
      </c>
      <c r="N1070" t="n">
        <v>324758.29062</v>
      </c>
      <c r="O1070" t="n">
        <v>324758.29062</v>
      </c>
      <c r="P1070" t="n">
        <v>0</v>
      </c>
    </row>
    <row r="1071">
      <c r="A1071" t="inlineStr">
        <is>
          <t>2</t>
        </is>
      </c>
      <c r="B1071" t="inlineStr">
        <is>
          <t>АТ "Укрексімбанк"</t>
        </is>
      </c>
      <c r="C1071" t="inlineStr">
        <is>
          <t>Державний</t>
        </is>
      </c>
      <c r="D1071" t="inlineStr">
        <is>
          <t>7403</t>
        </is>
      </c>
      <c r="E1071" t="inlineStr">
        <is>
          <t>(без привʼязки)</t>
        </is>
      </c>
      <c r="F1071" t="inlineStr">
        <is>
          <t>Матеріальна допомога та інші соціальні виплати</t>
        </is>
      </c>
      <c r="G1071" t="inlineStr">
        <is>
          <t>А</t>
        </is>
      </c>
      <c r="H1071" t="n">
        <v>53927.80722</v>
      </c>
      <c r="I1071" t="n">
        <v>53927.80722</v>
      </c>
      <c r="J1071" t="n">
        <v>0</v>
      </c>
      <c r="K1071" t="n">
        <v>0</v>
      </c>
      <c r="L1071" t="n">
        <v>0</v>
      </c>
      <c r="M1071" t="n">
        <v>0</v>
      </c>
      <c r="N1071" t="n">
        <v>223034.06449</v>
      </c>
      <c r="O1071" t="n">
        <v>223034.06449</v>
      </c>
      <c r="P1071" t="n">
        <v>0</v>
      </c>
    </row>
    <row r="1072">
      <c r="A1072" t="inlineStr">
        <is>
          <t>2</t>
        </is>
      </c>
      <c r="B1072" t="inlineStr">
        <is>
          <t>АТ "Укрексімбанк"</t>
        </is>
      </c>
      <c r="C1072" t="inlineStr">
        <is>
          <t>Державний</t>
        </is>
      </c>
      <c r="D1072" t="inlineStr">
        <is>
          <t>7403</t>
        </is>
      </c>
      <c r="E1072" t="inlineStr">
        <is>
          <t>Загальні витрати (7)</t>
        </is>
      </c>
      <c r="F1072" t="inlineStr">
        <is>
          <t>Матеріальна допомога та інші соціальні виплати</t>
        </is>
      </c>
      <c r="G1072" t="inlineStr">
        <is>
          <t>А</t>
        </is>
      </c>
      <c r="H1072" t="n">
        <v>53927.80722</v>
      </c>
      <c r="I1072" t="n">
        <v>53927.80722</v>
      </c>
      <c r="J1072" t="n">
        <v>0</v>
      </c>
      <c r="K1072" t="n">
        <v>0</v>
      </c>
      <c r="L1072" t="n">
        <v>0</v>
      </c>
      <c r="M1072" t="n">
        <v>0</v>
      </c>
      <c r="N1072" t="n">
        <v>223034.06449</v>
      </c>
      <c r="O1072" t="n">
        <v>223034.06449</v>
      </c>
      <c r="P1072" t="n">
        <v>0</v>
      </c>
    </row>
    <row r="1073">
      <c r="A1073" t="inlineStr">
        <is>
          <t>2</t>
        </is>
      </c>
      <c r="B1073" t="inlineStr">
        <is>
          <t>АТ "Укрексімбанк"</t>
        </is>
      </c>
      <c r="C1073" t="inlineStr">
        <is>
          <t>Державний</t>
        </is>
      </c>
      <c r="D1073" t="inlineStr">
        <is>
          <t>7404</t>
        </is>
      </c>
      <c r="E1073" t="inlineStr">
        <is>
          <t>(без привʼязки)</t>
        </is>
      </c>
      <c r="F1073" t="inlineStr">
        <is>
          <t>Витрати на підготовку кадрів</t>
        </is>
      </c>
      <c r="G1073" t="inlineStr">
        <is>
          <t>А</t>
        </is>
      </c>
      <c r="H1073" t="n">
        <v>6.475</v>
      </c>
      <c r="I1073" t="n">
        <v>6.475</v>
      </c>
      <c r="J1073" t="n">
        <v>0</v>
      </c>
      <c r="K1073" t="n">
        <v>0</v>
      </c>
      <c r="L1073" t="n">
        <v>0</v>
      </c>
      <c r="M1073" t="n">
        <v>0</v>
      </c>
      <c r="N1073" t="n">
        <v>639.7602000000001</v>
      </c>
      <c r="O1073" t="n">
        <v>639.7602000000001</v>
      </c>
      <c r="P1073" t="n">
        <v>0</v>
      </c>
    </row>
    <row r="1074">
      <c r="A1074" t="inlineStr">
        <is>
          <t>2</t>
        </is>
      </c>
      <c r="B1074" t="inlineStr">
        <is>
          <t>АТ "Укрексімбанк"</t>
        </is>
      </c>
      <c r="C1074" t="inlineStr">
        <is>
          <t>Державний</t>
        </is>
      </c>
      <c r="D1074" t="inlineStr">
        <is>
          <t>7404</t>
        </is>
      </c>
      <c r="E1074" t="inlineStr">
        <is>
          <t>Загальні витрати (7)</t>
        </is>
      </c>
      <c r="F1074" t="inlineStr">
        <is>
          <t>Витрати на підготовку кадрів</t>
        </is>
      </c>
      <c r="G1074" t="inlineStr">
        <is>
          <t>А</t>
        </is>
      </c>
      <c r="H1074" t="n">
        <v>6.475</v>
      </c>
      <c r="I1074" t="n">
        <v>6.475</v>
      </c>
      <c r="J1074" t="n">
        <v>0</v>
      </c>
      <c r="K1074" t="n">
        <v>0</v>
      </c>
      <c r="L1074" t="n">
        <v>0</v>
      </c>
      <c r="M1074" t="n">
        <v>0</v>
      </c>
      <c r="N1074" t="n">
        <v>639.7602000000001</v>
      </c>
      <c r="O1074" t="n">
        <v>639.7602000000001</v>
      </c>
      <c r="P1074" t="n">
        <v>0</v>
      </c>
    </row>
    <row r="1075">
      <c r="A1075" t="inlineStr">
        <is>
          <t>2</t>
        </is>
      </c>
      <c r="B1075" t="inlineStr">
        <is>
          <t>АТ "Укрексімбанк"</t>
        </is>
      </c>
      <c r="C1075" t="inlineStr">
        <is>
          <t>Державний</t>
        </is>
      </c>
      <c r="D1075" t="inlineStr">
        <is>
          <t>7405</t>
        </is>
      </c>
      <c r="E1075" t="inlineStr">
        <is>
          <t>(без привʼязки)</t>
        </is>
      </c>
      <c r="F1075" t="inlineStr">
        <is>
          <t>Витрати на спецодяг та інші засоби захисту працівників</t>
        </is>
      </c>
      <c r="G1075" t="inlineStr">
        <is>
          <t>А</t>
        </is>
      </c>
      <c r="H1075" t="n">
        <v>12.72876</v>
      </c>
      <c r="I1075" t="n">
        <v>12.72876</v>
      </c>
      <c r="J1075" t="n">
        <v>0</v>
      </c>
      <c r="K1075" t="n">
        <v>0</v>
      </c>
      <c r="L1075" t="n">
        <v>0</v>
      </c>
      <c r="M1075" t="n">
        <v>0</v>
      </c>
      <c r="N1075" t="n">
        <v>26.71</v>
      </c>
      <c r="O1075" t="n">
        <v>26.71</v>
      </c>
      <c r="P1075" t="n">
        <v>0</v>
      </c>
    </row>
    <row r="1076">
      <c r="A1076" t="inlineStr">
        <is>
          <t>2</t>
        </is>
      </c>
      <c r="B1076" t="inlineStr">
        <is>
          <t>АТ "Укрексімбанк"</t>
        </is>
      </c>
      <c r="C1076" t="inlineStr">
        <is>
          <t>Державний</t>
        </is>
      </c>
      <c r="D1076" t="inlineStr">
        <is>
          <t>7405</t>
        </is>
      </c>
      <c r="E1076" t="inlineStr">
        <is>
          <t>Загальні витрати (7)</t>
        </is>
      </c>
      <c r="F1076" t="inlineStr">
        <is>
          <t>Витрати на спецодяг та інші засоби захисту працівників</t>
        </is>
      </c>
      <c r="G1076" t="inlineStr">
        <is>
          <t>А</t>
        </is>
      </c>
      <c r="H1076" t="n">
        <v>12.72876</v>
      </c>
      <c r="I1076" t="n">
        <v>12.72876</v>
      </c>
      <c r="J1076" t="n">
        <v>0</v>
      </c>
      <c r="K1076" t="n">
        <v>0</v>
      </c>
      <c r="L1076" t="n">
        <v>0</v>
      </c>
      <c r="M1076" t="n">
        <v>0</v>
      </c>
      <c r="N1076" t="n">
        <v>26.71</v>
      </c>
      <c r="O1076" t="n">
        <v>26.71</v>
      </c>
      <c r="P1076" t="n">
        <v>0</v>
      </c>
    </row>
    <row r="1077">
      <c r="A1077" t="inlineStr">
        <is>
          <t>2</t>
        </is>
      </c>
      <c r="B1077" t="inlineStr">
        <is>
          <t>АТ "Укрексімбанк"</t>
        </is>
      </c>
      <c r="C1077" t="inlineStr">
        <is>
          <t>Державний</t>
        </is>
      </c>
      <c r="D1077" t="inlineStr">
        <is>
          <t>7409</t>
        </is>
      </c>
      <c r="E1077" t="inlineStr">
        <is>
          <t>(без привʼязки)</t>
        </is>
      </c>
      <c r="F1077" t="inlineStr">
        <is>
          <t>Інші витрати на утримання персоналу</t>
        </is>
      </c>
      <c r="G1077" t="inlineStr">
        <is>
          <t>А</t>
        </is>
      </c>
      <c r="H1077" t="n">
        <v>2921.71842</v>
      </c>
      <c r="I1077" t="n">
        <v>2921.71842</v>
      </c>
      <c r="J1077" t="n">
        <v>0</v>
      </c>
      <c r="K1077" t="n">
        <v>0</v>
      </c>
      <c r="L1077" t="n">
        <v>0</v>
      </c>
      <c r="M1077" t="n">
        <v>0</v>
      </c>
      <c r="N1077" t="n">
        <v>27678.99092</v>
      </c>
      <c r="O1077" t="n">
        <v>27678.99092</v>
      </c>
      <c r="P1077" t="n">
        <v>0</v>
      </c>
    </row>
    <row r="1078">
      <c r="A1078" t="inlineStr">
        <is>
          <t>2</t>
        </is>
      </c>
      <c r="B1078" t="inlineStr">
        <is>
          <t>АТ "Укрексімбанк"</t>
        </is>
      </c>
      <c r="C1078" t="inlineStr">
        <is>
          <t>Державний</t>
        </is>
      </c>
      <c r="D1078" t="inlineStr">
        <is>
          <t>7409</t>
        </is>
      </c>
      <c r="E1078" t="inlineStr">
        <is>
          <t>Загальні витрати (7)</t>
        </is>
      </c>
      <c r="F1078" t="inlineStr">
        <is>
          <t>Інші витрати на утримання персоналу</t>
        </is>
      </c>
      <c r="G1078" t="inlineStr">
        <is>
          <t>А</t>
        </is>
      </c>
      <c r="H1078" t="n">
        <v>2921.71842</v>
      </c>
      <c r="I1078" t="n">
        <v>2921.71842</v>
      </c>
      <c r="J1078" t="n">
        <v>0</v>
      </c>
      <c r="K1078" t="n">
        <v>0</v>
      </c>
      <c r="L1078" t="n">
        <v>0</v>
      </c>
      <c r="M1078" t="n">
        <v>0</v>
      </c>
      <c r="N1078" t="n">
        <v>27678.99092</v>
      </c>
      <c r="O1078" t="n">
        <v>27678.99092</v>
      </c>
      <c r="P1078" t="n">
        <v>0</v>
      </c>
    </row>
    <row r="1079">
      <c r="A1079" t="inlineStr">
        <is>
          <t>2</t>
        </is>
      </c>
      <c r="B1079" t="inlineStr">
        <is>
          <t>АТ "Укрексімбанк"</t>
        </is>
      </c>
      <c r="C1079" t="inlineStr">
        <is>
          <t>Державний</t>
        </is>
      </c>
      <c r="D1079" t="inlineStr">
        <is>
          <t>7410</t>
        </is>
      </c>
      <c r="E1079" t="inlineStr">
        <is>
          <t>(без привʼязки)</t>
        </is>
      </c>
      <c r="F1079" t="inlineStr">
        <is>
          <t>Податок на додану вартість</t>
        </is>
      </c>
      <c r="G1079" t="inlineStr">
        <is>
          <t>А</t>
        </is>
      </c>
      <c r="H1079" t="n">
        <v>2207.83879</v>
      </c>
      <c r="I1079" t="n">
        <v>2207.83879</v>
      </c>
      <c r="J1079" t="n">
        <v>0</v>
      </c>
      <c r="K1079" t="n">
        <v>0</v>
      </c>
      <c r="L1079" t="n">
        <v>0</v>
      </c>
      <c r="M1079" t="n">
        <v>0</v>
      </c>
      <c r="N1079" t="n">
        <v>2983.33912</v>
      </c>
      <c r="O1079" t="n">
        <v>2983.33912</v>
      </c>
      <c r="P1079" t="n">
        <v>0</v>
      </c>
    </row>
    <row r="1080">
      <c r="A1080" t="inlineStr">
        <is>
          <t>2</t>
        </is>
      </c>
      <c r="B1080" t="inlineStr">
        <is>
          <t>АТ "Укрексімбанк"</t>
        </is>
      </c>
      <c r="C1080" t="inlineStr">
        <is>
          <t>Державний</t>
        </is>
      </c>
      <c r="D1080" t="inlineStr">
        <is>
          <t>7410</t>
        </is>
      </c>
      <c r="E1080" t="inlineStr">
        <is>
          <t>Інші податки (741)</t>
        </is>
      </c>
      <c r="F1080" t="inlineStr">
        <is>
          <t>Податок на додану вартість</t>
        </is>
      </c>
      <c r="G1080" t="inlineStr">
        <is>
          <t>А</t>
        </is>
      </c>
      <c r="H1080" t="n">
        <v>2207.83879</v>
      </c>
      <c r="I1080" t="n">
        <v>2207.83879</v>
      </c>
      <c r="J1080" t="n">
        <v>0</v>
      </c>
      <c r="K1080" t="n">
        <v>0</v>
      </c>
      <c r="L1080" t="n">
        <v>0</v>
      </c>
      <c r="M1080" t="n">
        <v>0</v>
      </c>
      <c r="N1080" t="n">
        <v>2983.33912</v>
      </c>
      <c r="O1080" t="n">
        <v>2983.33912</v>
      </c>
      <c r="P1080" t="n">
        <v>0</v>
      </c>
    </row>
    <row r="1081">
      <c r="A1081" t="inlineStr">
        <is>
          <t>2</t>
        </is>
      </c>
      <c r="B1081" t="inlineStr">
        <is>
          <t>АТ "Укрексімбанк"</t>
        </is>
      </c>
      <c r="C1081" t="inlineStr">
        <is>
          <t>Державний</t>
        </is>
      </c>
      <c r="D1081" t="inlineStr">
        <is>
          <t>7410</t>
        </is>
      </c>
      <c r="E1081" t="inlineStr">
        <is>
          <t>Загальні витрати (7)</t>
        </is>
      </c>
      <c r="F1081" t="inlineStr">
        <is>
          <t>Податок на додану вартість</t>
        </is>
      </c>
      <c r="G1081" t="inlineStr">
        <is>
          <t>А</t>
        </is>
      </c>
      <c r="H1081" t="n">
        <v>2207.83879</v>
      </c>
      <c r="I1081" t="n">
        <v>2207.83879</v>
      </c>
      <c r="J1081" t="n">
        <v>0</v>
      </c>
      <c r="K1081" t="n">
        <v>0</v>
      </c>
      <c r="L1081" t="n">
        <v>0</v>
      </c>
      <c r="M1081" t="n">
        <v>0</v>
      </c>
      <c r="N1081" t="n">
        <v>2983.33912</v>
      </c>
      <c r="O1081" t="n">
        <v>2983.33912</v>
      </c>
      <c r="P1081" t="n">
        <v>0</v>
      </c>
    </row>
    <row r="1082">
      <c r="A1082" t="inlineStr">
        <is>
          <t>2</t>
        </is>
      </c>
      <c r="B1082" t="inlineStr">
        <is>
          <t>АТ "Укрексімбанк"</t>
        </is>
      </c>
      <c r="C1082" t="inlineStr">
        <is>
          <t>Державний</t>
        </is>
      </c>
      <c r="D1082" t="inlineStr">
        <is>
          <t>7411</t>
        </is>
      </c>
      <c r="E1082" t="inlineStr">
        <is>
          <t>(без привʼязки)</t>
        </is>
      </c>
      <c r="F1082" t="inlineStr">
        <is>
          <t>Податок на землю</t>
        </is>
      </c>
      <c r="G1082" t="inlineStr">
        <is>
          <t>А</t>
        </is>
      </c>
      <c r="H1082" t="n">
        <v>1033.64173</v>
      </c>
      <c r="I1082" t="n">
        <v>1033.64173</v>
      </c>
      <c r="J1082" t="n">
        <v>0</v>
      </c>
      <c r="K1082" t="n">
        <v>0</v>
      </c>
      <c r="L1082" t="n">
        <v>0</v>
      </c>
      <c r="M1082" t="n">
        <v>0</v>
      </c>
      <c r="N1082" t="n">
        <v>12676.93478</v>
      </c>
      <c r="O1082" t="n">
        <v>12676.93478</v>
      </c>
      <c r="P1082" t="n">
        <v>0</v>
      </c>
    </row>
    <row r="1083">
      <c r="A1083" t="inlineStr">
        <is>
          <t>2</t>
        </is>
      </c>
      <c r="B1083" t="inlineStr">
        <is>
          <t>АТ "Укрексімбанк"</t>
        </is>
      </c>
      <c r="C1083" t="inlineStr">
        <is>
          <t>Державний</t>
        </is>
      </c>
      <c r="D1083" t="inlineStr">
        <is>
          <t>7411</t>
        </is>
      </c>
      <c r="E1083" t="inlineStr">
        <is>
          <t>Інші податки (741)</t>
        </is>
      </c>
      <c r="F1083" t="inlineStr">
        <is>
          <t>Податок на землю</t>
        </is>
      </c>
      <c r="G1083" t="inlineStr">
        <is>
          <t>А</t>
        </is>
      </c>
      <c r="H1083" t="n">
        <v>1033.64173</v>
      </c>
      <c r="I1083" t="n">
        <v>1033.64173</v>
      </c>
      <c r="J1083" t="n">
        <v>0</v>
      </c>
      <c r="K1083" t="n">
        <v>0</v>
      </c>
      <c r="L1083" t="n">
        <v>0</v>
      </c>
      <c r="M1083" t="n">
        <v>0</v>
      </c>
      <c r="N1083" t="n">
        <v>12676.93478</v>
      </c>
      <c r="O1083" t="n">
        <v>12676.93478</v>
      </c>
      <c r="P1083" t="n">
        <v>0</v>
      </c>
    </row>
    <row r="1084">
      <c r="A1084" t="inlineStr">
        <is>
          <t>2</t>
        </is>
      </c>
      <c r="B1084" t="inlineStr">
        <is>
          <t>АТ "Укрексімбанк"</t>
        </is>
      </c>
      <c r="C1084" t="inlineStr">
        <is>
          <t>Державний</t>
        </is>
      </c>
      <c r="D1084" t="inlineStr">
        <is>
          <t>7411</t>
        </is>
      </c>
      <c r="E1084" t="inlineStr">
        <is>
          <t>Загальні витрати (7)</t>
        </is>
      </c>
      <c r="F1084" t="inlineStr">
        <is>
          <t>Податок на землю</t>
        </is>
      </c>
      <c r="G1084" t="inlineStr">
        <is>
          <t>А</t>
        </is>
      </c>
      <c r="H1084" t="n">
        <v>1033.64173</v>
      </c>
      <c r="I1084" t="n">
        <v>1033.64173</v>
      </c>
      <c r="J1084" t="n">
        <v>0</v>
      </c>
      <c r="K1084" t="n">
        <v>0</v>
      </c>
      <c r="L1084" t="n">
        <v>0</v>
      </c>
      <c r="M1084" t="n">
        <v>0</v>
      </c>
      <c r="N1084" t="n">
        <v>12676.93478</v>
      </c>
      <c r="O1084" t="n">
        <v>12676.93478</v>
      </c>
      <c r="P1084" t="n">
        <v>0</v>
      </c>
    </row>
    <row r="1085">
      <c r="A1085" t="inlineStr">
        <is>
          <t>2</t>
        </is>
      </c>
      <c r="B1085" t="inlineStr">
        <is>
          <t>АТ "Укрексімбанк"</t>
        </is>
      </c>
      <c r="C1085" t="inlineStr">
        <is>
          <t>Державний</t>
        </is>
      </c>
      <c r="D1085" t="inlineStr">
        <is>
          <t>7418</t>
        </is>
      </c>
      <c r="E1085" t="inlineStr">
        <is>
          <t>(без привʼязки)</t>
        </is>
      </c>
      <c r="F1085" t="inlineStr">
        <is>
          <t>Відрахування до Фонду гарантування вкладів фізичних осіб</t>
        </is>
      </c>
      <c r="G1085" t="inlineStr">
        <is>
          <t>А</t>
        </is>
      </c>
      <c r="H1085" t="n">
        <v>20039.82527</v>
      </c>
      <c r="I1085" t="n">
        <v>20039.82527</v>
      </c>
      <c r="J1085" t="n">
        <v>0</v>
      </c>
      <c r="K1085" t="n">
        <v>0</v>
      </c>
      <c r="L1085" t="n">
        <v>0</v>
      </c>
      <c r="M1085" t="n">
        <v>0</v>
      </c>
      <c r="N1085" t="n">
        <v>264361.70319</v>
      </c>
      <c r="O1085" t="n">
        <v>264361.70319</v>
      </c>
      <c r="P1085" t="n">
        <v>0</v>
      </c>
    </row>
    <row r="1086">
      <c r="A1086" t="inlineStr">
        <is>
          <t>2</t>
        </is>
      </c>
      <c r="B1086" t="inlineStr">
        <is>
          <t>АТ "Укрексімбанк"</t>
        </is>
      </c>
      <c r="C1086" t="inlineStr">
        <is>
          <t>Державний</t>
        </is>
      </c>
      <c r="D1086" t="inlineStr">
        <is>
          <t>7418</t>
        </is>
      </c>
      <c r="E1086" t="inlineStr">
        <is>
          <t>Інші податки (741)</t>
        </is>
      </c>
      <c r="F1086" t="inlineStr">
        <is>
          <t>Відрахування до Фонду гарантування вкладів фізичних осіб</t>
        </is>
      </c>
      <c r="G1086" t="inlineStr">
        <is>
          <t>А</t>
        </is>
      </c>
      <c r="H1086" t="n">
        <v>20039.82527</v>
      </c>
      <c r="I1086" t="n">
        <v>20039.82527</v>
      </c>
      <c r="J1086" t="n">
        <v>0</v>
      </c>
      <c r="K1086" t="n">
        <v>0</v>
      </c>
      <c r="L1086" t="n">
        <v>0</v>
      </c>
      <c r="M1086" t="n">
        <v>0</v>
      </c>
      <c r="N1086" t="n">
        <v>264361.70319</v>
      </c>
      <c r="O1086" t="n">
        <v>264361.70319</v>
      </c>
      <c r="P1086" t="n">
        <v>0</v>
      </c>
    </row>
    <row r="1087">
      <c r="A1087" t="inlineStr">
        <is>
          <t>2</t>
        </is>
      </c>
      <c r="B1087" t="inlineStr">
        <is>
          <t>АТ "Укрексімбанк"</t>
        </is>
      </c>
      <c r="C1087" t="inlineStr">
        <is>
          <t>Державний</t>
        </is>
      </c>
      <c r="D1087" t="inlineStr">
        <is>
          <t>7418</t>
        </is>
      </c>
      <c r="E1087" t="inlineStr">
        <is>
          <t>Загальні витрати (7)</t>
        </is>
      </c>
      <c r="F1087" t="inlineStr">
        <is>
          <t>Відрахування до Фонду гарантування вкладів фізичних осіб</t>
        </is>
      </c>
      <c r="G1087" t="inlineStr">
        <is>
          <t>А</t>
        </is>
      </c>
      <c r="H1087" t="n">
        <v>20039.82527</v>
      </c>
      <c r="I1087" t="n">
        <v>20039.82527</v>
      </c>
      <c r="J1087" t="n">
        <v>0</v>
      </c>
      <c r="K1087" t="n">
        <v>0</v>
      </c>
      <c r="L1087" t="n">
        <v>0</v>
      </c>
      <c r="M1087" t="n">
        <v>0</v>
      </c>
      <c r="N1087" t="n">
        <v>264361.70319</v>
      </c>
      <c r="O1087" t="n">
        <v>264361.70319</v>
      </c>
      <c r="P1087" t="n">
        <v>0</v>
      </c>
    </row>
    <row r="1088">
      <c r="A1088" t="inlineStr">
        <is>
          <t>2</t>
        </is>
      </c>
      <c r="B1088" t="inlineStr">
        <is>
          <t>АТ "Укрексімбанк"</t>
        </is>
      </c>
      <c r="C1088" t="inlineStr">
        <is>
          <t>Державний</t>
        </is>
      </c>
      <c r="D1088" t="inlineStr">
        <is>
          <t>7419</t>
        </is>
      </c>
      <c r="E1088" t="inlineStr">
        <is>
          <t>(без привʼязки)</t>
        </is>
      </c>
      <c r="F1088" t="inlineStr">
        <is>
          <t>Сплата інших податків та обов'язкових платежів, крім податку на прибуток</t>
        </is>
      </c>
      <c r="G1088" t="inlineStr">
        <is>
          <t>А</t>
        </is>
      </c>
      <c r="H1088" t="n">
        <v>1023.14595</v>
      </c>
      <c r="I1088" t="n">
        <v>1023.14595</v>
      </c>
      <c r="J1088" t="n">
        <v>0</v>
      </c>
      <c r="K1088" t="n">
        <v>3.21166</v>
      </c>
      <c r="L1088" t="n">
        <v>3.21166</v>
      </c>
      <c r="M1088" t="n">
        <v>0</v>
      </c>
      <c r="N1088" t="n">
        <v>21514.09614</v>
      </c>
      <c r="O1088" t="n">
        <v>21514.09614</v>
      </c>
      <c r="P1088" t="n">
        <v>0</v>
      </c>
    </row>
    <row r="1089">
      <c r="A1089" t="inlineStr">
        <is>
          <t>2</t>
        </is>
      </c>
      <c r="B1089" t="inlineStr">
        <is>
          <t>АТ "Укрексімбанк"</t>
        </is>
      </c>
      <c r="C1089" t="inlineStr">
        <is>
          <t>Державний</t>
        </is>
      </c>
      <c r="D1089" t="inlineStr">
        <is>
          <t>7419</t>
        </is>
      </c>
      <c r="E1089" t="inlineStr">
        <is>
          <t>Інші податки (741)</t>
        </is>
      </c>
      <c r="F1089" t="inlineStr">
        <is>
          <t>Сплата інших податків та обов'язкових платежів, крім податку на прибуток</t>
        </is>
      </c>
      <c r="G1089" t="inlineStr">
        <is>
          <t>А</t>
        </is>
      </c>
      <c r="H1089" t="n">
        <v>1023.14595</v>
      </c>
      <c r="I1089" t="n">
        <v>1023.14595</v>
      </c>
      <c r="J1089" t="n">
        <v>0</v>
      </c>
      <c r="K1089" t="n">
        <v>3.21166</v>
      </c>
      <c r="L1089" t="n">
        <v>3.21166</v>
      </c>
      <c r="M1089" t="n">
        <v>0</v>
      </c>
      <c r="N1089" t="n">
        <v>21514.09614</v>
      </c>
      <c r="O1089" t="n">
        <v>21514.09614</v>
      </c>
      <c r="P1089" t="n">
        <v>0</v>
      </c>
    </row>
    <row r="1090">
      <c r="A1090" t="inlineStr">
        <is>
          <t>2</t>
        </is>
      </c>
      <c r="B1090" t="inlineStr">
        <is>
          <t>АТ "Укрексімбанк"</t>
        </is>
      </c>
      <c r="C1090" t="inlineStr">
        <is>
          <t>Державний</t>
        </is>
      </c>
      <c r="D1090" t="inlineStr">
        <is>
          <t>7419</t>
        </is>
      </c>
      <c r="E1090" t="inlineStr">
        <is>
          <t>Загальні витрати (7)</t>
        </is>
      </c>
      <c r="F1090" t="inlineStr">
        <is>
          <t>Сплата інших податків та обов'язкових платежів, крім податку на прибуток</t>
        </is>
      </c>
      <c r="G1090" t="inlineStr">
        <is>
          <t>А</t>
        </is>
      </c>
      <c r="H1090" t="n">
        <v>1023.14595</v>
      </c>
      <c r="I1090" t="n">
        <v>1023.14595</v>
      </c>
      <c r="J1090" t="n">
        <v>0</v>
      </c>
      <c r="K1090" t="n">
        <v>3.21166</v>
      </c>
      <c r="L1090" t="n">
        <v>3.21166</v>
      </c>
      <c r="M1090" t="n">
        <v>0</v>
      </c>
      <c r="N1090" t="n">
        <v>21514.09614</v>
      </c>
      <c r="O1090" t="n">
        <v>21514.09614</v>
      </c>
      <c r="P1090" t="n">
        <v>0</v>
      </c>
    </row>
    <row r="1091">
      <c r="A1091" t="inlineStr">
        <is>
          <t>2</t>
        </is>
      </c>
      <c r="B1091" t="inlineStr">
        <is>
          <t>АТ "Укрексімбанк"</t>
        </is>
      </c>
      <c r="C1091" t="inlineStr">
        <is>
          <t>Державний</t>
        </is>
      </c>
      <c r="D1091" t="inlineStr">
        <is>
          <t>7420</t>
        </is>
      </c>
      <c r="E1091" t="inlineStr">
        <is>
          <t>(без привʼязки)</t>
        </is>
      </c>
      <c r="F1091" t="inlineStr">
        <is>
          <t>Витрати на утримання власних основних засобів і нематеріальних активів</t>
        </is>
      </c>
      <c r="G1091" t="inlineStr">
        <is>
          <t>А</t>
        </is>
      </c>
      <c r="H1091" t="n">
        <v>12656.94537</v>
      </c>
      <c r="I1091" t="n">
        <v>12656.94537</v>
      </c>
      <c r="J1091" t="n">
        <v>0</v>
      </c>
      <c r="K1091" t="n">
        <v>0.76686</v>
      </c>
      <c r="L1091" t="n">
        <v>0.76686</v>
      </c>
      <c r="M1091" t="n">
        <v>0</v>
      </c>
      <c r="N1091" t="n">
        <v>192469.69174</v>
      </c>
      <c r="O1091" t="n">
        <v>192469.69174</v>
      </c>
      <c r="P1091" t="n">
        <v>0</v>
      </c>
    </row>
    <row r="1092">
      <c r="A1092" t="inlineStr">
        <is>
          <t>2</t>
        </is>
      </c>
      <c r="B1092" t="inlineStr">
        <is>
          <t>АТ "Укрексімбанк"</t>
        </is>
      </c>
      <c r="C1092" t="inlineStr">
        <is>
          <t>Державний</t>
        </is>
      </c>
      <c r="D1092" t="inlineStr">
        <is>
          <t>7420</t>
        </is>
      </c>
      <c r="E1092" t="inlineStr">
        <is>
          <t>Загальні витрати (7)</t>
        </is>
      </c>
      <c r="F1092" t="inlineStr">
        <is>
          <t>Витрати на утримання власних основних засобів і нематеріальних активів</t>
        </is>
      </c>
      <c r="G1092" t="inlineStr">
        <is>
          <t>А</t>
        </is>
      </c>
      <c r="H1092" t="n">
        <v>12656.94537</v>
      </c>
      <c r="I1092" t="n">
        <v>12656.94537</v>
      </c>
      <c r="J1092" t="n">
        <v>0</v>
      </c>
      <c r="K1092" t="n">
        <v>0.76686</v>
      </c>
      <c r="L1092" t="n">
        <v>0.76686</v>
      </c>
      <c r="M1092" t="n">
        <v>0</v>
      </c>
      <c r="N1092" t="n">
        <v>192469.69174</v>
      </c>
      <c r="O1092" t="n">
        <v>192469.69174</v>
      </c>
      <c r="P1092" t="n">
        <v>0</v>
      </c>
    </row>
    <row r="1093">
      <c r="A1093" t="inlineStr">
        <is>
          <t>2</t>
        </is>
      </c>
      <c r="B1093" t="inlineStr">
        <is>
          <t>АТ "Укрексімбанк"</t>
        </is>
      </c>
      <c r="C1093" t="inlineStr">
        <is>
          <t>Державний</t>
        </is>
      </c>
      <c r="D1093" t="inlineStr">
        <is>
          <t>7421</t>
        </is>
      </c>
      <c r="E1093" t="inlineStr">
        <is>
          <t>(без привʼязки)</t>
        </is>
      </c>
      <c r="F1093" t="inlineStr">
        <is>
          <t>Витрати на утримання необоротних активів, що отримані в лізинг (оренду)</t>
        </is>
      </c>
      <c r="G1093" t="inlineStr">
        <is>
          <t>А</t>
        </is>
      </c>
      <c r="H1093" t="n">
        <v>78.95491</v>
      </c>
      <c r="I1093" t="n">
        <v>78.95491</v>
      </c>
      <c r="J1093" t="n">
        <v>0</v>
      </c>
      <c r="K1093" t="n">
        <v>0</v>
      </c>
      <c r="L1093" t="n">
        <v>0</v>
      </c>
      <c r="M1093" t="n">
        <v>0</v>
      </c>
      <c r="N1093" t="n">
        <v>1195.61672</v>
      </c>
      <c r="O1093" t="n">
        <v>1195.61672</v>
      </c>
      <c r="P1093" t="n">
        <v>0</v>
      </c>
    </row>
    <row r="1094">
      <c r="A1094" t="inlineStr">
        <is>
          <t>2</t>
        </is>
      </c>
      <c r="B1094" t="inlineStr">
        <is>
          <t>АТ "Укрексімбанк"</t>
        </is>
      </c>
      <c r="C1094" t="inlineStr">
        <is>
          <t>Державний</t>
        </is>
      </c>
      <c r="D1094" t="inlineStr">
        <is>
          <t>7421</t>
        </is>
      </c>
      <c r="E1094" t="inlineStr">
        <is>
          <t>Загальні витрати (7)</t>
        </is>
      </c>
      <c r="F1094" t="inlineStr">
        <is>
          <t>Витрати на утримання необоротних активів, що отримані в лізинг (оренду)</t>
        </is>
      </c>
      <c r="G1094" t="inlineStr">
        <is>
          <t>А</t>
        </is>
      </c>
      <c r="H1094" t="n">
        <v>78.95491</v>
      </c>
      <c r="I1094" t="n">
        <v>78.95491</v>
      </c>
      <c r="J1094" t="n">
        <v>0</v>
      </c>
      <c r="K1094" t="n">
        <v>0</v>
      </c>
      <c r="L1094" t="n">
        <v>0</v>
      </c>
      <c r="M1094" t="n">
        <v>0</v>
      </c>
      <c r="N1094" t="n">
        <v>1195.61672</v>
      </c>
      <c r="O1094" t="n">
        <v>1195.61672</v>
      </c>
      <c r="P1094" t="n">
        <v>0</v>
      </c>
    </row>
    <row r="1095">
      <c r="A1095" t="inlineStr">
        <is>
          <t>2</t>
        </is>
      </c>
      <c r="B1095" t="inlineStr">
        <is>
          <t>АТ "Укрексімбанк"</t>
        </is>
      </c>
      <c r="C1095" t="inlineStr">
        <is>
          <t>Державний</t>
        </is>
      </c>
      <c r="D1095" t="inlineStr">
        <is>
          <t>7423</t>
        </is>
      </c>
      <c r="E1095" t="inlineStr">
        <is>
          <t>(без привʼязки)</t>
        </is>
      </c>
      <c r="F1095" t="inlineStr">
        <is>
          <t>Амортизація</t>
        </is>
      </c>
      <c r="G1095" t="inlineStr">
        <is>
          <t>А</t>
        </is>
      </c>
      <c r="H1095" t="n">
        <v>9296.7539</v>
      </c>
      <c r="I1095" t="n">
        <v>9296.7539</v>
      </c>
      <c r="J1095" t="n">
        <v>0</v>
      </c>
      <c r="K1095" t="n">
        <v>0</v>
      </c>
      <c r="L1095" t="n">
        <v>0</v>
      </c>
      <c r="M1095" t="n">
        <v>0</v>
      </c>
      <c r="N1095" t="n">
        <v>98503.91204</v>
      </c>
      <c r="O1095" t="n">
        <v>98503.91204</v>
      </c>
      <c r="P1095" t="n">
        <v>0</v>
      </c>
    </row>
    <row r="1096">
      <c r="A1096" t="inlineStr">
        <is>
          <t>2</t>
        </is>
      </c>
      <c r="B1096" t="inlineStr">
        <is>
          <t>АТ "Укрексімбанк"</t>
        </is>
      </c>
      <c r="C1096" t="inlineStr">
        <is>
          <t>Державний</t>
        </is>
      </c>
      <c r="D1096" t="inlineStr">
        <is>
          <t>7423</t>
        </is>
      </c>
      <c r="E1096" t="inlineStr">
        <is>
          <t>Загальні витрати (7)</t>
        </is>
      </c>
      <c r="F1096" t="inlineStr">
        <is>
          <t>Амортизація</t>
        </is>
      </c>
      <c r="G1096" t="inlineStr">
        <is>
          <t>А</t>
        </is>
      </c>
      <c r="H1096" t="n">
        <v>9296.7539</v>
      </c>
      <c r="I1096" t="n">
        <v>9296.7539</v>
      </c>
      <c r="J1096" t="n">
        <v>0</v>
      </c>
      <c r="K1096" t="n">
        <v>0</v>
      </c>
      <c r="L1096" t="n">
        <v>0</v>
      </c>
      <c r="M1096" t="n">
        <v>0</v>
      </c>
      <c r="N1096" t="n">
        <v>98503.91204</v>
      </c>
      <c r="O1096" t="n">
        <v>98503.91204</v>
      </c>
      <c r="P1096" t="n">
        <v>0</v>
      </c>
    </row>
    <row r="1097">
      <c r="A1097" t="inlineStr">
        <is>
          <t>2</t>
        </is>
      </c>
      <c r="B1097" t="inlineStr">
        <is>
          <t>АТ "Укрексімбанк"</t>
        </is>
      </c>
      <c r="C1097" t="inlineStr">
        <is>
          <t>Державний</t>
        </is>
      </c>
      <c r="D1097" t="inlineStr">
        <is>
          <t>7424</t>
        </is>
      </c>
      <c r="E1097" t="inlineStr">
        <is>
          <t>(без привʼязки)</t>
        </is>
      </c>
      <c r="F1097" t="inlineStr">
        <is>
          <t>Амортизація активів з права користування</t>
        </is>
      </c>
      <c r="G1097" t="inlineStr">
        <is>
          <t>А</t>
        </is>
      </c>
      <c r="H1097" t="n">
        <v>917.6734</v>
      </c>
      <c r="I1097" t="n">
        <v>917.6734</v>
      </c>
      <c r="J1097" t="n">
        <v>0</v>
      </c>
      <c r="K1097" t="n">
        <v>0</v>
      </c>
      <c r="L1097" t="n">
        <v>0</v>
      </c>
      <c r="M1097" t="n">
        <v>0</v>
      </c>
      <c r="N1097" t="n">
        <v>9517.191339999999</v>
      </c>
      <c r="O1097" t="n">
        <v>9517.191339999999</v>
      </c>
      <c r="P1097" t="n">
        <v>0</v>
      </c>
    </row>
    <row r="1098">
      <c r="A1098" t="inlineStr">
        <is>
          <t>2</t>
        </is>
      </c>
      <c r="B1098" t="inlineStr">
        <is>
          <t>АТ "Укрексімбанк"</t>
        </is>
      </c>
      <c r="C1098" t="inlineStr">
        <is>
          <t>Державний</t>
        </is>
      </c>
      <c r="D1098" t="inlineStr">
        <is>
          <t>7424</t>
        </is>
      </c>
      <c r="E1098" t="inlineStr">
        <is>
          <t>Загальні витрати (7)</t>
        </is>
      </c>
      <c r="F1098" t="inlineStr">
        <is>
          <t>Амортизація активів з права користування</t>
        </is>
      </c>
      <c r="G1098" t="inlineStr">
        <is>
          <t>А</t>
        </is>
      </c>
      <c r="H1098" t="n">
        <v>917.6734</v>
      </c>
      <c r="I1098" t="n">
        <v>917.6734</v>
      </c>
      <c r="J1098" t="n">
        <v>0</v>
      </c>
      <c r="K1098" t="n">
        <v>0</v>
      </c>
      <c r="L1098" t="n">
        <v>0</v>
      </c>
      <c r="M1098" t="n">
        <v>0</v>
      </c>
      <c r="N1098" t="n">
        <v>9517.191339999999</v>
      </c>
      <c r="O1098" t="n">
        <v>9517.191339999999</v>
      </c>
      <c r="P1098" t="n">
        <v>0</v>
      </c>
    </row>
    <row r="1099">
      <c r="A1099" t="inlineStr">
        <is>
          <t>2</t>
        </is>
      </c>
      <c r="B1099" t="inlineStr">
        <is>
          <t>АТ "Укрексімбанк"</t>
        </is>
      </c>
      <c r="C1099" t="inlineStr">
        <is>
          <t>Державний</t>
        </is>
      </c>
      <c r="D1099" t="inlineStr">
        <is>
          <t>7430</t>
        </is>
      </c>
      <c r="E1099" t="inlineStr">
        <is>
          <t>(без привʼязки)</t>
        </is>
      </c>
      <c r="F1099" t="inlineStr">
        <is>
          <t>Витрати на комунальні послуги</t>
        </is>
      </c>
      <c r="G1099" t="inlineStr">
        <is>
          <t>А</t>
        </is>
      </c>
      <c r="H1099" t="n">
        <v>5196.50645</v>
      </c>
      <c r="I1099" t="n">
        <v>5196.50645</v>
      </c>
      <c r="J1099" t="n">
        <v>0</v>
      </c>
      <c r="K1099" t="n">
        <v>0</v>
      </c>
      <c r="L1099" t="n">
        <v>0</v>
      </c>
      <c r="M1099" t="n">
        <v>0</v>
      </c>
      <c r="N1099" t="n">
        <v>58602.77857</v>
      </c>
      <c r="O1099" t="n">
        <v>58602.77857</v>
      </c>
      <c r="P1099" t="n">
        <v>0</v>
      </c>
    </row>
    <row r="1100">
      <c r="A1100" t="inlineStr">
        <is>
          <t>2</t>
        </is>
      </c>
      <c r="B1100" t="inlineStr">
        <is>
          <t>АТ "Укрексімбанк"</t>
        </is>
      </c>
      <c r="C1100" t="inlineStr">
        <is>
          <t>Державний</t>
        </is>
      </c>
      <c r="D1100" t="inlineStr">
        <is>
          <t>7430</t>
        </is>
      </c>
      <c r="E1100" t="inlineStr">
        <is>
          <t>Загальні витрати (7)</t>
        </is>
      </c>
      <c r="F1100" t="inlineStr">
        <is>
          <t>Витрати на комунальні послуги</t>
        </is>
      </c>
      <c r="G1100" t="inlineStr">
        <is>
          <t>А</t>
        </is>
      </c>
      <c r="H1100" t="n">
        <v>5196.50645</v>
      </c>
      <c r="I1100" t="n">
        <v>5196.50645</v>
      </c>
      <c r="J1100" t="n">
        <v>0</v>
      </c>
      <c r="K1100" t="n">
        <v>0</v>
      </c>
      <c r="L1100" t="n">
        <v>0</v>
      </c>
      <c r="M1100" t="n">
        <v>0</v>
      </c>
      <c r="N1100" t="n">
        <v>58602.77857</v>
      </c>
      <c r="O1100" t="n">
        <v>58602.77857</v>
      </c>
      <c r="P1100" t="n">
        <v>0</v>
      </c>
    </row>
    <row r="1101">
      <c r="A1101" t="inlineStr">
        <is>
          <t>2</t>
        </is>
      </c>
      <c r="B1101" t="inlineStr">
        <is>
          <t>АТ "Укрексімбанк"</t>
        </is>
      </c>
      <c r="C1101" t="inlineStr">
        <is>
          <t>Державний</t>
        </is>
      </c>
      <c r="D1101" t="inlineStr">
        <is>
          <t>7431</t>
        </is>
      </c>
      <c r="E1101" t="inlineStr">
        <is>
          <t>(без привʼязки)</t>
        </is>
      </c>
      <c r="F1101" t="inlineStr">
        <is>
          <t>Господарські витрати</t>
        </is>
      </c>
      <c r="G1101" t="inlineStr">
        <is>
          <t>А</t>
        </is>
      </c>
      <c r="H1101" t="n">
        <v>6072.42212</v>
      </c>
      <c r="I1101" t="n">
        <v>6072.42212</v>
      </c>
      <c r="J1101" t="n">
        <v>0</v>
      </c>
      <c r="K1101" t="n">
        <v>0</v>
      </c>
      <c r="L1101" t="n">
        <v>0</v>
      </c>
      <c r="M1101" t="n">
        <v>0</v>
      </c>
      <c r="N1101" t="n">
        <v>71920.13408</v>
      </c>
      <c r="O1101" t="n">
        <v>71920.13408</v>
      </c>
      <c r="P1101" t="n">
        <v>0</v>
      </c>
    </row>
    <row r="1102">
      <c r="A1102" t="inlineStr">
        <is>
          <t>2</t>
        </is>
      </c>
      <c r="B1102" t="inlineStr">
        <is>
          <t>АТ "Укрексімбанк"</t>
        </is>
      </c>
      <c r="C1102" t="inlineStr">
        <is>
          <t>Державний</t>
        </is>
      </c>
      <c r="D1102" t="inlineStr">
        <is>
          <t>7431</t>
        </is>
      </c>
      <c r="E1102" t="inlineStr">
        <is>
          <t>Загальні витрати (7)</t>
        </is>
      </c>
      <c r="F1102" t="inlineStr">
        <is>
          <t>Господарські витрати</t>
        </is>
      </c>
      <c r="G1102" t="inlineStr">
        <is>
          <t>А</t>
        </is>
      </c>
      <c r="H1102" t="n">
        <v>6072.42212</v>
      </c>
      <c r="I1102" t="n">
        <v>6072.42212</v>
      </c>
      <c r="J1102" t="n">
        <v>0</v>
      </c>
      <c r="K1102" t="n">
        <v>0</v>
      </c>
      <c r="L1102" t="n">
        <v>0</v>
      </c>
      <c r="M1102" t="n">
        <v>0</v>
      </c>
      <c r="N1102" t="n">
        <v>71920.13408</v>
      </c>
      <c r="O1102" t="n">
        <v>71920.13408</v>
      </c>
      <c r="P1102" t="n">
        <v>0</v>
      </c>
    </row>
    <row r="1103">
      <c r="A1103" t="inlineStr">
        <is>
          <t>2</t>
        </is>
      </c>
      <c r="B1103" t="inlineStr">
        <is>
          <t>АТ "Укрексімбанк"</t>
        </is>
      </c>
      <c r="C1103" t="inlineStr">
        <is>
          <t>Державний</t>
        </is>
      </c>
      <c r="D1103" t="inlineStr">
        <is>
          <t>7432</t>
        </is>
      </c>
      <c r="E1103" t="inlineStr">
        <is>
          <t>(без привʼязки)</t>
        </is>
      </c>
      <c r="F1103" t="inlineStr">
        <is>
          <t>Витрати на охорону</t>
        </is>
      </c>
      <c r="G1103" t="inlineStr">
        <is>
          <t>А</t>
        </is>
      </c>
      <c r="H1103" t="n">
        <v>5302.00347</v>
      </c>
      <c r="I1103" t="n">
        <v>5302.00347</v>
      </c>
      <c r="J1103" t="n">
        <v>0</v>
      </c>
      <c r="K1103" t="n">
        <v>3.35382</v>
      </c>
      <c r="L1103" t="n">
        <v>3.35382</v>
      </c>
      <c r="M1103" t="n">
        <v>0</v>
      </c>
      <c r="N1103" t="n">
        <v>63495.86041</v>
      </c>
      <c r="O1103" t="n">
        <v>63495.86041</v>
      </c>
      <c r="P1103" t="n">
        <v>0</v>
      </c>
    </row>
    <row r="1104">
      <c r="A1104" t="inlineStr">
        <is>
          <t>2</t>
        </is>
      </c>
      <c r="B1104" t="inlineStr">
        <is>
          <t>АТ "Укрексімбанк"</t>
        </is>
      </c>
      <c r="C1104" t="inlineStr">
        <is>
          <t>Державний</t>
        </is>
      </c>
      <c r="D1104" t="inlineStr">
        <is>
          <t>7432</t>
        </is>
      </c>
      <c r="E1104" t="inlineStr">
        <is>
          <t>Загальні витрати (7)</t>
        </is>
      </c>
      <c r="F1104" t="inlineStr">
        <is>
          <t>Витрати на охорону</t>
        </is>
      </c>
      <c r="G1104" t="inlineStr">
        <is>
          <t>А</t>
        </is>
      </c>
      <c r="H1104" t="n">
        <v>5302.00347</v>
      </c>
      <c r="I1104" t="n">
        <v>5302.00347</v>
      </c>
      <c r="J1104" t="n">
        <v>0</v>
      </c>
      <c r="K1104" t="n">
        <v>3.35382</v>
      </c>
      <c r="L1104" t="n">
        <v>3.35382</v>
      </c>
      <c r="M1104" t="n">
        <v>0</v>
      </c>
      <c r="N1104" t="n">
        <v>63495.86041</v>
      </c>
      <c r="O1104" t="n">
        <v>63495.86041</v>
      </c>
      <c r="P1104" t="n">
        <v>0</v>
      </c>
    </row>
    <row r="1105">
      <c r="A1105" t="inlineStr">
        <is>
          <t>2</t>
        </is>
      </c>
      <c r="B1105" t="inlineStr">
        <is>
          <t>АТ "Укрексімбанк"</t>
        </is>
      </c>
      <c r="C1105" t="inlineStr">
        <is>
          <t>Державний</t>
        </is>
      </c>
      <c r="D1105" t="inlineStr">
        <is>
          <t>7433</t>
        </is>
      </c>
      <c r="E1105" t="inlineStr">
        <is>
          <t>(без привʼязки)</t>
        </is>
      </c>
      <c r="F1105" t="inlineStr">
        <is>
          <t>Інші експлуатаційні витрати</t>
        </is>
      </c>
      <c r="G1105" t="inlineStr">
        <is>
          <t>А</t>
        </is>
      </c>
      <c r="H1105" t="n">
        <v>82.39085</v>
      </c>
      <c r="I1105" t="n">
        <v>82.39085</v>
      </c>
      <c r="J1105" t="n">
        <v>0</v>
      </c>
      <c r="K1105" t="n">
        <v>0</v>
      </c>
      <c r="L1105" t="n">
        <v>0</v>
      </c>
      <c r="M1105" t="n">
        <v>0</v>
      </c>
      <c r="N1105" t="n">
        <v>692.21236</v>
      </c>
      <c r="O1105" t="n">
        <v>692.21236</v>
      </c>
      <c r="P1105" t="n">
        <v>0</v>
      </c>
    </row>
    <row r="1106">
      <c r="A1106" t="inlineStr">
        <is>
          <t>2</t>
        </is>
      </c>
      <c r="B1106" t="inlineStr">
        <is>
          <t>АТ "Укрексімбанк"</t>
        </is>
      </c>
      <c r="C1106" t="inlineStr">
        <is>
          <t>Державний</t>
        </is>
      </c>
      <c r="D1106" t="inlineStr">
        <is>
          <t>7433</t>
        </is>
      </c>
      <c r="E1106" t="inlineStr">
        <is>
          <t>Загальні витрати (7)</t>
        </is>
      </c>
      <c r="F1106" t="inlineStr">
        <is>
          <t>Інші експлуатаційні витрати</t>
        </is>
      </c>
      <c r="G1106" t="inlineStr">
        <is>
          <t>А</t>
        </is>
      </c>
      <c r="H1106" t="n">
        <v>82.39085</v>
      </c>
      <c r="I1106" t="n">
        <v>82.39085</v>
      </c>
      <c r="J1106" t="n">
        <v>0</v>
      </c>
      <c r="K1106" t="n">
        <v>0</v>
      </c>
      <c r="L1106" t="n">
        <v>0</v>
      </c>
      <c r="M1106" t="n">
        <v>0</v>
      </c>
      <c r="N1106" t="n">
        <v>692.21236</v>
      </c>
      <c r="O1106" t="n">
        <v>692.21236</v>
      </c>
      <c r="P1106" t="n">
        <v>0</v>
      </c>
    </row>
    <row r="1107">
      <c r="A1107" t="inlineStr">
        <is>
          <t>2</t>
        </is>
      </c>
      <c r="B1107" t="inlineStr">
        <is>
          <t>АТ "Укрексімбанк"</t>
        </is>
      </c>
      <c r="C1107" t="inlineStr">
        <is>
          <t>Державний</t>
        </is>
      </c>
      <c r="D1107" t="inlineStr">
        <is>
          <t>7450</t>
        </is>
      </c>
      <c r="E1107" t="inlineStr">
        <is>
          <t>(без привʼязки)</t>
        </is>
      </c>
      <c r="F1107" t="inlineStr">
        <is>
          <t>Поштово-телефонні витрати</t>
        </is>
      </c>
      <c r="G1107" t="inlineStr">
        <is>
          <t>А</t>
        </is>
      </c>
      <c r="H1107" t="n">
        <v>959.20343</v>
      </c>
      <c r="I1107" t="n">
        <v>959.20343</v>
      </c>
      <c r="J1107" t="n">
        <v>0</v>
      </c>
      <c r="K1107" t="n">
        <v>0</v>
      </c>
      <c r="L1107" t="n">
        <v>0</v>
      </c>
      <c r="M1107" t="n">
        <v>0</v>
      </c>
      <c r="N1107" t="n">
        <v>9990.820030000001</v>
      </c>
      <c r="O1107" t="n">
        <v>9990.820030000001</v>
      </c>
      <c r="P1107" t="n">
        <v>0</v>
      </c>
    </row>
    <row r="1108">
      <c r="A1108" t="inlineStr">
        <is>
          <t>2</t>
        </is>
      </c>
      <c r="B1108" t="inlineStr">
        <is>
          <t>АТ "Укрексімбанк"</t>
        </is>
      </c>
      <c r="C1108" t="inlineStr">
        <is>
          <t>Державний</t>
        </is>
      </c>
      <c r="D1108" t="inlineStr">
        <is>
          <t>7450</t>
        </is>
      </c>
      <c r="E1108" t="inlineStr">
        <is>
          <t>Загальні витрати (7)</t>
        </is>
      </c>
      <c r="F1108" t="inlineStr">
        <is>
          <t>Поштово-телефонні витрати</t>
        </is>
      </c>
      <c r="G1108" t="inlineStr">
        <is>
          <t>А</t>
        </is>
      </c>
      <c r="H1108" t="n">
        <v>959.20343</v>
      </c>
      <c r="I1108" t="n">
        <v>959.20343</v>
      </c>
      <c r="J1108" t="n">
        <v>0</v>
      </c>
      <c r="K1108" t="n">
        <v>0</v>
      </c>
      <c r="L1108" t="n">
        <v>0</v>
      </c>
      <c r="M1108" t="n">
        <v>0</v>
      </c>
      <c r="N1108" t="n">
        <v>9990.820030000001</v>
      </c>
      <c r="O1108" t="n">
        <v>9990.820030000001</v>
      </c>
      <c r="P1108" t="n">
        <v>0</v>
      </c>
    </row>
    <row r="1109">
      <c r="A1109" t="inlineStr">
        <is>
          <t>2</t>
        </is>
      </c>
      <c r="B1109" t="inlineStr">
        <is>
          <t>АТ "Укрексімбанк"</t>
        </is>
      </c>
      <c r="C1109" t="inlineStr">
        <is>
          <t>Державний</t>
        </is>
      </c>
      <c r="D1109" t="inlineStr">
        <is>
          <t>7452</t>
        </is>
      </c>
      <c r="E1109" t="inlineStr">
        <is>
          <t>(без привʼязки)</t>
        </is>
      </c>
      <c r="F1109" t="inlineStr">
        <is>
          <t>Витрати на відрядження</t>
        </is>
      </c>
      <c r="G1109" t="inlineStr">
        <is>
          <t>А</t>
        </is>
      </c>
      <c r="H1109" t="n">
        <v>443.3292</v>
      </c>
      <c r="I1109" t="n">
        <v>443.3292</v>
      </c>
      <c r="J1109" t="n">
        <v>0</v>
      </c>
      <c r="K1109" t="n">
        <v>0</v>
      </c>
      <c r="L1109" t="n">
        <v>0</v>
      </c>
      <c r="M1109" t="n">
        <v>0</v>
      </c>
      <c r="N1109" t="n">
        <v>6913.47784</v>
      </c>
      <c r="O1109" t="n">
        <v>6913.47784</v>
      </c>
      <c r="P1109" t="n">
        <v>0</v>
      </c>
    </row>
    <row r="1110">
      <c r="A1110" t="inlineStr">
        <is>
          <t>2</t>
        </is>
      </c>
      <c r="B1110" t="inlineStr">
        <is>
          <t>АТ "Укрексімбанк"</t>
        </is>
      </c>
      <c r="C1110" t="inlineStr">
        <is>
          <t>Державний</t>
        </is>
      </c>
      <c r="D1110" t="inlineStr">
        <is>
          <t>7452</t>
        </is>
      </c>
      <c r="E1110" t="inlineStr">
        <is>
          <t>Загальні витрати (7)</t>
        </is>
      </c>
      <c r="F1110" t="inlineStr">
        <is>
          <t>Витрати на відрядження</t>
        </is>
      </c>
      <c r="G1110" t="inlineStr">
        <is>
          <t>А</t>
        </is>
      </c>
      <c r="H1110" t="n">
        <v>443.3292</v>
      </c>
      <c r="I1110" t="n">
        <v>443.3292</v>
      </c>
      <c r="J1110" t="n">
        <v>0</v>
      </c>
      <c r="K1110" t="n">
        <v>0</v>
      </c>
      <c r="L1110" t="n">
        <v>0</v>
      </c>
      <c r="M1110" t="n">
        <v>0</v>
      </c>
      <c r="N1110" t="n">
        <v>6913.47784</v>
      </c>
      <c r="O1110" t="n">
        <v>6913.47784</v>
      </c>
      <c r="P1110" t="n">
        <v>0</v>
      </c>
    </row>
    <row r="1111">
      <c r="A1111" t="inlineStr">
        <is>
          <t>2</t>
        </is>
      </c>
      <c r="B1111" t="inlineStr">
        <is>
          <t>АТ "Укрексімбанк"</t>
        </is>
      </c>
      <c r="C1111" t="inlineStr">
        <is>
          <t>Державний</t>
        </is>
      </c>
      <c r="D1111" t="inlineStr">
        <is>
          <t>7454</t>
        </is>
      </c>
      <c r="E1111" t="inlineStr">
        <is>
          <t>(без привʼязки)</t>
        </is>
      </c>
      <c r="F1111" t="inlineStr">
        <is>
          <t>Представницькі витрати</t>
        </is>
      </c>
      <c r="G1111" t="inlineStr">
        <is>
          <t>А</t>
        </is>
      </c>
      <c r="H1111" t="n">
        <v>134.32776</v>
      </c>
      <c r="I1111" t="n">
        <v>134.32776</v>
      </c>
      <c r="J1111" t="n">
        <v>0</v>
      </c>
      <c r="K1111" t="n">
        <v>0</v>
      </c>
      <c r="L1111" t="n">
        <v>0</v>
      </c>
      <c r="M1111" t="n">
        <v>0</v>
      </c>
      <c r="N1111" t="n">
        <v>1038.20941</v>
      </c>
      <c r="O1111" t="n">
        <v>1038.20941</v>
      </c>
      <c r="P1111" t="n">
        <v>0</v>
      </c>
    </row>
    <row r="1112">
      <c r="A1112" t="inlineStr">
        <is>
          <t>2</t>
        </is>
      </c>
      <c r="B1112" t="inlineStr">
        <is>
          <t>АТ "Укрексімбанк"</t>
        </is>
      </c>
      <c r="C1112" t="inlineStr">
        <is>
          <t>Державний</t>
        </is>
      </c>
      <c r="D1112" t="inlineStr">
        <is>
          <t>7454</t>
        </is>
      </c>
      <c r="E1112" t="inlineStr">
        <is>
          <t>Загальні витрати (7)</t>
        </is>
      </c>
      <c r="F1112" t="inlineStr">
        <is>
          <t>Представницькі витрати</t>
        </is>
      </c>
      <c r="G1112" t="inlineStr">
        <is>
          <t>А</t>
        </is>
      </c>
      <c r="H1112" t="n">
        <v>134.32776</v>
      </c>
      <c r="I1112" t="n">
        <v>134.32776</v>
      </c>
      <c r="J1112" t="n">
        <v>0</v>
      </c>
      <c r="K1112" t="n">
        <v>0</v>
      </c>
      <c r="L1112" t="n">
        <v>0</v>
      </c>
      <c r="M1112" t="n">
        <v>0</v>
      </c>
      <c r="N1112" t="n">
        <v>1038.20941</v>
      </c>
      <c r="O1112" t="n">
        <v>1038.20941</v>
      </c>
      <c r="P1112" t="n">
        <v>0</v>
      </c>
    </row>
    <row r="1113">
      <c r="A1113" t="inlineStr">
        <is>
          <t>2</t>
        </is>
      </c>
      <c r="B1113" t="inlineStr">
        <is>
          <t>АТ "Укрексімбанк"</t>
        </is>
      </c>
      <c r="C1113" t="inlineStr">
        <is>
          <t>Державний</t>
        </is>
      </c>
      <c r="D1113" t="inlineStr">
        <is>
          <t>7455</t>
        </is>
      </c>
      <c r="E1113" t="inlineStr">
        <is>
          <t>(без привʼязки)</t>
        </is>
      </c>
      <c r="F1113" t="inlineStr">
        <is>
          <t xml:space="preserve">Витрати на маркетинг і рекламу </t>
        </is>
      </c>
      <c r="G1113" t="inlineStr">
        <is>
          <t>А</t>
        </is>
      </c>
      <c r="H1113" t="n">
        <v>939.23128</v>
      </c>
      <c r="I1113" t="n">
        <v>939.23128</v>
      </c>
      <c r="J1113" t="n">
        <v>0</v>
      </c>
      <c r="K1113" t="n">
        <v>0</v>
      </c>
      <c r="L1113" t="n">
        <v>0</v>
      </c>
      <c r="M1113" t="n">
        <v>0</v>
      </c>
      <c r="N1113" t="n">
        <v>6152.46739</v>
      </c>
      <c r="O1113" t="n">
        <v>6152.46739</v>
      </c>
      <c r="P1113" t="n">
        <v>0</v>
      </c>
    </row>
    <row r="1114">
      <c r="A1114" t="inlineStr">
        <is>
          <t>2</t>
        </is>
      </c>
      <c r="B1114" t="inlineStr">
        <is>
          <t>АТ "Укрексімбанк"</t>
        </is>
      </c>
      <c r="C1114" t="inlineStr">
        <is>
          <t>Державний</t>
        </is>
      </c>
      <c r="D1114" t="inlineStr">
        <is>
          <t>7455</t>
        </is>
      </c>
      <c r="E1114" t="inlineStr">
        <is>
          <t>Загальні витрати (7)</t>
        </is>
      </c>
      <c r="F1114" t="inlineStr">
        <is>
          <t xml:space="preserve">Витрати на маркетинг і рекламу </t>
        </is>
      </c>
      <c r="G1114" t="inlineStr">
        <is>
          <t>А</t>
        </is>
      </c>
      <c r="H1114" t="n">
        <v>939.23128</v>
      </c>
      <c r="I1114" t="n">
        <v>939.23128</v>
      </c>
      <c r="J1114" t="n">
        <v>0</v>
      </c>
      <c r="K1114" t="n">
        <v>0</v>
      </c>
      <c r="L1114" t="n">
        <v>0</v>
      </c>
      <c r="M1114" t="n">
        <v>0</v>
      </c>
      <c r="N1114" t="n">
        <v>6152.46739</v>
      </c>
      <c r="O1114" t="n">
        <v>6152.46739</v>
      </c>
      <c r="P1114" t="n">
        <v>0</v>
      </c>
    </row>
    <row r="1115">
      <c r="A1115" t="inlineStr">
        <is>
          <t>2</t>
        </is>
      </c>
      <c r="B1115" t="inlineStr">
        <is>
          <t>АТ "Укрексімбанк"</t>
        </is>
      </c>
      <c r="C1115" t="inlineStr">
        <is>
          <t>Державний</t>
        </is>
      </c>
      <c r="D1115" t="inlineStr">
        <is>
          <t>7456</t>
        </is>
      </c>
      <c r="E1115" t="inlineStr">
        <is>
          <t>(без привʼязки)</t>
        </is>
      </c>
      <c r="F1115" t="inlineStr">
        <is>
          <t>Спонсорство та доброчинність</t>
        </is>
      </c>
      <c r="G1115" t="inlineStr">
        <is>
          <t>А</t>
        </is>
      </c>
      <c r="H1115" t="n">
        <v>49.99902</v>
      </c>
      <c r="I1115" t="n">
        <v>49.99902</v>
      </c>
      <c r="J1115" t="n">
        <v>0</v>
      </c>
      <c r="K1115" t="n">
        <v>0</v>
      </c>
      <c r="L1115" t="n">
        <v>0</v>
      </c>
      <c r="M1115" t="n">
        <v>0</v>
      </c>
      <c r="N1115" t="n">
        <v>2313.39406</v>
      </c>
      <c r="O1115" t="n">
        <v>2313.39406</v>
      </c>
      <c r="P1115" t="n">
        <v>0</v>
      </c>
    </row>
    <row r="1116">
      <c r="A1116" t="inlineStr">
        <is>
          <t>2</t>
        </is>
      </c>
      <c r="B1116" t="inlineStr">
        <is>
          <t>АТ "Укрексімбанк"</t>
        </is>
      </c>
      <c r="C1116" t="inlineStr">
        <is>
          <t>Державний</t>
        </is>
      </c>
      <c r="D1116" t="inlineStr">
        <is>
          <t>7456</t>
        </is>
      </c>
      <c r="E1116" t="inlineStr">
        <is>
          <t>Загальні витрати (7)</t>
        </is>
      </c>
      <c r="F1116" t="inlineStr">
        <is>
          <t>Спонсорство та доброчинність</t>
        </is>
      </c>
      <c r="G1116" t="inlineStr">
        <is>
          <t>А</t>
        </is>
      </c>
      <c r="H1116" t="n">
        <v>49.99902</v>
      </c>
      <c r="I1116" t="n">
        <v>49.99902</v>
      </c>
      <c r="J1116" t="n">
        <v>0</v>
      </c>
      <c r="K1116" t="n">
        <v>0</v>
      </c>
      <c r="L1116" t="n">
        <v>0</v>
      </c>
      <c r="M1116" t="n">
        <v>0</v>
      </c>
      <c r="N1116" t="n">
        <v>2313.39406</v>
      </c>
      <c r="O1116" t="n">
        <v>2313.39406</v>
      </c>
      <c r="P1116" t="n">
        <v>0</v>
      </c>
    </row>
    <row r="1117">
      <c r="A1117" t="inlineStr">
        <is>
          <t>2</t>
        </is>
      </c>
      <c r="B1117" t="inlineStr">
        <is>
          <t>АТ "Укрексімбанк"</t>
        </is>
      </c>
      <c r="C1117" t="inlineStr">
        <is>
          <t>Державний</t>
        </is>
      </c>
      <c r="D1117" t="inlineStr">
        <is>
          <t>7457</t>
        </is>
      </c>
      <c r="E1117" t="inlineStr">
        <is>
          <t>(без привʼязки)</t>
        </is>
      </c>
      <c r="F1117" t="inlineStr">
        <is>
          <t>Інші адміністративні витрати</t>
        </is>
      </c>
      <c r="G1117" t="inlineStr">
        <is>
          <t>А</t>
        </is>
      </c>
      <c r="H1117" t="n">
        <v>9259.380230000001</v>
      </c>
      <c r="I1117" t="n">
        <v>9259.380230000001</v>
      </c>
      <c r="J1117" t="n">
        <v>0</v>
      </c>
      <c r="K1117" t="n">
        <v>0</v>
      </c>
      <c r="L1117" t="n">
        <v>0</v>
      </c>
      <c r="M1117" t="n">
        <v>0</v>
      </c>
      <c r="N1117" t="n">
        <v>91488.66247</v>
      </c>
      <c r="O1117" t="n">
        <v>91488.66247</v>
      </c>
      <c r="P1117" t="n">
        <v>0</v>
      </c>
    </row>
    <row r="1118">
      <c r="A1118" t="inlineStr">
        <is>
          <t>2</t>
        </is>
      </c>
      <c r="B1118" t="inlineStr">
        <is>
          <t>АТ "Укрексімбанк"</t>
        </is>
      </c>
      <c r="C1118" t="inlineStr">
        <is>
          <t>Державний</t>
        </is>
      </c>
      <c r="D1118" t="inlineStr">
        <is>
          <t>7457</t>
        </is>
      </c>
      <c r="E1118" t="inlineStr">
        <is>
          <t>Загальні витрати (7)</t>
        </is>
      </c>
      <c r="F1118" t="inlineStr">
        <is>
          <t>Інші адміністративні витрати</t>
        </is>
      </c>
      <c r="G1118" t="inlineStr">
        <is>
          <t>А</t>
        </is>
      </c>
      <c r="H1118" t="n">
        <v>9259.380230000001</v>
      </c>
      <c r="I1118" t="n">
        <v>9259.380230000001</v>
      </c>
      <c r="J1118" t="n">
        <v>0</v>
      </c>
      <c r="K1118" t="n">
        <v>0</v>
      </c>
      <c r="L1118" t="n">
        <v>0</v>
      </c>
      <c r="M1118" t="n">
        <v>0</v>
      </c>
      <c r="N1118" t="n">
        <v>91488.66247</v>
      </c>
      <c r="O1118" t="n">
        <v>91488.66247</v>
      </c>
      <c r="P1118" t="n">
        <v>0</v>
      </c>
    </row>
    <row r="1119">
      <c r="A1119" t="inlineStr">
        <is>
          <t>2</t>
        </is>
      </c>
      <c r="B1119" t="inlineStr">
        <is>
          <t>АТ "Укрексімбанк"</t>
        </is>
      </c>
      <c r="C1119" t="inlineStr">
        <is>
          <t>Державний</t>
        </is>
      </c>
      <c r="D1119" t="inlineStr">
        <is>
          <t>7490</t>
        </is>
      </c>
      <c r="E1119" t="inlineStr">
        <is>
          <t>(без привʼязки)</t>
        </is>
      </c>
      <c r="F1119" t="inlineStr">
        <is>
          <t>Негативний результат від вибуття нематеріальних активів та основних засобів</t>
        </is>
      </c>
      <c r="G1119" t="inlineStr">
        <is>
          <t>А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185.8621</v>
      </c>
      <c r="O1119" t="n">
        <v>185.8621</v>
      </c>
      <c r="P1119" t="n">
        <v>0</v>
      </c>
    </row>
    <row r="1120">
      <c r="A1120" t="inlineStr">
        <is>
          <t>2</t>
        </is>
      </c>
      <c r="B1120" t="inlineStr">
        <is>
          <t>АТ "Укрексімбанк"</t>
        </is>
      </c>
      <c r="C1120" t="inlineStr">
        <is>
          <t>Державний</t>
        </is>
      </c>
      <c r="D1120" t="inlineStr">
        <is>
          <t>7490</t>
        </is>
      </c>
      <c r="E1120" t="inlineStr">
        <is>
          <t>Загальні витрати (7)</t>
        </is>
      </c>
      <c r="F1120" t="inlineStr">
        <is>
          <t>Негативний результат від вибуття нематеріальних активів та основних засобів</t>
        </is>
      </c>
      <c r="G1120" t="inlineStr">
        <is>
          <t>А</t>
        </is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185.8621</v>
      </c>
      <c r="O1120" t="n">
        <v>185.8621</v>
      </c>
      <c r="P1120" t="n">
        <v>0</v>
      </c>
    </row>
    <row r="1121">
      <c r="A1121" t="inlineStr">
        <is>
          <t>2</t>
        </is>
      </c>
      <c r="B1121" t="inlineStr">
        <is>
          <t>АТ "Укрексімбанк"</t>
        </is>
      </c>
      <c r="C1121" t="inlineStr">
        <is>
          <t>Державний</t>
        </is>
      </c>
      <c r="D1121" t="inlineStr">
        <is>
          <t>7491</t>
        </is>
      </c>
      <c r="E1121" t="inlineStr">
        <is>
          <t>(без привʼязки)</t>
        </is>
      </c>
      <c r="F1121" t="inlineStr">
        <is>
          <t>Втрати від уцінки запасів на продаж</t>
        </is>
      </c>
      <c r="G1121" t="inlineStr">
        <is>
          <t>А</t>
        </is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inlineStr">
        <is>
          <t>2</t>
        </is>
      </c>
      <c r="B1122" t="inlineStr">
        <is>
          <t>АТ "Укрексімбанк"</t>
        </is>
      </c>
      <c r="C1122" t="inlineStr">
        <is>
          <t>Державний</t>
        </is>
      </c>
      <c r="D1122" t="inlineStr">
        <is>
          <t>7491</t>
        </is>
      </c>
      <c r="E1122" t="inlineStr">
        <is>
          <t>Загальні витрати (7)</t>
        </is>
      </c>
      <c r="F1122" t="inlineStr">
        <is>
          <t>Втрати від уцінки запасів на продаж</t>
        </is>
      </c>
      <c r="G1122" t="inlineStr">
        <is>
          <t>А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inlineStr">
        <is>
          <t>2</t>
        </is>
      </c>
      <c r="B1123" t="inlineStr">
        <is>
          <t>АТ "Укрексімбанк"</t>
        </is>
      </c>
      <c r="C1123" t="inlineStr">
        <is>
          <t>Державний</t>
        </is>
      </c>
      <c r="D1123" t="inlineStr">
        <is>
          <t>7491</t>
        </is>
      </c>
      <c r="E1123" t="inlineStr">
        <is>
          <t>(без привʼязки)</t>
        </is>
      </c>
      <c r="F1123" t="inlineStr">
        <is>
          <t>Втрати від уцінки запасів на продаж</t>
        </is>
      </c>
      <c r="G1123" t="inlineStr">
        <is>
          <t>П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2</t>
        </is>
      </c>
      <c r="B1124" t="inlineStr">
        <is>
          <t>АТ "Укрексімбанк"</t>
        </is>
      </c>
      <c r="C1124" t="inlineStr">
        <is>
          <t>Державний</t>
        </is>
      </c>
      <c r="D1124" t="inlineStr">
        <is>
          <t>7491</t>
        </is>
      </c>
      <c r="E1124" t="inlineStr">
        <is>
          <t>Загальні витрати (7)</t>
        </is>
      </c>
      <c r="F1124" t="inlineStr">
        <is>
          <t>Втрати від уцінки запасів на продаж</t>
        </is>
      </c>
      <c r="G1124" t="inlineStr">
        <is>
          <t>П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inlineStr">
        <is>
          <t>2</t>
        </is>
      </c>
      <c r="B1125" t="inlineStr">
        <is>
          <t>АТ "Укрексімбанк"</t>
        </is>
      </c>
      <c r="C1125" t="inlineStr">
        <is>
          <t>Державний</t>
        </is>
      </c>
      <c r="D1125" t="inlineStr">
        <is>
          <t>7499</t>
        </is>
      </c>
      <c r="E1125" t="inlineStr">
        <is>
          <t>(без привʼязки)</t>
        </is>
      </c>
      <c r="F1125" t="inlineStr">
        <is>
          <t>Інші витрати</t>
        </is>
      </c>
      <c r="G1125" t="inlineStr">
        <is>
          <t>А</t>
        </is>
      </c>
      <c r="H1125" t="n">
        <v>518.54003</v>
      </c>
      <c r="I1125" t="n">
        <v>518.54003</v>
      </c>
      <c r="J1125" t="n">
        <v>0</v>
      </c>
      <c r="K1125" t="n">
        <v>0</v>
      </c>
      <c r="L1125" t="n">
        <v>0</v>
      </c>
      <c r="M1125" t="n">
        <v>0</v>
      </c>
      <c r="N1125" t="n">
        <v>11121.41052</v>
      </c>
      <c r="O1125" t="n">
        <v>11121.41052</v>
      </c>
      <c r="P1125" t="n">
        <v>0</v>
      </c>
    </row>
    <row r="1126">
      <c r="A1126" t="inlineStr">
        <is>
          <t>2</t>
        </is>
      </c>
      <c r="B1126" t="inlineStr">
        <is>
          <t>АТ "Укрексімбанк"</t>
        </is>
      </c>
      <c r="C1126" t="inlineStr">
        <is>
          <t>Державний</t>
        </is>
      </c>
      <c r="D1126" t="inlineStr">
        <is>
          <t>7499</t>
        </is>
      </c>
      <c r="E1126" t="inlineStr">
        <is>
          <t>Загальні витрати (7)</t>
        </is>
      </c>
      <c r="F1126" t="inlineStr">
        <is>
          <t>Інші витрати</t>
        </is>
      </c>
      <c r="G1126" t="inlineStr">
        <is>
          <t>А</t>
        </is>
      </c>
      <c r="H1126" t="n">
        <v>518.54003</v>
      </c>
      <c r="I1126" t="n">
        <v>518.54003</v>
      </c>
      <c r="J1126" t="n">
        <v>0</v>
      </c>
      <c r="K1126" t="n">
        <v>0</v>
      </c>
      <c r="L1126" t="n">
        <v>0</v>
      </c>
      <c r="M1126" t="n">
        <v>0</v>
      </c>
      <c r="N1126" t="n">
        <v>11121.41052</v>
      </c>
      <c r="O1126" t="n">
        <v>11121.41052</v>
      </c>
      <c r="P1126" t="n">
        <v>0</v>
      </c>
    </row>
    <row r="1127">
      <c r="A1127" t="inlineStr">
        <is>
          <t>2</t>
        </is>
      </c>
      <c r="B1127" t="inlineStr">
        <is>
          <t>АТ "Укрексімбанк"</t>
        </is>
      </c>
      <c r="C1127" t="inlineStr">
        <is>
          <t>Державний</t>
        </is>
      </c>
      <c r="D1127" t="inlineStr">
        <is>
          <t>7500</t>
        </is>
      </c>
      <c r="E1127" t="inlineStr">
        <is>
          <t>(без привʼязки)</t>
        </is>
      </c>
      <c r="F1127" t="inlineStr">
        <is>
          <t>Комісійні витрати на розрахунково-касове обслуговування</t>
        </is>
      </c>
      <c r="G1127" t="inlineStr">
        <is>
          <t>А</t>
        </is>
      </c>
      <c r="H1127" t="n">
        <v>21855.78617</v>
      </c>
      <c r="I1127" t="n">
        <v>21855.78617</v>
      </c>
      <c r="J1127" t="n">
        <v>0</v>
      </c>
      <c r="K1127" t="n">
        <v>340.85163</v>
      </c>
      <c r="L1127" t="n">
        <v>340.85163</v>
      </c>
      <c r="M1127" t="n">
        <v>0</v>
      </c>
      <c r="N1127" t="n">
        <v>251398.97173</v>
      </c>
      <c r="O1127" t="n">
        <v>251398.97173</v>
      </c>
      <c r="P1127" t="n">
        <v>0</v>
      </c>
    </row>
    <row r="1128">
      <c r="A1128" t="inlineStr">
        <is>
          <t>2</t>
        </is>
      </c>
      <c r="B1128" t="inlineStr">
        <is>
          <t>АТ "Укрексімбанк"</t>
        </is>
      </c>
      <c r="C1128" t="inlineStr">
        <is>
          <t>Державний</t>
        </is>
      </c>
      <c r="D1128" t="inlineStr">
        <is>
          <t>7500</t>
        </is>
      </c>
      <c r="E1128" t="inlineStr">
        <is>
          <t>Загальні витрати (7)</t>
        </is>
      </c>
      <c r="F1128" t="inlineStr">
        <is>
          <t>Комісійні витрати на розрахунково-касове обслуговування</t>
        </is>
      </c>
      <c r="G1128" t="inlineStr">
        <is>
          <t>А</t>
        </is>
      </c>
      <c r="H1128" t="n">
        <v>21855.78617</v>
      </c>
      <c r="I1128" t="n">
        <v>21855.78617</v>
      </c>
      <c r="J1128" t="n">
        <v>0</v>
      </c>
      <c r="K1128" t="n">
        <v>340.85163</v>
      </c>
      <c r="L1128" t="n">
        <v>340.85163</v>
      </c>
      <c r="M1128" t="n">
        <v>0</v>
      </c>
      <c r="N1128" t="n">
        <v>251398.97173</v>
      </c>
      <c r="O1128" t="n">
        <v>251398.97173</v>
      </c>
      <c r="P1128" t="n">
        <v>0</v>
      </c>
    </row>
    <row r="1129">
      <c r="A1129" t="inlineStr">
        <is>
          <t>2</t>
        </is>
      </c>
      <c r="B1129" t="inlineStr">
        <is>
          <t>АТ "Укрексімбанк"</t>
        </is>
      </c>
      <c r="C1129" t="inlineStr">
        <is>
          <t>Державний</t>
        </is>
      </c>
      <c r="D1129" t="inlineStr">
        <is>
          <t>7501</t>
        </is>
      </c>
      <c r="E1129" t="inlineStr">
        <is>
          <t>(без привʼязки)</t>
        </is>
      </c>
      <c r="F1129" t="inlineStr">
        <is>
          <t>Комісійні витрати на кредитне обслуговування</t>
        </is>
      </c>
      <c r="G1129" t="inlineStr">
        <is>
          <t>А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inlineStr">
        <is>
          <t>2</t>
        </is>
      </c>
      <c r="B1130" t="inlineStr">
        <is>
          <t>АТ "Укрексімбанк"</t>
        </is>
      </c>
      <c r="C1130" t="inlineStr">
        <is>
          <t>Державний</t>
        </is>
      </c>
      <c r="D1130" t="inlineStr">
        <is>
          <t>7501</t>
        </is>
      </c>
      <c r="E1130" t="inlineStr">
        <is>
          <t>Загальні витрати (7)</t>
        </is>
      </c>
      <c r="F1130" t="inlineStr">
        <is>
          <t>Комісійні витрати на кредитне обслуговування</t>
        </is>
      </c>
      <c r="G1130" t="inlineStr">
        <is>
          <t>А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inlineStr">
        <is>
          <t>2</t>
        </is>
      </c>
      <c r="B1131" t="inlineStr">
        <is>
          <t>АТ "Укрексімбанк"</t>
        </is>
      </c>
      <c r="C1131" t="inlineStr">
        <is>
          <t>Державний</t>
        </is>
      </c>
      <c r="D1131" t="inlineStr">
        <is>
          <t>7503</t>
        </is>
      </c>
      <c r="E1131" t="inlineStr">
        <is>
          <t>(без привʼязки)</t>
        </is>
      </c>
      <c r="F1131" t="inlineStr">
        <is>
          <t>Комісійні витрати за операціями з цінними паперами</t>
        </is>
      </c>
      <c r="G1131" t="inlineStr">
        <is>
          <t>А</t>
        </is>
      </c>
      <c r="H1131" t="n">
        <v>1307.33518</v>
      </c>
      <c r="I1131" t="n">
        <v>1307.33518</v>
      </c>
      <c r="J1131" t="n">
        <v>0</v>
      </c>
      <c r="K1131" t="n">
        <v>0</v>
      </c>
      <c r="L1131" t="n">
        <v>0</v>
      </c>
      <c r="M1131" t="n">
        <v>0</v>
      </c>
      <c r="N1131" t="n">
        <v>12261.49989</v>
      </c>
      <c r="O1131" t="n">
        <v>12261.49989</v>
      </c>
      <c r="P1131" t="n">
        <v>0</v>
      </c>
    </row>
    <row r="1132">
      <c r="A1132" t="inlineStr">
        <is>
          <t>2</t>
        </is>
      </c>
      <c r="B1132" t="inlineStr">
        <is>
          <t>АТ "Укрексімбанк"</t>
        </is>
      </c>
      <c r="C1132" t="inlineStr">
        <is>
          <t>Державний</t>
        </is>
      </c>
      <c r="D1132" t="inlineStr">
        <is>
          <t>7503</t>
        </is>
      </c>
      <c r="E1132" t="inlineStr">
        <is>
          <t>Загальні витрати (7)</t>
        </is>
      </c>
      <c r="F1132" t="inlineStr">
        <is>
          <t>Комісійні витрати за операціями з цінними паперами</t>
        </is>
      </c>
      <c r="G1132" t="inlineStr">
        <is>
          <t>А</t>
        </is>
      </c>
      <c r="H1132" t="n">
        <v>1307.33518</v>
      </c>
      <c r="I1132" t="n">
        <v>1307.33518</v>
      </c>
      <c r="J1132" t="n">
        <v>0</v>
      </c>
      <c r="K1132" t="n">
        <v>0</v>
      </c>
      <c r="L1132" t="n">
        <v>0</v>
      </c>
      <c r="M1132" t="n">
        <v>0</v>
      </c>
      <c r="N1132" t="n">
        <v>12261.49989</v>
      </c>
      <c r="O1132" t="n">
        <v>12261.49989</v>
      </c>
      <c r="P1132" t="n">
        <v>0</v>
      </c>
    </row>
    <row r="1133">
      <c r="A1133" t="inlineStr">
        <is>
          <t>2</t>
        </is>
      </c>
      <c r="B1133" t="inlineStr">
        <is>
          <t>АТ "Укрексімбанк"</t>
        </is>
      </c>
      <c r="C1133" t="inlineStr">
        <is>
          <t>Державний</t>
        </is>
      </c>
      <c r="D1133" t="inlineStr">
        <is>
          <t>7504</t>
        </is>
      </c>
      <c r="E1133" t="inlineStr">
        <is>
          <t>(без привʼязки)</t>
        </is>
      </c>
      <c r="F1133" t="inlineStr">
        <is>
          <t>Комісійні витрати за операціями на валютному ринку та ринку банківських металів</t>
        </is>
      </c>
      <c r="G1133" t="inlineStr">
        <is>
          <t>А</t>
        </is>
      </c>
      <c r="H1133" t="n">
        <v>3339.22814</v>
      </c>
      <c r="I1133" t="n">
        <v>3339.22814</v>
      </c>
      <c r="J1133" t="n">
        <v>0</v>
      </c>
      <c r="K1133" t="n">
        <v>19.0788</v>
      </c>
      <c r="L1133" t="n">
        <v>19.0788</v>
      </c>
      <c r="M1133" t="n">
        <v>0</v>
      </c>
      <c r="N1133" t="n">
        <v>34851.6051</v>
      </c>
      <c r="O1133" t="n">
        <v>34851.6051</v>
      </c>
      <c r="P1133" t="n">
        <v>0</v>
      </c>
    </row>
    <row r="1134">
      <c r="A1134" t="inlineStr">
        <is>
          <t>2</t>
        </is>
      </c>
      <c r="B1134" t="inlineStr">
        <is>
          <t>АТ "Укрексімбанк"</t>
        </is>
      </c>
      <c r="C1134" t="inlineStr">
        <is>
          <t>Державний</t>
        </is>
      </c>
      <c r="D1134" t="inlineStr">
        <is>
          <t>7504</t>
        </is>
      </c>
      <c r="E1134" t="inlineStr">
        <is>
          <t>Загальні витрати (7)</t>
        </is>
      </c>
      <c r="F1134" t="inlineStr">
        <is>
          <t>Комісійні витрати за операціями на валютному ринку та ринку банківських металів</t>
        </is>
      </c>
      <c r="G1134" t="inlineStr">
        <is>
          <t>А</t>
        </is>
      </c>
      <c r="H1134" t="n">
        <v>3339.22814</v>
      </c>
      <c r="I1134" t="n">
        <v>3339.22814</v>
      </c>
      <c r="J1134" t="n">
        <v>0</v>
      </c>
      <c r="K1134" t="n">
        <v>19.0788</v>
      </c>
      <c r="L1134" t="n">
        <v>19.0788</v>
      </c>
      <c r="M1134" t="n">
        <v>0</v>
      </c>
      <c r="N1134" t="n">
        <v>34851.6051</v>
      </c>
      <c r="O1134" t="n">
        <v>34851.6051</v>
      </c>
      <c r="P1134" t="n">
        <v>0</v>
      </c>
    </row>
    <row r="1135">
      <c r="A1135" t="inlineStr">
        <is>
          <t>2</t>
        </is>
      </c>
      <c r="B1135" t="inlineStr">
        <is>
          <t>АТ "Укрексімбанк"</t>
        </is>
      </c>
      <c r="C1135" t="inlineStr">
        <is>
          <t>Державний</t>
        </is>
      </c>
      <c r="D1135" t="inlineStr">
        <is>
          <t>7508</t>
        </is>
      </c>
      <c r="E1135" t="inlineStr">
        <is>
          <t>(без привʼязки)</t>
        </is>
      </c>
      <c r="F1135" t="inlineStr">
        <is>
          <t>Комісійні витрати за позабалансовими операціями</t>
        </is>
      </c>
      <c r="G1135" t="inlineStr">
        <is>
          <t>А</t>
        </is>
      </c>
      <c r="H1135" t="n">
        <v>28340.87849</v>
      </c>
      <c r="I1135" t="n">
        <v>28340.87849</v>
      </c>
      <c r="J1135" t="n">
        <v>0</v>
      </c>
      <c r="K1135" t="n">
        <v>1.3752</v>
      </c>
      <c r="L1135" t="n">
        <v>1.3752</v>
      </c>
      <c r="M1135" t="n">
        <v>0</v>
      </c>
      <c r="N1135" t="n">
        <v>228152.57183</v>
      </c>
      <c r="O1135" t="n">
        <v>228152.57183</v>
      </c>
      <c r="P1135" t="n">
        <v>0</v>
      </c>
    </row>
    <row r="1136">
      <c r="A1136" t="inlineStr">
        <is>
          <t>2</t>
        </is>
      </c>
      <c r="B1136" t="inlineStr">
        <is>
          <t>АТ "Укрексімбанк"</t>
        </is>
      </c>
      <c r="C1136" t="inlineStr">
        <is>
          <t>Державний</t>
        </is>
      </c>
      <c r="D1136" t="inlineStr">
        <is>
          <t>7508</t>
        </is>
      </c>
      <c r="E1136" t="inlineStr">
        <is>
          <t>Загальні витрати (7)</t>
        </is>
      </c>
      <c r="F1136" t="inlineStr">
        <is>
          <t>Комісійні витрати за позабалансовими операціями</t>
        </is>
      </c>
      <c r="G1136" t="inlineStr">
        <is>
          <t>А</t>
        </is>
      </c>
      <c r="H1136" t="n">
        <v>28340.87849</v>
      </c>
      <c r="I1136" t="n">
        <v>28340.87849</v>
      </c>
      <c r="J1136" t="n">
        <v>0</v>
      </c>
      <c r="K1136" t="n">
        <v>1.3752</v>
      </c>
      <c r="L1136" t="n">
        <v>1.3752</v>
      </c>
      <c r="M1136" t="n">
        <v>0</v>
      </c>
      <c r="N1136" t="n">
        <v>228152.57183</v>
      </c>
      <c r="O1136" t="n">
        <v>228152.57183</v>
      </c>
      <c r="P1136" t="n">
        <v>0</v>
      </c>
    </row>
    <row r="1137">
      <c r="A1137" t="inlineStr">
        <is>
          <t>2</t>
        </is>
      </c>
      <c r="B1137" t="inlineStr">
        <is>
          <t>АТ "Укрексімбанк"</t>
        </is>
      </c>
      <c r="C1137" t="inlineStr">
        <is>
          <t>Державний</t>
        </is>
      </c>
      <c r="D1137" t="inlineStr">
        <is>
          <t>7509</t>
        </is>
      </c>
      <c r="E1137" t="inlineStr">
        <is>
          <t>(без привʼязки)</t>
        </is>
      </c>
      <c r="F1137" t="inlineStr">
        <is>
          <t>Інші комісійні витрати</t>
        </is>
      </c>
      <c r="G1137" t="inlineStr">
        <is>
          <t>А</t>
        </is>
      </c>
      <c r="H1137" t="n">
        <v>3092.50703</v>
      </c>
      <c r="I1137" t="n">
        <v>3092.50703</v>
      </c>
      <c r="J1137" t="n">
        <v>0</v>
      </c>
      <c r="K1137" t="n">
        <v>0</v>
      </c>
      <c r="L1137" t="n">
        <v>0</v>
      </c>
      <c r="M1137" t="n">
        <v>0</v>
      </c>
      <c r="N1137" t="n">
        <v>31217.39739</v>
      </c>
      <c r="O1137" t="n">
        <v>31217.39739</v>
      </c>
      <c r="P1137" t="n">
        <v>0</v>
      </c>
    </row>
    <row r="1138">
      <c r="A1138" t="inlineStr">
        <is>
          <t>2</t>
        </is>
      </c>
      <c r="B1138" t="inlineStr">
        <is>
          <t>АТ "Укрексімбанк"</t>
        </is>
      </c>
      <c r="C1138" t="inlineStr">
        <is>
          <t>Державний</t>
        </is>
      </c>
      <c r="D1138" t="inlineStr">
        <is>
          <t>7509</t>
        </is>
      </c>
      <c r="E1138" t="inlineStr">
        <is>
          <t>Загальні витрати (7)</t>
        </is>
      </c>
      <c r="F1138" t="inlineStr">
        <is>
          <t>Інші комісійні витрати</t>
        </is>
      </c>
      <c r="G1138" t="inlineStr">
        <is>
          <t>А</t>
        </is>
      </c>
      <c r="H1138" t="n">
        <v>3092.50703</v>
      </c>
      <c r="I1138" t="n">
        <v>3092.50703</v>
      </c>
      <c r="J1138" t="n">
        <v>0</v>
      </c>
      <c r="K1138" t="n">
        <v>0</v>
      </c>
      <c r="L1138" t="n">
        <v>0</v>
      </c>
      <c r="M1138" t="n">
        <v>0</v>
      </c>
      <c r="N1138" t="n">
        <v>31217.39739</v>
      </c>
      <c r="O1138" t="n">
        <v>31217.39739</v>
      </c>
      <c r="P1138" t="n">
        <v>0</v>
      </c>
    </row>
    <row r="1139">
      <c r="A1139" t="inlineStr">
        <is>
          <t>2</t>
        </is>
      </c>
      <c r="B1139" t="inlineStr">
        <is>
          <t>АТ "Укрексімбанк"</t>
        </is>
      </c>
      <c r="C1139" t="inlineStr">
        <is>
          <t>Державний</t>
        </is>
      </c>
      <c r="D1139" t="inlineStr">
        <is>
          <t>7520</t>
        </is>
      </c>
      <c r="E1139" t="inlineStr">
        <is>
          <t>(без привʼязки)</t>
        </is>
      </c>
      <c r="F1139" t="inlineStr">
        <is>
          <t>Комісійні витрати за операціями з філіями банку</t>
        </is>
      </c>
      <c r="G1139" t="inlineStr">
        <is>
          <t>А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inlineStr">
        <is>
          <t>2</t>
        </is>
      </c>
      <c r="B1140" t="inlineStr">
        <is>
          <t>АТ "Укрексімбанк"</t>
        </is>
      </c>
      <c r="C1140" t="inlineStr">
        <is>
          <t>Державний</t>
        </is>
      </c>
      <c r="D1140" t="inlineStr">
        <is>
          <t>7520</t>
        </is>
      </c>
      <c r="E1140" t="inlineStr">
        <is>
          <t>Загальні витрати (7)</t>
        </is>
      </c>
      <c r="F1140" t="inlineStr">
        <is>
          <t>Комісійні витрати за операціями з філіями банку</t>
        </is>
      </c>
      <c r="G1140" t="inlineStr">
        <is>
          <t>А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inlineStr">
        <is>
          <t>2</t>
        </is>
      </c>
      <c r="B1141" t="inlineStr">
        <is>
          <t>АТ "Укрексімбанк"</t>
        </is>
      </c>
      <c r="C1141" t="inlineStr">
        <is>
          <t>Державний</t>
        </is>
      </c>
      <c r="D1141" t="inlineStr">
        <is>
          <t>7700</t>
        </is>
      </c>
      <c r="E1141" t="inlineStr">
        <is>
          <t>(без привʼязки)</t>
        </is>
      </c>
      <c r="F1141" t="inlineStr">
        <is>
          <t>Відрахування в резерви під дебіторську заборгованість за операціями з банками</t>
        </is>
      </c>
      <c r="G1141" t="inlineStr">
        <is>
          <t>А</t>
        </is>
      </c>
      <c r="H1141" t="n">
        <v>1487.27205</v>
      </c>
      <c r="I1141" t="n">
        <v>1487.27205</v>
      </c>
      <c r="J1141" t="n">
        <v>0</v>
      </c>
      <c r="K1141" t="n">
        <v>262.3</v>
      </c>
      <c r="L1141" t="n">
        <v>262.3</v>
      </c>
      <c r="M1141" t="n">
        <v>0</v>
      </c>
      <c r="N1141" t="n">
        <v>1399.79059</v>
      </c>
      <c r="O1141" t="n">
        <v>1399.79059</v>
      </c>
      <c r="P1141" t="n">
        <v>0</v>
      </c>
    </row>
    <row r="1142">
      <c r="A1142" t="inlineStr">
        <is>
          <t>2</t>
        </is>
      </c>
      <c r="B1142" t="inlineStr">
        <is>
          <t>АТ "Укрексімбанк"</t>
        </is>
      </c>
      <c r="C1142" t="inlineStr">
        <is>
          <t>Державний</t>
        </is>
      </c>
      <c r="D1142" t="inlineStr">
        <is>
          <t>7700</t>
        </is>
      </c>
      <c r="E1142" t="inlineStr">
        <is>
          <t>Відрахування в резерви (770)</t>
        </is>
      </c>
      <c r="F1142" t="inlineStr">
        <is>
          <t>Відрахування в резерви під дебіторську заборгованість за операціями з банками</t>
        </is>
      </c>
      <c r="G1142" t="inlineStr">
        <is>
          <t>А</t>
        </is>
      </c>
      <c r="H1142" t="n">
        <v>1487.27205</v>
      </c>
      <c r="I1142" t="n">
        <v>1487.27205</v>
      </c>
      <c r="J1142" t="n">
        <v>0</v>
      </c>
      <c r="K1142" t="n">
        <v>262.3</v>
      </c>
      <c r="L1142" t="n">
        <v>262.3</v>
      </c>
      <c r="M1142" t="n">
        <v>0</v>
      </c>
      <c r="N1142" t="n">
        <v>1399.79059</v>
      </c>
      <c r="O1142" t="n">
        <v>1399.79059</v>
      </c>
      <c r="P1142" t="n">
        <v>0</v>
      </c>
    </row>
    <row r="1143">
      <c r="A1143" t="inlineStr">
        <is>
          <t>2</t>
        </is>
      </c>
      <c r="B1143" t="inlineStr">
        <is>
          <t>АТ "Укрексімбанк"</t>
        </is>
      </c>
      <c r="C1143" t="inlineStr">
        <is>
          <t>Державний</t>
        </is>
      </c>
      <c r="D1143" t="inlineStr">
        <is>
          <t>7700</t>
        </is>
      </c>
      <c r="E1143" t="inlineStr">
        <is>
          <t>Загальні витрати (7)</t>
        </is>
      </c>
      <c r="F1143" t="inlineStr">
        <is>
          <t>Відрахування в резерви під дебіторську заборгованість за операціями з банками</t>
        </is>
      </c>
      <c r="G1143" t="inlineStr">
        <is>
          <t>А</t>
        </is>
      </c>
      <c r="H1143" t="n">
        <v>1487.27205</v>
      </c>
      <c r="I1143" t="n">
        <v>1487.27205</v>
      </c>
      <c r="J1143" t="n">
        <v>0</v>
      </c>
      <c r="K1143" t="n">
        <v>262.3</v>
      </c>
      <c r="L1143" t="n">
        <v>262.3</v>
      </c>
      <c r="M1143" t="n">
        <v>0</v>
      </c>
      <c r="N1143" t="n">
        <v>1399.79059</v>
      </c>
      <c r="O1143" t="n">
        <v>1399.79059</v>
      </c>
      <c r="P1143" t="n">
        <v>0</v>
      </c>
    </row>
    <row r="1144">
      <c r="A1144" t="inlineStr">
        <is>
          <t>2</t>
        </is>
      </c>
      <c r="B1144" t="inlineStr">
        <is>
          <t>АТ "Укрексімбанк"</t>
        </is>
      </c>
      <c r="C1144" t="inlineStr">
        <is>
          <t>Державний</t>
        </is>
      </c>
      <c r="D1144" t="inlineStr">
        <is>
          <t>7700</t>
        </is>
      </c>
      <c r="E1144" t="inlineStr">
        <is>
          <t>(без привʼязки)</t>
        </is>
      </c>
      <c r="F1144" t="inlineStr">
        <is>
          <t>Відрахування в резерви під дебіторську заборгованість за операціями з банками</t>
        </is>
      </c>
      <c r="G1144" t="inlineStr">
        <is>
          <t>П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inlineStr">
        <is>
          <t>2</t>
        </is>
      </c>
      <c r="B1145" t="inlineStr">
        <is>
          <t>АТ "Укрексімбанк"</t>
        </is>
      </c>
      <c r="C1145" t="inlineStr">
        <is>
          <t>Державний</t>
        </is>
      </c>
      <c r="D1145" t="inlineStr">
        <is>
          <t>7700</t>
        </is>
      </c>
      <c r="E1145" t="inlineStr">
        <is>
          <t>Відрахування в резерви (770)</t>
        </is>
      </c>
      <c r="F1145" t="inlineStr">
        <is>
          <t>Відрахування в резерви під дебіторську заборгованість за операціями з банками</t>
        </is>
      </c>
      <c r="G1145" t="inlineStr">
        <is>
          <t>П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inlineStr">
        <is>
          <t>2</t>
        </is>
      </c>
      <c r="B1146" t="inlineStr">
        <is>
          <t>АТ "Укрексімбанк"</t>
        </is>
      </c>
      <c r="C1146" t="inlineStr">
        <is>
          <t>Державний</t>
        </is>
      </c>
      <c r="D1146" t="inlineStr">
        <is>
          <t>7700</t>
        </is>
      </c>
      <c r="E1146" t="inlineStr">
        <is>
          <t>Загальні витрати (7)</t>
        </is>
      </c>
      <c r="F1146" t="inlineStr">
        <is>
          <t>Відрахування в резерви під дебіторську заборгованість за операціями з банками</t>
        </is>
      </c>
      <c r="G1146" t="inlineStr">
        <is>
          <t>П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inlineStr">
        <is>
          <t>2</t>
        </is>
      </c>
      <c r="B1147" t="inlineStr">
        <is>
          <t>АТ "Укрексімбанк"</t>
        </is>
      </c>
      <c r="C1147" t="inlineStr">
        <is>
          <t>Державний</t>
        </is>
      </c>
      <c r="D1147" t="inlineStr">
        <is>
          <t>7701</t>
        </is>
      </c>
      <c r="E1147" t="inlineStr">
        <is>
          <t>(без привʼязки)</t>
        </is>
      </c>
      <c r="F1147" t="inlineStr">
        <is>
          <t>Відрахування в резерви під заборгованість інших банків</t>
        </is>
      </c>
      <c r="G1147" t="inlineStr">
        <is>
          <t>А</t>
        </is>
      </c>
      <c r="H1147" t="n">
        <v>16497.94763</v>
      </c>
      <c r="I1147" t="n">
        <v>16497.94763</v>
      </c>
      <c r="J1147" t="n">
        <v>0</v>
      </c>
      <c r="K1147" t="n">
        <v>26143.24363</v>
      </c>
      <c r="L1147" t="n">
        <v>26143.24363</v>
      </c>
      <c r="M1147" t="n">
        <v>0</v>
      </c>
      <c r="N1147" t="n">
        <v>18830.91516</v>
      </c>
      <c r="O1147" t="n">
        <v>18830.91516</v>
      </c>
      <c r="P1147" t="n">
        <v>0</v>
      </c>
    </row>
    <row r="1148">
      <c r="A1148" t="inlineStr">
        <is>
          <t>2</t>
        </is>
      </c>
      <c r="B1148" t="inlineStr">
        <is>
          <t>АТ "Укрексімбанк"</t>
        </is>
      </c>
      <c r="C1148" t="inlineStr">
        <is>
          <t>Державний</t>
        </is>
      </c>
      <c r="D1148" t="inlineStr">
        <is>
          <t>7701</t>
        </is>
      </c>
      <c r="E1148" t="inlineStr">
        <is>
          <t>Відрахування в резерви (770)</t>
        </is>
      </c>
      <c r="F1148" t="inlineStr">
        <is>
          <t>Відрахування в резерви під заборгованість інших банків</t>
        </is>
      </c>
      <c r="G1148" t="inlineStr">
        <is>
          <t>А</t>
        </is>
      </c>
      <c r="H1148" t="n">
        <v>16497.94763</v>
      </c>
      <c r="I1148" t="n">
        <v>16497.94763</v>
      </c>
      <c r="J1148" t="n">
        <v>0</v>
      </c>
      <c r="K1148" t="n">
        <v>26143.24363</v>
      </c>
      <c r="L1148" t="n">
        <v>26143.24363</v>
      </c>
      <c r="M1148" t="n">
        <v>0</v>
      </c>
      <c r="N1148" t="n">
        <v>18830.91516</v>
      </c>
      <c r="O1148" t="n">
        <v>18830.91516</v>
      </c>
      <c r="P1148" t="n">
        <v>0</v>
      </c>
    </row>
    <row r="1149">
      <c r="A1149" t="inlineStr">
        <is>
          <t>2</t>
        </is>
      </c>
      <c r="B1149" t="inlineStr">
        <is>
          <t>АТ "Укрексімбанк"</t>
        </is>
      </c>
      <c r="C1149" t="inlineStr">
        <is>
          <t>Державний</t>
        </is>
      </c>
      <c r="D1149" t="inlineStr">
        <is>
          <t>7701</t>
        </is>
      </c>
      <c r="E1149" t="inlineStr">
        <is>
          <t>Загальні витрати (7)</t>
        </is>
      </c>
      <c r="F1149" t="inlineStr">
        <is>
          <t>Відрахування в резерви під заборгованість інших банків</t>
        </is>
      </c>
      <c r="G1149" t="inlineStr">
        <is>
          <t>А</t>
        </is>
      </c>
      <c r="H1149" t="n">
        <v>16497.94763</v>
      </c>
      <c r="I1149" t="n">
        <v>16497.94763</v>
      </c>
      <c r="J1149" t="n">
        <v>0</v>
      </c>
      <c r="K1149" t="n">
        <v>26143.24363</v>
      </c>
      <c r="L1149" t="n">
        <v>26143.24363</v>
      </c>
      <c r="M1149" t="n">
        <v>0</v>
      </c>
      <c r="N1149" t="n">
        <v>18830.91516</v>
      </c>
      <c r="O1149" t="n">
        <v>18830.91516</v>
      </c>
      <c r="P1149" t="n">
        <v>0</v>
      </c>
    </row>
    <row r="1150">
      <c r="A1150" t="inlineStr">
        <is>
          <t>2</t>
        </is>
      </c>
      <c r="B1150" t="inlineStr">
        <is>
          <t>АТ "Укрексімбанк"</t>
        </is>
      </c>
      <c r="C1150" t="inlineStr">
        <is>
          <t>Державний</t>
        </is>
      </c>
      <c r="D1150" t="inlineStr">
        <is>
          <t>7701</t>
        </is>
      </c>
      <c r="E1150" t="inlineStr">
        <is>
          <t>(без привʼязки)</t>
        </is>
      </c>
      <c r="F1150" t="inlineStr">
        <is>
          <t>Відрахування в резерви під заборгованість інших банків</t>
        </is>
      </c>
      <c r="G1150" t="inlineStr">
        <is>
          <t>П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2</t>
        </is>
      </c>
      <c r="B1151" t="inlineStr">
        <is>
          <t>АТ "Укрексімбанк"</t>
        </is>
      </c>
      <c r="C1151" t="inlineStr">
        <is>
          <t>Державний</t>
        </is>
      </c>
      <c r="D1151" t="inlineStr">
        <is>
          <t>7701</t>
        </is>
      </c>
      <c r="E1151" t="inlineStr">
        <is>
          <t>Відрахування в резерви (770)</t>
        </is>
      </c>
      <c r="F1151" t="inlineStr">
        <is>
          <t>Відрахування в резерви під заборгованість інших банків</t>
        </is>
      </c>
      <c r="G1151" t="inlineStr">
        <is>
          <t>П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inlineStr">
        <is>
          <t>2</t>
        </is>
      </c>
      <c r="B1152" t="inlineStr">
        <is>
          <t>АТ "Укрексімбанк"</t>
        </is>
      </c>
      <c r="C1152" t="inlineStr">
        <is>
          <t>Державний</t>
        </is>
      </c>
      <c r="D1152" t="inlineStr">
        <is>
          <t>7701</t>
        </is>
      </c>
      <c r="E1152" t="inlineStr">
        <is>
          <t>Загальні витрати (7)</t>
        </is>
      </c>
      <c r="F1152" t="inlineStr">
        <is>
          <t>Відрахування в резерви під заборгованість інших банків</t>
        </is>
      </c>
      <c r="G1152" t="inlineStr">
        <is>
          <t>П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inlineStr">
        <is>
          <t>2</t>
        </is>
      </c>
      <c r="B1153" t="inlineStr">
        <is>
          <t>АТ "Укрексімбанк"</t>
        </is>
      </c>
      <c r="C1153" t="inlineStr">
        <is>
          <t>Державний</t>
        </is>
      </c>
      <c r="D1153" t="inlineStr">
        <is>
          <t>7702</t>
        </is>
      </c>
      <c r="E1153" t="inlineStr">
        <is>
          <t>(без привʼязки)</t>
        </is>
      </c>
      <c r="F1153" t="inlineStr">
        <is>
          <t>Відрахування в резерви під заборгованість за наданими кредитами клієнтам</t>
        </is>
      </c>
      <c r="G1153" t="inlineStr">
        <is>
          <t>А</t>
        </is>
      </c>
      <c r="H1153" t="n">
        <v>101316.55146</v>
      </c>
      <c r="I1153" t="n">
        <v>101316.55146</v>
      </c>
      <c r="J1153" t="n">
        <v>0</v>
      </c>
      <c r="K1153" t="n">
        <v>560378.75462</v>
      </c>
      <c r="L1153" t="n">
        <v>560378.75462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2</t>
        </is>
      </c>
      <c r="B1154" t="inlineStr">
        <is>
          <t>АТ "Укрексімбанк"</t>
        </is>
      </c>
      <c r="C1154" t="inlineStr">
        <is>
          <t>Державний</t>
        </is>
      </c>
      <c r="D1154" t="inlineStr">
        <is>
          <t>7702</t>
        </is>
      </c>
      <c r="E1154" t="inlineStr">
        <is>
          <t>Відрахування в резерви (770)</t>
        </is>
      </c>
      <c r="F1154" t="inlineStr">
        <is>
          <t>Відрахування в резерви під заборгованість за наданими кредитами клієнтам</t>
        </is>
      </c>
      <c r="G1154" t="inlineStr">
        <is>
          <t>А</t>
        </is>
      </c>
      <c r="H1154" t="n">
        <v>101316.55146</v>
      </c>
      <c r="I1154" t="n">
        <v>101316.55146</v>
      </c>
      <c r="J1154" t="n">
        <v>0</v>
      </c>
      <c r="K1154" t="n">
        <v>560378.75462</v>
      </c>
      <c r="L1154" t="n">
        <v>560378.75462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inlineStr">
        <is>
          <t>2</t>
        </is>
      </c>
      <c r="B1155" t="inlineStr">
        <is>
          <t>АТ "Укрексімбанк"</t>
        </is>
      </c>
      <c r="C1155" t="inlineStr">
        <is>
          <t>Державний</t>
        </is>
      </c>
      <c r="D1155" t="inlineStr">
        <is>
          <t>7702</t>
        </is>
      </c>
      <c r="E1155" t="inlineStr">
        <is>
          <t>Загальні витрати (7)</t>
        </is>
      </c>
      <c r="F1155" t="inlineStr">
        <is>
          <t>Відрахування в резерви під заборгованість за наданими кредитами клієнтам</t>
        </is>
      </c>
      <c r="G1155" t="inlineStr">
        <is>
          <t>А</t>
        </is>
      </c>
      <c r="H1155" t="n">
        <v>101316.55146</v>
      </c>
      <c r="I1155" t="n">
        <v>101316.55146</v>
      </c>
      <c r="J1155" t="n">
        <v>0</v>
      </c>
      <c r="K1155" t="n">
        <v>560378.75462</v>
      </c>
      <c r="L1155" t="n">
        <v>560378.75462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inlineStr">
        <is>
          <t>2</t>
        </is>
      </c>
      <c r="B1156" t="inlineStr">
        <is>
          <t>АТ "Укрексімбанк"</t>
        </is>
      </c>
      <c r="C1156" t="inlineStr">
        <is>
          <t>Державний</t>
        </is>
      </c>
      <c r="D1156" t="inlineStr">
        <is>
          <t>7702</t>
        </is>
      </c>
      <c r="E1156" t="inlineStr">
        <is>
          <t>(без привʼязки)</t>
        </is>
      </c>
      <c r="F1156" t="inlineStr">
        <is>
          <t>Відрахування в резерви під заборгованість за наданими кредитами клієнтам</t>
        </is>
      </c>
      <c r="G1156" t="inlineStr">
        <is>
          <t>П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-797389.2154700001</v>
      </c>
      <c r="O1156" t="n">
        <v>-797389.2154700001</v>
      </c>
      <c r="P1156" t="n">
        <v>0</v>
      </c>
    </row>
    <row r="1157">
      <c r="A1157" t="inlineStr">
        <is>
          <t>2</t>
        </is>
      </c>
      <c r="B1157" t="inlineStr">
        <is>
          <t>АТ "Укрексімбанк"</t>
        </is>
      </c>
      <c r="C1157" t="inlineStr">
        <is>
          <t>Державний</t>
        </is>
      </c>
      <c r="D1157" t="inlineStr">
        <is>
          <t>7702</t>
        </is>
      </c>
      <c r="E1157" t="inlineStr">
        <is>
          <t>Відрахування в резерви (770)</t>
        </is>
      </c>
      <c r="F1157" t="inlineStr">
        <is>
          <t>Відрахування в резерви під заборгованість за наданими кредитами клієнтам</t>
        </is>
      </c>
      <c r="G1157" t="inlineStr">
        <is>
          <t>П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-797389.2154700001</v>
      </c>
      <c r="O1157" t="n">
        <v>-797389.2154700001</v>
      </c>
      <c r="P1157" t="n">
        <v>0</v>
      </c>
    </row>
    <row r="1158">
      <c r="A1158" t="inlineStr">
        <is>
          <t>2</t>
        </is>
      </c>
      <c r="B1158" t="inlineStr">
        <is>
          <t>АТ "Укрексімбанк"</t>
        </is>
      </c>
      <c r="C1158" t="inlineStr">
        <is>
          <t>Державний</t>
        </is>
      </c>
      <c r="D1158" t="inlineStr">
        <is>
          <t>7702</t>
        </is>
      </c>
      <c r="E1158" t="inlineStr">
        <is>
          <t>Загальні витрати (7)</t>
        </is>
      </c>
      <c r="F1158" t="inlineStr">
        <is>
          <t>Відрахування в резерви під заборгованість за наданими кредитами клієнтам</t>
        </is>
      </c>
      <c r="G1158" t="inlineStr">
        <is>
          <t>П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-797389.2154700001</v>
      </c>
      <c r="O1158" t="n">
        <v>-797389.2154700001</v>
      </c>
      <c r="P1158" t="n">
        <v>0</v>
      </c>
    </row>
    <row r="1159">
      <c r="A1159" t="inlineStr">
        <is>
          <t>2</t>
        </is>
      </c>
      <c r="B1159" t="inlineStr">
        <is>
          <t>АТ "Укрексімбанк"</t>
        </is>
      </c>
      <c r="C1159" t="inlineStr">
        <is>
          <t>Державний</t>
        </is>
      </c>
      <c r="D1159" t="inlineStr">
        <is>
          <t>7703</t>
        </is>
      </c>
      <c r="E1159" t="inlineStr">
        <is>
          <t>(без привʼязки)</t>
        </is>
      </c>
      <c r="F1159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59" t="inlineStr">
        <is>
          <t>А</t>
        </is>
      </c>
      <c r="H1159" t="n">
        <v>5274.73071</v>
      </c>
      <c r="I1159" t="n">
        <v>5274.73071</v>
      </c>
      <c r="J1159" t="n">
        <v>0</v>
      </c>
      <c r="K1159" t="n">
        <v>15901.21284</v>
      </c>
      <c r="L1159" t="n">
        <v>15901.21284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inlineStr">
        <is>
          <t>2</t>
        </is>
      </c>
      <c r="B1160" t="inlineStr">
        <is>
          <t>АТ "Укрексімбанк"</t>
        </is>
      </c>
      <c r="C1160" t="inlineStr">
        <is>
          <t>Державний</t>
        </is>
      </c>
      <c r="D1160" t="inlineStr">
        <is>
          <t>7703</t>
        </is>
      </c>
      <c r="E1160" t="inlineStr">
        <is>
          <t>Відрахування в резерви (770)</t>
        </is>
      </c>
      <c r="F1160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0" t="inlineStr">
        <is>
          <t>А</t>
        </is>
      </c>
      <c r="H1160" t="n">
        <v>5274.73071</v>
      </c>
      <c r="I1160" t="n">
        <v>5274.73071</v>
      </c>
      <c r="J1160" t="n">
        <v>0</v>
      </c>
      <c r="K1160" t="n">
        <v>15901.21284</v>
      </c>
      <c r="L1160" t="n">
        <v>15901.21284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inlineStr">
        <is>
          <t>2</t>
        </is>
      </c>
      <c r="B1161" t="inlineStr">
        <is>
          <t>АТ "Укрексімбанк"</t>
        </is>
      </c>
      <c r="C1161" t="inlineStr">
        <is>
          <t>Державний</t>
        </is>
      </c>
      <c r="D1161" t="inlineStr">
        <is>
          <t>7703</t>
        </is>
      </c>
      <c r="E1161" t="inlineStr">
        <is>
          <t>Загальні витрати (7)</t>
        </is>
      </c>
      <c r="F1161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1" t="inlineStr">
        <is>
          <t>А</t>
        </is>
      </c>
      <c r="H1161" t="n">
        <v>5274.73071</v>
      </c>
      <c r="I1161" t="n">
        <v>5274.73071</v>
      </c>
      <c r="J1161" t="n">
        <v>0</v>
      </c>
      <c r="K1161" t="n">
        <v>15901.21284</v>
      </c>
      <c r="L1161" t="n">
        <v>15901.21284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2</t>
        </is>
      </c>
      <c r="B1162" t="inlineStr">
        <is>
          <t>АТ "Укрексімбанк"</t>
        </is>
      </c>
      <c r="C1162" t="inlineStr">
        <is>
          <t>Державний</t>
        </is>
      </c>
      <c r="D1162" t="inlineStr">
        <is>
          <t>7703</t>
        </is>
      </c>
      <c r="E1162" t="inlineStr">
        <is>
          <t>(без привʼязки)</t>
        </is>
      </c>
      <c r="F1162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2" t="inlineStr">
        <is>
          <t>П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-168225.82776</v>
      </c>
      <c r="O1162" t="n">
        <v>-168225.82776</v>
      </c>
      <c r="P1162" t="n">
        <v>0</v>
      </c>
    </row>
    <row r="1163">
      <c r="A1163" t="inlineStr">
        <is>
          <t>2</t>
        </is>
      </c>
      <c r="B1163" t="inlineStr">
        <is>
          <t>АТ "Укрексімбанк"</t>
        </is>
      </c>
      <c r="C1163" t="inlineStr">
        <is>
          <t>Державний</t>
        </is>
      </c>
      <c r="D1163" t="inlineStr">
        <is>
          <t>7703</t>
        </is>
      </c>
      <c r="E1163" t="inlineStr">
        <is>
          <t>Відрахування в резерви (770)</t>
        </is>
      </c>
      <c r="F1163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3" t="inlineStr">
        <is>
          <t>П</t>
        </is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-168225.82776</v>
      </c>
      <c r="O1163" t="n">
        <v>-168225.82776</v>
      </c>
      <c r="P1163" t="n">
        <v>0</v>
      </c>
    </row>
    <row r="1164">
      <c r="A1164" t="inlineStr">
        <is>
          <t>2</t>
        </is>
      </c>
      <c r="B1164" t="inlineStr">
        <is>
          <t>АТ "Укрексімбанк"</t>
        </is>
      </c>
      <c r="C1164" t="inlineStr">
        <is>
          <t>Державний</t>
        </is>
      </c>
      <c r="D1164" t="inlineStr">
        <is>
          <t>7703</t>
        </is>
      </c>
      <c r="E1164" t="inlineStr">
        <is>
          <t>Загальні витрати (7)</t>
        </is>
      </c>
      <c r="F116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4" t="inlineStr">
        <is>
          <t>П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-168225.82776</v>
      </c>
      <c r="O1164" t="n">
        <v>-168225.82776</v>
      </c>
      <c r="P1164" t="n">
        <v>0</v>
      </c>
    </row>
    <row r="1165">
      <c r="A1165" t="inlineStr">
        <is>
          <t>2</t>
        </is>
      </c>
      <c r="B1165" t="inlineStr">
        <is>
          <t>АТ "Укрексімбанк"</t>
        </is>
      </c>
      <c r="C1165" t="inlineStr">
        <is>
          <t>Державний</t>
        </is>
      </c>
      <c r="D1165" t="inlineStr">
        <is>
          <t>7704</t>
        </is>
      </c>
      <c r="E1165" t="inlineStr">
        <is>
          <t>(без привʼязки)</t>
        </is>
      </c>
      <c r="F116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5" t="inlineStr">
        <is>
          <t>А</t>
        </is>
      </c>
      <c r="H1165" t="n">
        <v>9070.733630000001</v>
      </c>
      <c r="I1165" t="n">
        <v>9070.733630000001</v>
      </c>
      <c r="J1165" t="n">
        <v>0</v>
      </c>
      <c r="K1165" t="n">
        <v>18913.32162</v>
      </c>
      <c r="L1165" t="n">
        <v>18913.32162</v>
      </c>
      <c r="M1165" t="n">
        <v>0</v>
      </c>
      <c r="N1165" t="n">
        <v>494440.2016</v>
      </c>
      <c r="O1165" t="n">
        <v>494440.2016</v>
      </c>
      <c r="P1165" t="n">
        <v>0</v>
      </c>
    </row>
    <row r="1166">
      <c r="A1166" t="inlineStr">
        <is>
          <t>2</t>
        </is>
      </c>
      <c r="B1166" t="inlineStr">
        <is>
          <t>АТ "Укрексімбанк"</t>
        </is>
      </c>
      <c r="C1166" t="inlineStr">
        <is>
          <t>Державний</t>
        </is>
      </c>
      <c r="D1166" t="inlineStr">
        <is>
          <t>7704</t>
        </is>
      </c>
      <c r="E1166" t="inlineStr">
        <is>
          <t>Відрахування в резерви (770)</t>
        </is>
      </c>
      <c r="F1166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6" t="inlineStr">
        <is>
          <t>А</t>
        </is>
      </c>
      <c r="H1166" t="n">
        <v>9070.733630000001</v>
      </c>
      <c r="I1166" t="n">
        <v>9070.733630000001</v>
      </c>
      <c r="J1166" t="n">
        <v>0</v>
      </c>
      <c r="K1166" t="n">
        <v>18913.32162</v>
      </c>
      <c r="L1166" t="n">
        <v>18913.32162</v>
      </c>
      <c r="M1166" t="n">
        <v>0</v>
      </c>
      <c r="N1166" t="n">
        <v>494440.2016</v>
      </c>
      <c r="O1166" t="n">
        <v>494440.2016</v>
      </c>
      <c r="P1166" t="n">
        <v>0</v>
      </c>
    </row>
    <row r="1167">
      <c r="A1167" t="inlineStr">
        <is>
          <t>2</t>
        </is>
      </c>
      <c r="B1167" t="inlineStr">
        <is>
          <t>АТ "Укрексімбанк"</t>
        </is>
      </c>
      <c r="C1167" t="inlineStr">
        <is>
          <t>Державний</t>
        </is>
      </c>
      <c r="D1167" t="inlineStr">
        <is>
          <t>7704</t>
        </is>
      </c>
      <c r="E1167" t="inlineStr">
        <is>
          <t>Загальні витрати (7)</t>
        </is>
      </c>
      <c r="F116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7" t="inlineStr">
        <is>
          <t>А</t>
        </is>
      </c>
      <c r="H1167" t="n">
        <v>9070.733630000001</v>
      </c>
      <c r="I1167" t="n">
        <v>9070.733630000001</v>
      </c>
      <c r="J1167" t="n">
        <v>0</v>
      </c>
      <c r="K1167" t="n">
        <v>18913.32162</v>
      </c>
      <c r="L1167" t="n">
        <v>18913.32162</v>
      </c>
      <c r="M1167" t="n">
        <v>0</v>
      </c>
      <c r="N1167" t="n">
        <v>494440.2016</v>
      </c>
      <c r="O1167" t="n">
        <v>494440.2016</v>
      </c>
      <c r="P1167" t="n">
        <v>0</v>
      </c>
    </row>
    <row r="1168">
      <c r="A1168" t="inlineStr">
        <is>
          <t>2</t>
        </is>
      </c>
      <c r="B1168" t="inlineStr">
        <is>
          <t>АТ "Укрексімбанк"</t>
        </is>
      </c>
      <c r="C1168" t="inlineStr">
        <is>
          <t>Державний</t>
        </is>
      </c>
      <c r="D1168" t="inlineStr">
        <is>
          <t>7704</t>
        </is>
      </c>
      <c r="E1168" t="inlineStr">
        <is>
          <t>(без привʼязки)</t>
        </is>
      </c>
      <c r="F1168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8" t="inlineStr">
        <is>
          <t>П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inlineStr">
        <is>
          <t>2</t>
        </is>
      </c>
      <c r="B1169" t="inlineStr">
        <is>
          <t>АТ "Укрексімбанк"</t>
        </is>
      </c>
      <c r="C1169" t="inlineStr">
        <is>
          <t>Державний</t>
        </is>
      </c>
      <c r="D1169" t="inlineStr">
        <is>
          <t>7704</t>
        </is>
      </c>
      <c r="E1169" t="inlineStr">
        <is>
          <t>Відрахування в резерви (770)</t>
        </is>
      </c>
      <c r="F1169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9" t="inlineStr">
        <is>
          <t>П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inlineStr">
        <is>
          <t>2</t>
        </is>
      </c>
      <c r="B1170" t="inlineStr">
        <is>
          <t>АТ "Укрексімбанк"</t>
        </is>
      </c>
      <c r="C1170" t="inlineStr">
        <is>
          <t>Державний</t>
        </is>
      </c>
      <c r="D1170" t="inlineStr">
        <is>
          <t>7704</t>
        </is>
      </c>
      <c r="E1170" t="inlineStr">
        <is>
          <t>Загальні витрати (7)</t>
        </is>
      </c>
      <c r="F1170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70" t="inlineStr">
        <is>
          <t>П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2</t>
        </is>
      </c>
      <c r="B1171" t="inlineStr">
        <is>
          <t>АТ "Укрексімбанк"</t>
        </is>
      </c>
      <c r="C1171" t="inlineStr">
        <is>
          <t>Державний</t>
        </is>
      </c>
      <c r="D1171" t="inlineStr">
        <is>
          <t>7705</t>
        </is>
      </c>
      <c r="E1171" t="inlineStr">
        <is>
          <t>(без привʼязки)</t>
        </is>
      </c>
      <c r="F1171" t="inlineStr">
        <is>
          <t>Відрахування в резерви за нефінансовою дебіторською заборгованістю банку</t>
        </is>
      </c>
      <c r="G1171" t="inlineStr">
        <is>
          <t>А</t>
        </is>
      </c>
      <c r="H1171" t="n">
        <v>3021.54418</v>
      </c>
      <c r="I1171" t="n">
        <v>3021.54418</v>
      </c>
      <c r="J1171" t="n">
        <v>0</v>
      </c>
      <c r="K1171" t="n">
        <v>6769.49394</v>
      </c>
      <c r="L1171" t="n">
        <v>6769.49394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inlineStr">
        <is>
          <t>2</t>
        </is>
      </c>
      <c r="B1172" t="inlineStr">
        <is>
          <t>АТ "Укрексімбанк"</t>
        </is>
      </c>
      <c r="C1172" t="inlineStr">
        <is>
          <t>Державний</t>
        </is>
      </c>
      <c r="D1172" t="inlineStr">
        <is>
          <t>7705</t>
        </is>
      </c>
      <c r="E1172" t="inlineStr">
        <is>
          <t>Відрахування в резерви (770)</t>
        </is>
      </c>
      <c r="F1172" t="inlineStr">
        <is>
          <t>Відрахування в резерви за нефінансовою дебіторською заборгованістю банку</t>
        </is>
      </c>
      <c r="G1172" t="inlineStr">
        <is>
          <t>А</t>
        </is>
      </c>
      <c r="H1172" t="n">
        <v>3021.54418</v>
      </c>
      <c r="I1172" t="n">
        <v>3021.54418</v>
      </c>
      <c r="J1172" t="n">
        <v>0</v>
      </c>
      <c r="K1172" t="n">
        <v>6769.49394</v>
      </c>
      <c r="L1172" t="n">
        <v>6769.49394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inlineStr">
        <is>
          <t>2</t>
        </is>
      </c>
      <c r="B1173" t="inlineStr">
        <is>
          <t>АТ "Укрексімбанк"</t>
        </is>
      </c>
      <c r="C1173" t="inlineStr">
        <is>
          <t>Державний</t>
        </is>
      </c>
      <c r="D1173" t="inlineStr">
        <is>
          <t>7705</t>
        </is>
      </c>
      <c r="E1173" t="inlineStr">
        <is>
          <t>Загальні витрати (7)</t>
        </is>
      </c>
      <c r="F1173" t="inlineStr">
        <is>
          <t>Відрахування в резерви за нефінансовою дебіторською заборгованістю банку</t>
        </is>
      </c>
      <c r="G1173" t="inlineStr">
        <is>
          <t>А</t>
        </is>
      </c>
      <c r="H1173" t="n">
        <v>3021.54418</v>
      </c>
      <c r="I1173" t="n">
        <v>3021.54418</v>
      </c>
      <c r="J1173" t="n">
        <v>0</v>
      </c>
      <c r="K1173" t="n">
        <v>6769.49394</v>
      </c>
      <c r="L1173" t="n">
        <v>6769.49394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inlineStr">
        <is>
          <t>2</t>
        </is>
      </c>
      <c r="B1174" t="inlineStr">
        <is>
          <t>АТ "Укрексімбанк"</t>
        </is>
      </c>
      <c r="C1174" t="inlineStr">
        <is>
          <t>Державний</t>
        </is>
      </c>
      <c r="D1174" t="inlineStr">
        <is>
          <t>7705</t>
        </is>
      </c>
      <c r="E1174" t="inlineStr">
        <is>
          <t>(без привʼязки)</t>
        </is>
      </c>
      <c r="F1174" t="inlineStr">
        <is>
          <t>Відрахування в резерви за нефінансовою дебіторською заборгованістю банку</t>
        </is>
      </c>
      <c r="G1174" t="inlineStr">
        <is>
          <t>П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-1992.25294</v>
      </c>
      <c r="O1174" t="n">
        <v>-1992.25294</v>
      </c>
      <c r="P1174" t="n">
        <v>0</v>
      </c>
    </row>
    <row r="1175">
      <c r="A1175" t="inlineStr">
        <is>
          <t>2</t>
        </is>
      </c>
      <c r="B1175" t="inlineStr">
        <is>
          <t>АТ "Укрексімбанк"</t>
        </is>
      </c>
      <c r="C1175" t="inlineStr">
        <is>
          <t>Державний</t>
        </is>
      </c>
      <c r="D1175" t="inlineStr">
        <is>
          <t>7705</t>
        </is>
      </c>
      <c r="E1175" t="inlineStr">
        <is>
          <t>Відрахування в резерви (770)</t>
        </is>
      </c>
      <c r="F1175" t="inlineStr">
        <is>
          <t>Відрахування в резерви за нефінансовою дебіторською заборгованістю банку</t>
        </is>
      </c>
      <c r="G1175" t="inlineStr">
        <is>
          <t>П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-1992.25294</v>
      </c>
      <c r="O1175" t="n">
        <v>-1992.25294</v>
      </c>
      <c r="P1175" t="n">
        <v>0</v>
      </c>
    </row>
    <row r="1176">
      <c r="A1176" t="inlineStr">
        <is>
          <t>2</t>
        </is>
      </c>
      <c r="B1176" t="inlineStr">
        <is>
          <t>АТ "Укрексімбанк"</t>
        </is>
      </c>
      <c r="C1176" t="inlineStr">
        <is>
          <t>Державний</t>
        </is>
      </c>
      <c r="D1176" t="inlineStr">
        <is>
          <t>7705</t>
        </is>
      </c>
      <c r="E1176" t="inlineStr">
        <is>
          <t>Загальні витрати (7)</t>
        </is>
      </c>
      <c r="F1176" t="inlineStr">
        <is>
          <t>Відрахування в резерви за нефінансовою дебіторською заборгованістю банку</t>
        </is>
      </c>
      <c r="G1176" t="inlineStr">
        <is>
          <t>П</t>
        </is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-1992.25294</v>
      </c>
      <c r="O1176" t="n">
        <v>-1992.25294</v>
      </c>
      <c r="P1176" t="n">
        <v>0</v>
      </c>
    </row>
    <row r="1177">
      <c r="A1177" t="inlineStr">
        <is>
          <t>2</t>
        </is>
      </c>
      <c r="B1177" t="inlineStr">
        <is>
          <t>АТ "Укрексімбанк"</t>
        </is>
      </c>
      <c r="C1177" t="inlineStr">
        <is>
          <t>Державний</t>
        </is>
      </c>
      <c r="D1177" t="inlineStr">
        <is>
          <t>7706</t>
        </is>
      </c>
      <c r="E1177" t="inlineStr">
        <is>
          <t>(без привʼязки)</t>
        </is>
      </c>
      <c r="F1177" t="inlineStr">
        <is>
          <t>Відрахування в банківські резерви на покриття ризиків і втрат</t>
        </is>
      </c>
      <c r="G1177" t="inlineStr">
        <is>
          <t>А</t>
        </is>
      </c>
      <c r="H1177" t="n">
        <v>31608.271</v>
      </c>
      <c r="I1177" t="n">
        <v>31608.271</v>
      </c>
      <c r="J1177" t="n">
        <v>0</v>
      </c>
      <c r="K1177" t="n">
        <v>29238.7047</v>
      </c>
      <c r="L1177" t="n">
        <v>29238.7047</v>
      </c>
      <c r="M1177" t="n">
        <v>0</v>
      </c>
      <c r="N1177" t="n">
        <v>70593.5756</v>
      </c>
      <c r="O1177" t="n">
        <v>70593.5756</v>
      </c>
      <c r="P1177" t="n">
        <v>0</v>
      </c>
    </row>
    <row r="1178">
      <c r="A1178" t="inlineStr">
        <is>
          <t>2</t>
        </is>
      </c>
      <c r="B1178" t="inlineStr">
        <is>
          <t>АТ "Укрексімбанк"</t>
        </is>
      </c>
      <c r="C1178" t="inlineStr">
        <is>
          <t>Державний</t>
        </is>
      </c>
      <c r="D1178" t="inlineStr">
        <is>
          <t>7706</t>
        </is>
      </c>
      <c r="E1178" t="inlineStr">
        <is>
          <t>Відрахування в резерви (770)</t>
        </is>
      </c>
      <c r="F1178" t="inlineStr">
        <is>
          <t>Відрахування в банківські резерви на покриття ризиків і втрат</t>
        </is>
      </c>
      <c r="G1178" t="inlineStr">
        <is>
          <t>А</t>
        </is>
      </c>
      <c r="H1178" t="n">
        <v>31608.271</v>
      </c>
      <c r="I1178" t="n">
        <v>31608.271</v>
      </c>
      <c r="J1178" t="n">
        <v>0</v>
      </c>
      <c r="K1178" t="n">
        <v>29238.7047</v>
      </c>
      <c r="L1178" t="n">
        <v>29238.7047</v>
      </c>
      <c r="M1178" t="n">
        <v>0</v>
      </c>
      <c r="N1178" t="n">
        <v>70593.5756</v>
      </c>
      <c r="O1178" t="n">
        <v>70593.5756</v>
      </c>
      <c r="P1178" t="n">
        <v>0</v>
      </c>
    </row>
    <row r="1179">
      <c r="A1179" t="inlineStr">
        <is>
          <t>2</t>
        </is>
      </c>
      <c r="B1179" t="inlineStr">
        <is>
          <t>АТ "Укрексімбанк"</t>
        </is>
      </c>
      <c r="C1179" t="inlineStr">
        <is>
          <t>Державний</t>
        </is>
      </c>
      <c r="D1179" t="inlineStr">
        <is>
          <t>7706</t>
        </is>
      </c>
      <c r="E1179" t="inlineStr">
        <is>
          <t>Загальні витрати (7)</t>
        </is>
      </c>
      <c r="F1179" t="inlineStr">
        <is>
          <t>Відрахування в банківські резерви на покриття ризиків і втрат</t>
        </is>
      </c>
      <c r="G1179" t="inlineStr">
        <is>
          <t>А</t>
        </is>
      </c>
      <c r="H1179" t="n">
        <v>31608.271</v>
      </c>
      <c r="I1179" t="n">
        <v>31608.271</v>
      </c>
      <c r="J1179" t="n">
        <v>0</v>
      </c>
      <c r="K1179" t="n">
        <v>29238.7047</v>
      </c>
      <c r="L1179" t="n">
        <v>29238.7047</v>
      </c>
      <c r="M1179" t="n">
        <v>0</v>
      </c>
      <c r="N1179" t="n">
        <v>70593.5756</v>
      </c>
      <c r="O1179" t="n">
        <v>70593.5756</v>
      </c>
      <c r="P1179" t="n">
        <v>0</v>
      </c>
    </row>
    <row r="1180">
      <c r="A1180" t="inlineStr">
        <is>
          <t>2</t>
        </is>
      </c>
      <c r="B1180" t="inlineStr">
        <is>
          <t>АТ "Укрексімбанк"</t>
        </is>
      </c>
      <c r="C1180" t="inlineStr">
        <is>
          <t>Державний</t>
        </is>
      </c>
      <c r="D1180" t="inlineStr">
        <is>
          <t>7706</t>
        </is>
      </c>
      <c r="E1180" t="inlineStr">
        <is>
          <t>(без привʼязки)</t>
        </is>
      </c>
      <c r="F1180" t="inlineStr">
        <is>
          <t>Відрахування в банківські резерви на покриття ризиків і втрат</t>
        </is>
      </c>
      <c r="G1180" t="inlineStr">
        <is>
          <t>П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inlineStr">
        <is>
          <t>2</t>
        </is>
      </c>
      <c r="B1181" t="inlineStr">
        <is>
          <t>АТ "Укрексімбанк"</t>
        </is>
      </c>
      <c r="C1181" t="inlineStr">
        <is>
          <t>Державний</t>
        </is>
      </c>
      <c r="D1181" t="inlineStr">
        <is>
          <t>7706</t>
        </is>
      </c>
      <c r="E1181" t="inlineStr">
        <is>
          <t>Відрахування в резерви (770)</t>
        </is>
      </c>
      <c r="F1181" t="inlineStr">
        <is>
          <t>Відрахування в банківські резерви на покриття ризиків і втрат</t>
        </is>
      </c>
      <c r="G1181" t="inlineStr">
        <is>
          <t>П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inlineStr">
        <is>
          <t>2</t>
        </is>
      </c>
      <c r="B1182" t="inlineStr">
        <is>
          <t>АТ "Укрексімбанк"</t>
        </is>
      </c>
      <c r="C1182" t="inlineStr">
        <is>
          <t>Державний</t>
        </is>
      </c>
      <c r="D1182" t="inlineStr">
        <is>
          <t>7706</t>
        </is>
      </c>
      <c r="E1182" t="inlineStr">
        <is>
          <t>Загальні витрати (7)</t>
        </is>
      </c>
      <c r="F1182" t="inlineStr">
        <is>
          <t>Відрахування в банківські резерви на покриття ризиків і втрат</t>
        </is>
      </c>
      <c r="G1182" t="inlineStr">
        <is>
          <t>П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inlineStr">
        <is>
          <t>2</t>
        </is>
      </c>
      <c r="B1183" t="inlineStr">
        <is>
          <t>АТ "Укрексімбанк"</t>
        </is>
      </c>
      <c r="C1183" t="inlineStr">
        <is>
          <t>Державний</t>
        </is>
      </c>
      <c r="D1183" t="inlineStr">
        <is>
          <t>7707</t>
        </is>
      </c>
      <c r="E1183" t="inlineStr">
        <is>
          <t>(без привʼязки)</t>
        </is>
      </c>
      <c r="F1183" t="inlineStr">
        <is>
          <t>Відрахування в резерви за фінансовою дебіторською заборгованістю банку</t>
        </is>
      </c>
      <c r="G1183" t="inlineStr">
        <is>
          <t>А</t>
        </is>
      </c>
      <c r="H1183" t="n">
        <v>3599.9287</v>
      </c>
      <c r="I1183" t="n">
        <v>3599.9287</v>
      </c>
      <c r="J1183" t="n">
        <v>0</v>
      </c>
      <c r="K1183" t="n">
        <v>1823.16849</v>
      </c>
      <c r="L1183" t="n">
        <v>1823.16849</v>
      </c>
      <c r="M1183" t="n">
        <v>0</v>
      </c>
      <c r="N1183" t="n">
        <v>1330.79177</v>
      </c>
      <c r="O1183" t="n">
        <v>1330.79177</v>
      </c>
      <c r="P1183" t="n">
        <v>0</v>
      </c>
    </row>
    <row r="1184">
      <c r="A1184" t="inlineStr">
        <is>
          <t>2</t>
        </is>
      </c>
      <c r="B1184" t="inlineStr">
        <is>
          <t>АТ "Укрексімбанк"</t>
        </is>
      </c>
      <c r="C1184" t="inlineStr">
        <is>
          <t>Державний</t>
        </is>
      </c>
      <c r="D1184" t="inlineStr">
        <is>
          <t>7707</t>
        </is>
      </c>
      <c r="E1184" t="inlineStr">
        <is>
          <t>Відрахування в резерви (770)</t>
        </is>
      </c>
      <c r="F1184" t="inlineStr">
        <is>
          <t>Відрахування в резерви за фінансовою дебіторською заборгованістю банку</t>
        </is>
      </c>
      <c r="G1184" t="inlineStr">
        <is>
          <t>А</t>
        </is>
      </c>
      <c r="H1184" t="n">
        <v>3599.9287</v>
      </c>
      <c r="I1184" t="n">
        <v>3599.9287</v>
      </c>
      <c r="J1184" t="n">
        <v>0</v>
      </c>
      <c r="K1184" t="n">
        <v>1823.16849</v>
      </c>
      <c r="L1184" t="n">
        <v>1823.16849</v>
      </c>
      <c r="M1184" t="n">
        <v>0</v>
      </c>
      <c r="N1184" t="n">
        <v>1330.79177</v>
      </c>
      <c r="O1184" t="n">
        <v>1330.79177</v>
      </c>
      <c r="P1184" t="n">
        <v>0</v>
      </c>
    </row>
    <row r="1185">
      <c r="A1185" t="inlineStr">
        <is>
          <t>2</t>
        </is>
      </c>
      <c r="B1185" t="inlineStr">
        <is>
          <t>АТ "Укрексімбанк"</t>
        </is>
      </c>
      <c r="C1185" t="inlineStr">
        <is>
          <t>Державний</t>
        </is>
      </c>
      <c r="D1185" t="inlineStr">
        <is>
          <t>7707</t>
        </is>
      </c>
      <c r="E1185" t="inlineStr">
        <is>
          <t>Загальні витрати (7)</t>
        </is>
      </c>
      <c r="F1185" t="inlineStr">
        <is>
          <t>Відрахування в резерви за фінансовою дебіторською заборгованістю банку</t>
        </is>
      </c>
      <c r="G1185" t="inlineStr">
        <is>
          <t>А</t>
        </is>
      </c>
      <c r="H1185" t="n">
        <v>3599.9287</v>
      </c>
      <c r="I1185" t="n">
        <v>3599.9287</v>
      </c>
      <c r="J1185" t="n">
        <v>0</v>
      </c>
      <c r="K1185" t="n">
        <v>1823.16849</v>
      </c>
      <c r="L1185" t="n">
        <v>1823.16849</v>
      </c>
      <c r="M1185" t="n">
        <v>0</v>
      </c>
      <c r="N1185" t="n">
        <v>1330.79177</v>
      </c>
      <c r="O1185" t="n">
        <v>1330.79177</v>
      </c>
      <c r="P1185" t="n">
        <v>0</v>
      </c>
    </row>
    <row r="1186">
      <c r="A1186" t="inlineStr">
        <is>
          <t>2</t>
        </is>
      </c>
      <c r="B1186" t="inlineStr">
        <is>
          <t>АТ "Укрексімбанк"</t>
        </is>
      </c>
      <c r="C1186" t="inlineStr">
        <is>
          <t>Державний</t>
        </is>
      </c>
      <c r="D1186" t="inlineStr">
        <is>
          <t>7707</t>
        </is>
      </c>
      <c r="E1186" t="inlineStr">
        <is>
          <t>(без привʼязки)</t>
        </is>
      </c>
      <c r="F1186" t="inlineStr">
        <is>
          <t>Відрахування в резерви за фінансовою дебіторською заборгованістю банку</t>
        </is>
      </c>
      <c r="G1186" t="inlineStr">
        <is>
          <t>П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-226.4659</v>
      </c>
      <c r="O1186" t="n">
        <v>-226.4659</v>
      </c>
      <c r="P1186" t="n">
        <v>0</v>
      </c>
    </row>
    <row r="1187">
      <c r="A1187" t="inlineStr">
        <is>
          <t>2</t>
        </is>
      </c>
      <c r="B1187" t="inlineStr">
        <is>
          <t>АТ "Укрексімбанк"</t>
        </is>
      </c>
      <c r="C1187" t="inlineStr">
        <is>
          <t>Державний</t>
        </is>
      </c>
      <c r="D1187" t="inlineStr">
        <is>
          <t>7707</t>
        </is>
      </c>
      <c r="E1187" t="inlineStr">
        <is>
          <t>Відрахування в резерви (770)</t>
        </is>
      </c>
      <c r="F1187" t="inlineStr">
        <is>
          <t>Відрахування в резерви за фінансовою дебіторською заборгованістю банку</t>
        </is>
      </c>
      <c r="G1187" t="inlineStr">
        <is>
          <t>П</t>
        </is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-226.4659</v>
      </c>
      <c r="O1187" t="n">
        <v>-226.4659</v>
      </c>
      <c r="P1187" t="n">
        <v>0</v>
      </c>
    </row>
    <row r="1188">
      <c r="A1188" t="inlineStr">
        <is>
          <t>2</t>
        </is>
      </c>
      <c r="B1188" t="inlineStr">
        <is>
          <t>АТ "Укрексімбанк"</t>
        </is>
      </c>
      <c r="C1188" t="inlineStr">
        <is>
          <t>Державний</t>
        </is>
      </c>
      <c r="D1188" t="inlineStr">
        <is>
          <t>7707</t>
        </is>
      </c>
      <c r="E1188" t="inlineStr">
        <is>
          <t>Загальні витрати (7)</t>
        </is>
      </c>
      <c r="F1188" t="inlineStr">
        <is>
          <t>Відрахування в резерви за фінансовою дебіторською заборгованістю банку</t>
        </is>
      </c>
      <c r="G1188" t="inlineStr">
        <is>
          <t>П</t>
        </is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-226.4659</v>
      </c>
      <c r="O1188" t="n">
        <v>-226.4659</v>
      </c>
      <c r="P1188" t="n">
        <v>0</v>
      </c>
    </row>
    <row r="1189">
      <c r="A1189" t="inlineStr">
        <is>
          <t>2</t>
        </is>
      </c>
      <c r="B1189" t="inlineStr">
        <is>
          <t>АТ "Укрексімбанк"</t>
        </is>
      </c>
      <c r="C1189" t="inlineStr">
        <is>
          <t>Державний</t>
        </is>
      </c>
      <c r="D1189" t="inlineStr">
        <is>
          <t>7900</t>
        </is>
      </c>
      <c r="E1189" t="inlineStr">
        <is>
          <t>(без привʼязки)</t>
        </is>
      </c>
      <c r="F1189" t="inlineStr">
        <is>
          <t>Податок на прибуток</t>
        </is>
      </c>
      <c r="G1189" t="inlineStr">
        <is>
          <t>А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82.985</v>
      </c>
      <c r="O1189" t="n">
        <v>82.985</v>
      </c>
      <c r="P1189" t="n">
        <v>0</v>
      </c>
    </row>
    <row r="1190">
      <c r="A1190" t="inlineStr">
        <is>
          <t>2</t>
        </is>
      </c>
      <c r="B1190" t="inlineStr">
        <is>
          <t>АТ "Укрексімбанк"</t>
        </is>
      </c>
      <c r="C1190" t="inlineStr">
        <is>
          <t>Державний</t>
        </is>
      </c>
      <c r="D1190" t="inlineStr">
        <is>
          <t>7900</t>
        </is>
      </c>
      <c r="E1190" t="inlineStr">
        <is>
          <t>Податок на прибуток (7900)</t>
        </is>
      </c>
      <c r="F1190" t="inlineStr">
        <is>
          <t>Податок на прибуток</t>
        </is>
      </c>
      <c r="G1190" t="inlineStr">
        <is>
          <t>А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82.985</v>
      </c>
      <c r="O1190" t="n">
        <v>82.985</v>
      </c>
      <c r="P1190" t="n">
        <v>0</v>
      </c>
    </row>
    <row r="1191">
      <c r="A1191" t="inlineStr">
        <is>
          <t>2</t>
        </is>
      </c>
      <c r="B1191" t="inlineStr">
        <is>
          <t>АТ "Укрексімбанк"</t>
        </is>
      </c>
      <c r="C1191" t="inlineStr">
        <is>
          <t>Державний</t>
        </is>
      </c>
      <c r="D1191" t="inlineStr">
        <is>
          <t>7900</t>
        </is>
      </c>
      <c r="E1191" t="inlineStr">
        <is>
          <t>Загальні витрати (7)</t>
        </is>
      </c>
      <c r="F1191" t="inlineStr">
        <is>
          <t>Податок на прибуток</t>
        </is>
      </c>
      <c r="G1191" t="inlineStr">
        <is>
          <t>А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82.985</v>
      </c>
      <c r="O1191" t="n">
        <v>82.985</v>
      </c>
      <c r="P1191" t="n">
        <v>0</v>
      </c>
    </row>
    <row r="1192">
      <c r="A1192" t="inlineStr">
        <is>
          <t>2</t>
        </is>
      </c>
      <c r="B1192" t="inlineStr">
        <is>
          <t>АТ "Укрексімбанк"</t>
        </is>
      </c>
      <c r="C1192" t="inlineStr">
        <is>
          <t>Державний</t>
        </is>
      </c>
      <c r="D1192" t="inlineStr">
        <is>
          <t>7900</t>
        </is>
      </c>
      <c r="E1192" t="inlineStr">
        <is>
          <t>(без привʼязки)</t>
        </is>
      </c>
      <c r="F1192" t="inlineStr">
        <is>
          <t>Податок на прибуток</t>
        </is>
      </c>
      <c r="G1192" t="inlineStr">
        <is>
          <t>П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2</t>
        </is>
      </c>
      <c r="B1193" t="inlineStr">
        <is>
          <t>АТ "Укрексімбанк"</t>
        </is>
      </c>
      <c r="C1193" t="inlineStr">
        <is>
          <t>Державний</t>
        </is>
      </c>
      <c r="D1193" t="inlineStr">
        <is>
          <t>7900</t>
        </is>
      </c>
      <c r="E1193" t="inlineStr">
        <is>
          <t>Податок на прибуток (7900)</t>
        </is>
      </c>
      <c r="F1193" t="inlineStr">
        <is>
          <t>Податок на прибуток</t>
        </is>
      </c>
      <c r="G1193" t="inlineStr">
        <is>
          <t>П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inlineStr">
        <is>
          <t>2</t>
        </is>
      </c>
      <c r="B1194" t="inlineStr">
        <is>
          <t>АТ "Укрексімбанк"</t>
        </is>
      </c>
      <c r="C1194" t="inlineStr">
        <is>
          <t>Державний</t>
        </is>
      </c>
      <c r="D1194" t="inlineStr">
        <is>
          <t>7900</t>
        </is>
      </c>
      <c r="E1194" t="inlineStr">
        <is>
          <t>Загальні витрати (7)</t>
        </is>
      </c>
      <c r="F1194" t="inlineStr">
        <is>
          <t>Податок на прибуток</t>
        </is>
      </c>
      <c r="G1194" t="inlineStr">
        <is>
          <t>П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inlineStr">
        <is>
          <t>2</t>
        </is>
      </c>
      <c r="B1195" t="inlineStr">
        <is>
          <t>АТ "Укрексімбанк"</t>
        </is>
      </c>
      <c r="C1195" t="inlineStr">
        <is>
          <t>Державний</t>
        </is>
      </c>
      <c r="D1195" t="inlineStr">
        <is>
          <t>9000</t>
        </is>
      </c>
      <c r="E1195" t="inlineStr">
        <is>
          <t>(без привʼязки)</t>
        </is>
      </c>
      <c r="F1195" t="inlineStr">
        <is>
          <t>Надані гарантії</t>
        </is>
      </c>
      <c r="G1195" t="inlineStr">
        <is>
          <t>А</t>
        </is>
      </c>
      <c r="H1195" t="n">
        <v>831862.5310899999</v>
      </c>
      <c r="I1195" t="n">
        <v>198599.51426</v>
      </c>
      <c r="J1195" t="n">
        <v>633263.01683</v>
      </c>
      <c r="K1195" t="n">
        <v>489968.10642</v>
      </c>
      <c r="L1195" t="n">
        <v>120644.8242</v>
      </c>
      <c r="M1195" t="n">
        <v>369323.28222</v>
      </c>
      <c r="N1195" t="n">
        <v>11068180.45465</v>
      </c>
      <c r="O1195" t="n">
        <v>1494381.62393</v>
      </c>
      <c r="P1195" t="n">
        <v>9573798.83072</v>
      </c>
    </row>
    <row r="1196">
      <c r="A1196" t="inlineStr">
        <is>
          <t>2</t>
        </is>
      </c>
      <c r="B1196" t="inlineStr">
        <is>
          <t>АТ "Укрексімбанк"</t>
        </is>
      </c>
      <c r="C1196" t="inlineStr">
        <is>
          <t>Державний</t>
        </is>
      </c>
      <c r="D1196" t="inlineStr">
        <is>
          <t>9001</t>
        </is>
      </c>
      <c r="E1196" t="inlineStr">
        <is>
          <t>(без привʼязки)</t>
        </is>
      </c>
      <c r="F1196" t="inlineStr">
        <is>
          <t>Підтверджені акредитиви</t>
        </is>
      </c>
      <c r="G1196" t="inlineStr">
        <is>
          <t>А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inlineStr">
        <is>
          <t>2</t>
        </is>
      </c>
      <c r="B1197" t="inlineStr">
        <is>
          <t>АТ "Укрексімбанк"</t>
        </is>
      </c>
      <c r="C1197" t="inlineStr">
        <is>
          <t>Державний</t>
        </is>
      </c>
      <c r="D1197" t="inlineStr">
        <is>
          <t>9003</t>
        </is>
      </c>
      <c r="E1197" t="inlineStr">
        <is>
          <t>(без привʼязки)</t>
        </is>
      </c>
      <c r="F1197" t="inlineStr">
        <is>
          <t>Надані авалі</t>
        </is>
      </c>
      <c r="G1197" t="inlineStr">
        <is>
          <t>А</t>
        </is>
      </c>
      <c r="H1197" t="n">
        <v>138090.07001</v>
      </c>
      <c r="I1197" t="n">
        <v>138090.07001</v>
      </c>
      <c r="J1197" t="n">
        <v>0</v>
      </c>
      <c r="K1197" t="n">
        <v>258261.64822</v>
      </c>
      <c r="L1197" t="n">
        <v>258261.64822</v>
      </c>
      <c r="M1197" t="n">
        <v>0</v>
      </c>
      <c r="N1197" t="n">
        <v>212108.86601</v>
      </c>
      <c r="O1197" t="n">
        <v>212108.86601</v>
      </c>
      <c r="P1197" t="n">
        <v>0</v>
      </c>
    </row>
    <row r="1198">
      <c r="A1198" t="inlineStr">
        <is>
          <t>2</t>
        </is>
      </c>
      <c r="B1198" t="inlineStr">
        <is>
          <t>АТ "Укрексімбанк"</t>
        </is>
      </c>
      <c r="C1198" t="inlineStr">
        <is>
          <t>Державний</t>
        </is>
      </c>
      <c r="D1198" t="inlineStr">
        <is>
          <t>9100</t>
        </is>
      </c>
      <c r="E1198" t="inlineStr">
        <is>
          <t>(без привʼязки)</t>
        </is>
      </c>
      <c r="F1198" t="inlineStr">
        <is>
          <t>Зобов'язання з кредитування, що надані банкам</t>
        </is>
      </c>
      <c r="G1198" t="inlineStr">
        <is>
          <t>А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inlineStr">
        <is>
          <t>2</t>
        </is>
      </c>
      <c r="B1199" t="inlineStr">
        <is>
          <t>АТ "Укрексімбанк"</t>
        </is>
      </c>
      <c r="C1199" t="inlineStr">
        <is>
          <t>Державний</t>
        </is>
      </c>
      <c r="D1199" t="inlineStr">
        <is>
          <t>9122</t>
        </is>
      </c>
      <c r="E1199" t="inlineStr">
        <is>
          <t>(без привʼязки)</t>
        </is>
      </c>
      <c r="F1199" t="inlineStr">
        <is>
          <t>Непокриті акредитиви</t>
        </is>
      </c>
      <c r="G1199" t="inlineStr">
        <is>
          <t>А</t>
        </is>
      </c>
      <c r="H1199" t="n">
        <v>1383815.03255</v>
      </c>
      <c r="I1199" t="n">
        <v>0</v>
      </c>
      <c r="J1199" t="n">
        <v>1383815.03255</v>
      </c>
      <c r="K1199" t="n">
        <v>1367766.90628</v>
      </c>
      <c r="L1199" t="n">
        <v>0</v>
      </c>
      <c r="M1199" t="n">
        <v>1367766.90628</v>
      </c>
      <c r="N1199" t="n">
        <v>2441150.87725</v>
      </c>
      <c r="O1199" t="n">
        <v>0</v>
      </c>
      <c r="P1199" t="n">
        <v>2441150.87725</v>
      </c>
    </row>
    <row r="1200">
      <c r="A1200" t="inlineStr">
        <is>
          <t>2</t>
        </is>
      </c>
      <c r="B1200" t="inlineStr">
        <is>
          <t>АТ "Укрексімбанк"</t>
        </is>
      </c>
      <c r="C1200" t="inlineStr">
        <is>
          <t>Державний</t>
        </is>
      </c>
      <c r="D1200" t="inlineStr">
        <is>
          <t>9129</t>
        </is>
      </c>
      <c r="E1200" t="inlineStr">
        <is>
          <t>(без привʼязки)</t>
        </is>
      </c>
      <c r="F1200" t="inlineStr">
        <is>
          <t>Інші зобов'язання з кредитування, що надані клієнтам</t>
        </is>
      </c>
      <c r="G1200" t="inlineStr">
        <is>
          <t>А</t>
        </is>
      </c>
      <c r="H1200" t="n">
        <v>10458173.86085</v>
      </c>
      <c r="I1200" t="n">
        <v>5923861.74535</v>
      </c>
      <c r="J1200" t="n">
        <v>4534312.1155</v>
      </c>
      <c r="K1200" t="n">
        <v>9084722.561550001</v>
      </c>
      <c r="L1200" t="n">
        <v>5441943.54501</v>
      </c>
      <c r="M1200" t="n">
        <v>3642779.01654</v>
      </c>
      <c r="N1200" t="n">
        <v>15039835.90441</v>
      </c>
      <c r="O1200" t="n">
        <v>8051701.64369</v>
      </c>
      <c r="P1200" t="n">
        <v>6988134.26072</v>
      </c>
    </row>
    <row r="1201">
      <c r="A1201" t="inlineStr">
        <is>
          <t>2</t>
        </is>
      </c>
      <c r="B1201" t="inlineStr">
        <is>
          <t>АТ "Укрексімбанк"</t>
        </is>
      </c>
      <c r="C1201" t="inlineStr">
        <is>
          <t>Державний</t>
        </is>
      </c>
      <c r="D1201" t="inlineStr">
        <is>
          <t>9200</t>
        </is>
      </c>
      <c r="E1201" t="inlineStr">
        <is>
          <t>(без привʼязки)</t>
        </is>
      </c>
      <c r="F1201" t="inlineStr">
        <is>
          <t>Валюта та банківські метали до отримання за операціями спот</t>
        </is>
      </c>
      <c r="G1201" t="inlineStr">
        <is>
          <t>А</t>
        </is>
      </c>
      <c r="H1201" t="n">
        <v>52887182.64727</v>
      </c>
      <c r="I1201" t="n">
        <v>5891572.7822</v>
      </c>
      <c r="J1201" t="n">
        <v>46995609.86507</v>
      </c>
      <c r="K1201" t="n">
        <v>42060287.819</v>
      </c>
      <c r="L1201" t="n">
        <v>5891572.7822</v>
      </c>
      <c r="M1201" t="n">
        <v>36168715.0368</v>
      </c>
      <c r="N1201" t="n">
        <v>14167046.605</v>
      </c>
      <c r="O1201" t="n">
        <v>0</v>
      </c>
      <c r="P1201" t="n">
        <v>14167046.605</v>
      </c>
    </row>
    <row r="1202">
      <c r="A1202" t="inlineStr">
        <is>
          <t>2</t>
        </is>
      </c>
      <c r="B1202" t="inlineStr">
        <is>
          <t>АТ "Укрексімбанк"</t>
        </is>
      </c>
      <c r="C1202" t="inlineStr">
        <is>
          <t>Державний</t>
        </is>
      </c>
      <c r="D1202" t="inlineStr">
        <is>
          <t>9202</t>
        </is>
      </c>
      <c r="E1202" t="inlineStr">
        <is>
          <t>(без привʼязки)</t>
        </is>
      </c>
      <c r="F1202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G1202" t="inlineStr">
        <is>
          <t>А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inlineStr">
        <is>
          <t>2</t>
        </is>
      </c>
      <c r="B1203" t="inlineStr">
        <is>
          <t>АТ "Укрексімбанк"</t>
        </is>
      </c>
      <c r="C1203" t="inlineStr">
        <is>
          <t>Державний</t>
        </is>
      </c>
      <c r="D1203" t="inlineStr">
        <is>
          <t>9208</t>
        </is>
      </c>
      <c r="E1203" t="inlineStr">
        <is>
          <t>(без привʼязки)</t>
        </is>
      </c>
      <c r="F1203" t="inlineStr">
        <is>
          <t>Вимоги щодо отримання валюти за валютними своп-контрактами</t>
        </is>
      </c>
      <c r="G1203" t="inlineStr">
        <is>
          <t>А</t>
        </is>
      </c>
      <c r="H1203" t="n">
        <v>28228174.04345</v>
      </c>
      <c r="I1203" t="n">
        <v>14115350</v>
      </c>
      <c r="J1203" t="n">
        <v>14112824.04345</v>
      </c>
      <c r="K1203" t="n">
        <v>29220146.77231</v>
      </c>
      <c r="L1203" t="n">
        <v>14115350</v>
      </c>
      <c r="M1203" t="n">
        <v>15104796.77231</v>
      </c>
      <c r="N1203" t="n">
        <v>799687.46792</v>
      </c>
      <c r="O1203" t="n">
        <v>0</v>
      </c>
      <c r="P1203" t="n">
        <v>799687.46792</v>
      </c>
    </row>
    <row r="1204">
      <c r="A1204" t="inlineStr">
        <is>
          <t>2</t>
        </is>
      </c>
      <c r="B1204" t="inlineStr">
        <is>
          <t>АТ "Укрексімбанк"</t>
        </is>
      </c>
      <c r="C1204" t="inlineStr">
        <is>
          <t>Державний</t>
        </is>
      </c>
      <c r="D1204" t="inlineStr">
        <is>
          <t>9228</t>
        </is>
      </c>
      <c r="E1204" t="inlineStr">
        <is>
          <t>(без привʼязки)</t>
        </is>
      </c>
      <c r="F120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G1204" t="inlineStr">
        <is>
          <t>А</t>
        </is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inlineStr">
        <is>
          <t>2</t>
        </is>
      </c>
      <c r="B1205" t="inlineStr">
        <is>
          <t>АТ "Укрексімбанк"</t>
        </is>
      </c>
      <c r="C1205" t="inlineStr">
        <is>
          <t>Державний</t>
        </is>
      </c>
      <c r="D1205" t="inlineStr">
        <is>
          <t>9328</t>
        </is>
      </c>
      <c r="E1205" t="inlineStr">
        <is>
          <t>(без привʼязки)</t>
        </is>
      </c>
      <c r="F1205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G1205" t="inlineStr">
        <is>
          <t>А</t>
        </is>
      </c>
      <c r="H1205" t="n">
        <v>7307.17813</v>
      </c>
      <c r="I1205" t="n">
        <v>7307.17813</v>
      </c>
      <c r="J1205" t="n">
        <v>0</v>
      </c>
      <c r="K1205" t="n">
        <v>0</v>
      </c>
      <c r="L1205" t="n">
        <v>0</v>
      </c>
      <c r="M1205" t="n">
        <v>0</v>
      </c>
      <c r="N1205" t="n">
        <v>578273.69865</v>
      </c>
      <c r="O1205" t="n">
        <v>578273.69865</v>
      </c>
      <c r="P1205" t="n">
        <v>0</v>
      </c>
    </row>
    <row r="1206">
      <c r="A1206" t="inlineStr">
        <is>
          <t>2</t>
        </is>
      </c>
      <c r="B1206" t="inlineStr">
        <is>
          <t>АТ "Укрексімбанк"</t>
        </is>
      </c>
      <c r="C1206" t="inlineStr">
        <is>
          <t>Державний</t>
        </is>
      </c>
      <c r="D1206" t="inlineStr">
        <is>
          <t>9350</t>
        </is>
      </c>
      <c r="E1206" t="inlineStr">
        <is>
          <t>(без привʼязки)</t>
        </is>
      </c>
      <c r="F1206" t="inlineStr">
        <is>
          <t>Активи до отримання та депозити до розміщення за спотовими контрактами</t>
        </is>
      </c>
      <c r="G1206" t="inlineStr">
        <is>
          <t>А</t>
        </is>
      </c>
      <c r="H1206" t="n">
        <v>10417157.87035</v>
      </c>
      <c r="I1206" t="n">
        <v>694452.53251</v>
      </c>
      <c r="J1206" t="n">
        <v>9722705.33784</v>
      </c>
      <c r="K1206" t="n">
        <v>10417157.87035</v>
      </c>
      <c r="L1206" t="n">
        <v>694452.53251</v>
      </c>
      <c r="M1206" t="n">
        <v>9722705.33784</v>
      </c>
      <c r="N1206" t="n">
        <v>0</v>
      </c>
      <c r="O1206" t="n">
        <v>0</v>
      </c>
      <c r="P1206" t="n">
        <v>0</v>
      </c>
    </row>
    <row r="1207">
      <c r="A1207" t="inlineStr">
        <is>
          <t>2</t>
        </is>
      </c>
      <c r="B1207" t="inlineStr">
        <is>
          <t>АТ "Укрексімбанк"</t>
        </is>
      </c>
      <c r="C1207" t="inlineStr">
        <is>
          <t>Державний</t>
        </is>
      </c>
      <c r="D1207" t="inlineStr">
        <is>
          <t>9352</t>
        </is>
      </c>
      <c r="E1207" t="inlineStr">
        <is>
          <t>(без привʼязки)</t>
        </is>
      </c>
      <c r="F1207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G1207" t="inlineStr">
        <is>
          <t>А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inlineStr">
        <is>
          <t>2</t>
        </is>
      </c>
      <c r="B1208" t="inlineStr">
        <is>
          <t>АТ "Укрексімбанк"</t>
        </is>
      </c>
      <c r="C1208" t="inlineStr">
        <is>
          <t>Державний</t>
        </is>
      </c>
      <c r="D1208" t="inlineStr">
        <is>
          <t>9358</t>
        </is>
      </c>
      <c r="E1208" t="inlineStr">
        <is>
          <t>(без привʼязки)</t>
        </is>
      </c>
      <c r="F1208" t="inlineStr">
        <is>
          <t>Грошові потоки до отримання за процентними своп-контрактами</t>
        </is>
      </c>
      <c r="G1208" t="inlineStr">
        <is>
          <t>А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inlineStr">
        <is>
          <t>2</t>
        </is>
      </c>
      <c r="B1209" t="inlineStr">
        <is>
          <t>АТ "Укрексімбанк"</t>
        </is>
      </c>
      <c r="C1209" t="inlineStr">
        <is>
          <t>Державний</t>
        </is>
      </c>
      <c r="D1209" t="inlineStr">
        <is>
          <t>9500</t>
        </is>
      </c>
      <c r="E1209" t="inlineStr">
        <is>
          <t>(без привʼязки)</t>
        </is>
      </c>
      <c r="F1209" t="inlineStr">
        <is>
          <t>Отримана застава</t>
        </is>
      </c>
      <c r="G1209" t="inlineStr">
        <is>
          <t>А</t>
        </is>
      </c>
      <c r="H1209" t="n">
        <v>8062996.69435</v>
      </c>
      <c r="I1209" t="n">
        <v>7550787.45483</v>
      </c>
      <c r="J1209" t="n">
        <v>512209.23952</v>
      </c>
      <c r="K1209" t="n">
        <v>4986376.75899</v>
      </c>
      <c r="L1209" t="n">
        <v>3840669.34368</v>
      </c>
      <c r="M1209" t="n">
        <v>1145707.41531</v>
      </c>
      <c r="N1209" t="n">
        <v>146771648.66228</v>
      </c>
      <c r="O1209" t="n">
        <v>137551759.87641</v>
      </c>
      <c r="P1209" t="n">
        <v>9219888.785870001</v>
      </c>
    </row>
    <row r="1210">
      <c r="A1210" t="inlineStr">
        <is>
          <t>2</t>
        </is>
      </c>
      <c r="B1210" t="inlineStr">
        <is>
          <t>АТ "Укрексімбанк"</t>
        </is>
      </c>
      <c r="C1210" t="inlineStr">
        <is>
          <t>Державний</t>
        </is>
      </c>
      <c r="D1210" t="inlineStr">
        <is>
          <t>9503</t>
        </is>
      </c>
      <c r="E1210" t="inlineStr">
        <is>
          <t>(без привʼязки)</t>
        </is>
      </c>
      <c r="F1210" t="inlineStr">
        <is>
          <t>Застава за складськими свідоцтвами</t>
        </is>
      </c>
      <c r="G1210" t="inlineStr">
        <is>
          <t>А</t>
        </is>
      </c>
      <c r="H1210" t="n">
        <v>254008.77</v>
      </c>
      <c r="I1210" t="n">
        <v>254008.77</v>
      </c>
      <c r="J1210" t="n">
        <v>0</v>
      </c>
      <c r="K1210" t="n">
        <v>152328.947</v>
      </c>
      <c r="L1210" t="n">
        <v>152328.947</v>
      </c>
      <c r="M1210" t="n">
        <v>0</v>
      </c>
      <c r="N1210" t="n">
        <v>454021.646</v>
      </c>
      <c r="O1210" t="n">
        <v>454021.646</v>
      </c>
      <c r="P1210" t="n">
        <v>0</v>
      </c>
    </row>
    <row r="1211">
      <c r="A1211" t="inlineStr">
        <is>
          <t>2</t>
        </is>
      </c>
      <c r="B1211" t="inlineStr">
        <is>
          <t>АТ "Укрексімбанк"</t>
        </is>
      </c>
      <c r="C1211" t="inlineStr">
        <is>
          <t>Державний</t>
        </is>
      </c>
      <c r="D1211" t="inlineStr">
        <is>
          <t>9520</t>
        </is>
      </c>
      <c r="E1211" t="inlineStr">
        <is>
          <t>(без привʼязки)</t>
        </is>
      </c>
      <c r="F1211" t="inlineStr">
        <is>
          <t>Земельні ділянки</t>
        </is>
      </c>
      <c r="G1211" t="inlineStr">
        <is>
          <t>А</t>
        </is>
      </c>
      <c r="H1211" t="n">
        <v>6876.74137</v>
      </c>
      <c r="I1211" t="n">
        <v>6876.74137</v>
      </c>
      <c r="J1211" t="n">
        <v>0</v>
      </c>
      <c r="K1211" t="n">
        <v>21551.45413</v>
      </c>
      <c r="L1211" t="n">
        <v>21551.45413</v>
      </c>
      <c r="M1211" t="n">
        <v>0</v>
      </c>
      <c r="N1211" t="n">
        <v>3542312.67316</v>
      </c>
      <c r="O1211" t="n">
        <v>3542312.67316</v>
      </c>
      <c r="P1211" t="n">
        <v>0</v>
      </c>
    </row>
    <row r="1212">
      <c r="A1212" t="inlineStr">
        <is>
          <t>2</t>
        </is>
      </c>
      <c r="B1212" t="inlineStr">
        <is>
          <t>АТ "Укрексімбанк"</t>
        </is>
      </c>
      <c r="C1212" t="inlineStr">
        <is>
          <t>Державний</t>
        </is>
      </c>
      <c r="D1212" t="inlineStr">
        <is>
          <t>9521</t>
        </is>
      </c>
      <c r="E1212" t="inlineStr">
        <is>
          <t>(без привʼязки)</t>
        </is>
      </c>
      <c r="F1212" t="inlineStr">
        <is>
          <t>Нерухоме майно житлового призначення</t>
        </is>
      </c>
      <c r="G1212" t="inlineStr">
        <is>
          <t>А</t>
        </is>
      </c>
      <c r="H1212" t="n">
        <v>17816.63</v>
      </c>
      <c r="I1212" t="n">
        <v>17816.63</v>
      </c>
      <c r="J1212" t="n">
        <v>0</v>
      </c>
      <c r="K1212" t="n">
        <v>19431.518</v>
      </c>
      <c r="L1212" t="n">
        <v>19431.518</v>
      </c>
      <c r="M1212" t="n">
        <v>0</v>
      </c>
      <c r="N1212" t="n">
        <v>2974474.71509</v>
      </c>
      <c r="O1212" t="n">
        <v>2974474.71509</v>
      </c>
      <c r="P1212" t="n">
        <v>0</v>
      </c>
    </row>
    <row r="1213">
      <c r="A1213" t="inlineStr">
        <is>
          <t>2</t>
        </is>
      </c>
      <c r="B1213" t="inlineStr">
        <is>
          <t>АТ "Укрексімбанк"</t>
        </is>
      </c>
      <c r="C1213" t="inlineStr">
        <is>
          <t>Державний</t>
        </is>
      </c>
      <c r="D1213" t="inlineStr">
        <is>
          <t>9523</t>
        </is>
      </c>
      <c r="E1213" t="inlineStr">
        <is>
          <t>(без привʼязки)</t>
        </is>
      </c>
      <c r="F1213" t="inlineStr">
        <is>
          <t>Інші об'єкти нерухомого майна</t>
        </is>
      </c>
      <c r="G1213" t="inlineStr">
        <is>
          <t>А</t>
        </is>
      </c>
      <c r="H1213" t="n">
        <v>822262.04816</v>
      </c>
      <c r="I1213" t="n">
        <v>822262.04816</v>
      </c>
      <c r="J1213" t="n">
        <v>0</v>
      </c>
      <c r="K1213" t="n">
        <v>311945.12009</v>
      </c>
      <c r="L1213" t="n">
        <v>311945.12009</v>
      </c>
      <c r="M1213" t="n">
        <v>0</v>
      </c>
      <c r="N1213" t="n">
        <v>42709684.052</v>
      </c>
      <c r="O1213" t="n">
        <v>42709684.052</v>
      </c>
      <c r="P1213" t="n">
        <v>0</v>
      </c>
    </row>
    <row r="1214">
      <c r="A1214" t="inlineStr">
        <is>
          <t>2</t>
        </is>
      </c>
      <c r="B1214" t="inlineStr">
        <is>
          <t>АТ "Укрексімбанк"</t>
        </is>
      </c>
      <c r="C1214" t="inlineStr">
        <is>
          <t>Державний</t>
        </is>
      </c>
      <c r="D1214" t="inlineStr">
        <is>
          <t>9600</t>
        </is>
      </c>
      <c r="E1214" t="inlineStr">
        <is>
          <t>(без привʼязки)</t>
        </is>
      </c>
      <c r="F12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G1214" t="inlineStr">
        <is>
          <t>А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inlineStr">
        <is>
          <t>2</t>
        </is>
      </c>
      <c r="B1215" t="inlineStr">
        <is>
          <t>АТ "Укрексімбанк"</t>
        </is>
      </c>
      <c r="C1215" t="inlineStr">
        <is>
          <t>Державний</t>
        </is>
      </c>
      <c r="D1215" t="inlineStr">
        <is>
          <t>9601</t>
        </is>
      </c>
      <c r="E1215" t="inlineStr">
        <is>
          <t>(без привʼязки)</t>
        </is>
      </c>
      <c r="F1215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G1215" t="inlineStr">
        <is>
          <t>А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7.24105</v>
      </c>
      <c r="O1215" t="n">
        <v>7.24105</v>
      </c>
      <c r="P1215" t="n">
        <v>0</v>
      </c>
    </row>
    <row r="1216">
      <c r="A1216" t="inlineStr">
        <is>
          <t>2</t>
        </is>
      </c>
      <c r="B1216" t="inlineStr">
        <is>
          <t>АТ "Укрексімбанк"</t>
        </is>
      </c>
      <c r="C1216" t="inlineStr">
        <is>
          <t>Державний</t>
        </is>
      </c>
      <c r="D1216" t="inlineStr">
        <is>
          <t>9610</t>
        </is>
      </c>
      <c r="E1216" t="inlineStr">
        <is>
          <t>(без привʼязки)</t>
        </is>
      </c>
      <c r="F1216" t="inlineStr">
        <is>
          <t>Списана у збиток заборгованість за коштами на кореспондентських рахунках</t>
        </is>
      </c>
      <c r="G1216" t="inlineStr">
        <is>
          <t>А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2</t>
        </is>
      </c>
      <c r="B1217" t="inlineStr">
        <is>
          <t>АТ "Укрексімбанк"</t>
        </is>
      </c>
      <c r="C1217" t="inlineStr">
        <is>
          <t>Державний</t>
        </is>
      </c>
      <c r="D1217" t="inlineStr">
        <is>
          <t>9611</t>
        </is>
      </c>
      <c r="E1217" t="inlineStr">
        <is>
          <t>(без привʼязки)</t>
        </is>
      </c>
      <c r="F1217" t="inlineStr">
        <is>
          <t>Списана у збиток заборгованість за кредитними операціями</t>
        </is>
      </c>
      <c r="G1217" t="inlineStr">
        <is>
          <t>А</t>
        </is>
      </c>
      <c r="H1217" t="n">
        <v>2069608.96926</v>
      </c>
      <c r="I1217" t="n">
        <v>575403.36819</v>
      </c>
      <c r="J1217" t="n">
        <v>1494205.60107</v>
      </c>
      <c r="K1217" t="n">
        <v>3786389.02498</v>
      </c>
      <c r="L1217" t="n">
        <v>32366.63095</v>
      </c>
      <c r="M1217" t="n">
        <v>3754022.39403</v>
      </c>
      <c r="N1217" t="n">
        <v>106466745.75482</v>
      </c>
      <c r="O1217" t="n">
        <v>23055063.7516</v>
      </c>
      <c r="P1217" t="n">
        <v>83411682.00322001</v>
      </c>
    </row>
    <row r="1218">
      <c r="A1218" t="inlineStr">
        <is>
          <t>2</t>
        </is>
      </c>
      <c r="B1218" t="inlineStr">
        <is>
          <t>АТ "Укрексімбанк"</t>
        </is>
      </c>
      <c r="C1218" t="inlineStr">
        <is>
          <t>Державний</t>
        </is>
      </c>
      <c r="D1218" t="inlineStr">
        <is>
          <t>9613</t>
        </is>
      </c>
      <c r="E1218" t="inlineStr">
        <is>
          <t>(без привʼязки)</t>
        </is>
      </c>
      <c r="F1218" t="inlineStr">
        <is>
          <t>Списана у збиток заборгованість за операціями з цінними паперами</t>
        </is>
      </c>
      <c r="G1218" t="inlineStr">
        <is>
          <t>А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4218021.13088</v>
      </c>
      <c r="O1218" t="n">
        <v>4218021.13088</v>
      </c>
      <c r="P1218" t="n">
        <v>0</v>
      </c>
    </row>
    <row r="1219">
      <c r="A1219" t="inlineStr">
        <is>
          <t>2</t>
        </is>
      </c>
      <c r="B1219" t="inlineStr">
        <is>
          <t>АТ "Укрексімбанк"</t>
        </is>
      </c>
      <c r="C1219" t="inlineStr">
        <is>
          <t>Державний</t>
        </is>
      </c>
      <c r="D1219" t="inlineStr">
        <is>
          <t>9615</t>
        </is>
      </c>
      <c r="E1219" t="inlineStr">
        <is>
          <t>(без привʼязки)</t>
        </is>
      </c>
      <c r="F1219" t="inlineStr">
        <is>
          <t>Списана у збиток дебіторська заборгованість</t>
        </is>
      </c>
      <c r="G1219" t="inlineStr">
        <is>
          <t>А</t>
        </is>
      </c>
      <c r="H1219" t="n">
        <v>30.80615</v>
      </c>
      <c r="I1219" t="n">
        <v>0</v>
      </c>
      <c r="J1219" t="n">
        <v>30.80615</v>
      </c>
      <c r="K1219" t="n">
        <v>27.51353</v>
      </c>
      <c r="L1219" t="n">
        <v>3.50686</v>
      </c>
      <c r="M1219" t="n">
        <v>24.00667</v>
      </c>
      <c r="N1219" t="n">
        <v>109049.75274</v>
      </c>
      <c r="O1219" t="n">
        <v>107670.96302</v>
      </c>
      <c r="P1219" t="n">
        <v>1378.78972</v>
      </c>
    </row>
    <row r="1220">
      <c r="A1220" t="inlineStr">
        <is>
          <t>2</t>
        </is>
      </c>
      <c r="B1220" t="inlineStr">
        <is>
          <t>АТ "Укрексімбанк"</t>
        </is>
      </c>
      <c r="C1220" t="inlineStr">
        <is>
          <t>Державний</t>
        </is>
      </c>
      <c r="D1220" t="inlineStr">
        <is>
          <t>9617</t>
        </is>
      </c>
      <c r="E1220" t="inlineStr">
        <is>
          <t>(без привʼязки)</t>
        </is>
      </c>
      <c r="F1220" t="inlineStr">
        <is>
          <t>Списана у збиток заборгованість банків за іншими активами</t>
        </is>
      </c>
      <c r="G1220" t="inlineStr">
        <is>
          <t>А</t>
        </is>
      </c>
      <c r="H1220" t="n">
        <v>7.4036</v>
      </c>
      <c r="I1220" t="n">
        <v>0</v>
      </c>
      <c r="J1220" t="n">
        <v>7.4036</v>
      </c>
      <c r="K1220" t="n">
        <v>4.9205</v>
      </c>
      <c r="L1220" t="n">
        <v>0</v>
      </c>
      <c r="M1220" t="n">
        <v>4.9205</v>
      </c>
      <c r="N1220" t="n">
        <v>1143.66562</v>
      </c>
      <c r="O1220" t="n">
        <v>673.2159</v>
      </c>
      <c r="P1220" t="n">
        <v>470.44972</v>
      </c>
    </row>
    <row r="1221">
      <c r="A1221" t="inlineStr">
        <is>
          <t>2</t>
        </is>
      </c>
      <c r="B1221" t="inlineStr">
        <is>
          <t>АТ "Укрексімбанк"</t>
        </is>
      </c>
      <c r="C1221" t="inlineStr">
        <is>
          <t>Державний</t>
        </is>
      </c>
      <c r="D1221" t="inlineStr">
        <is>
          <t>9618</t>
        </is>
      </c>
      <c r="E1221" t="inlineStr">
        <is>
          <t>(без привʼязки)</t>
        </is>
      </c>
      <c r="F1221" t="inlineStr">
        <is>
          <t>Списана у збиток заборгованість клієнтів за іншими активами</t>
        </is>
      </c>
      <c r="G1221" t="inlineStr">
        <is>
          <t>А</t>
        </is>
      </c>
      <c r="H1221" t="n">
        <v>4.225</v>
      </c>
      <c r="I1221" t="n">
        <v>0</v>
      </c>
      <c r="J1221" t="n">
        <v>4.225</v>
      </c>
      <c r="K1221" t="n">
        <v>5.38</v>
      </c>
      <c r="L1221" t="n">
        <v>0</v>
      </c>
      <c r="M1221" t="n">
        <v>5.38</v>
      </c>
      <c r="N1221" t="n">
        <v>235.96242</v>
      </c>
      <c r="O1221" t="n">
        <v>101.05242</v>
      </c>
      <c r="P1221" t="n">
        <v>134.91</v>
      </c>
    </row>
    <row r="1222">
      <c r="A1222" t="inlineStr">
        <is>
          <t>2</t>
        </is>
      </c>
      <c r="B1222" t="inlineStr">
        <is>
          <t>АТ "Укрексімбанк"</t>
        </is>
      </c>
      <c r="C1222" t="inlineStr">
        <is>
          <t>Державний</t>
        </is>
      </c>
      <c r="D1222" t="inlineStr">
        <is>
          <t>9620</t>
        </is>
      </c>
      <c r="E1222" t="inlineStr">
        <is>
          <t>(без привʼязки)</t>
        </is>
      </c>
      <c r="F1222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G1222" t="inlineStr">
        <is>
          <t>А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inlineStr">
        <is>
          <t>2</t>
        </is>
      </c>
      <c r="B1223" t="inlineStr">
        <is>
          <t>АТ "Укрексімбанк"</t>
        </is>
      </c>
      <c r="C1223" t="inlineStr">
        <is>
          <t>Державний</t>
        </is>
      </c>
      <c r="D1223" t="inlineStr">
        <is>
          <t>9621</t>
        </is>
      </c>
      <c r="E1223" t="inlineStr">
        <is>
          <t>(без привʼязки)</t>
        </is>
      </c>
      <c r="F1223" t="inlineStr">
        <is>
          <t>Валютні кошти фізичних осіб, які обліковуються на рахунках у Зовнішнекономбанку Росії</t>
        </is>
      </c>
      <c r="G1223" t="inlineStr">
        <is>
          <t>А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1099.09743</v>
      </c>
      <c r="O1223" t="n">
        <v>1099.09743</v>
      </c>
      <c r="P1223" t="n">
        <v>0</v>
      </c>
    </row>
    <row r="1224">
      <c r="A1224" t="inlineStr">
        <is>
          <t>2</t>
        </is>
      </c>
      <c r="B1224" t="inlineStr">
        <is>
          <t>АТ "Укрексімбанк"</t>
        </is>
      </c>
      <c r="C1224" t="inlineStr">
        <is>
          <t>Державний</t>
        </is>
      </c>
      <c r="D1224" t="inlineStr">
        <is>
          <t>9702</t>
        </is>
      </c>
      <c r="E1224" t="inlineStr">
        <is>
          <t>(без привʼязки)</t>
        </is>
      </c>
      <c r="F1224" t="inlineStr">
        <is>
          <t>Цінні папери на зберіганні</t>
        </is>
      </c>
      <c r="G1224" t="inlineStr">
        <is>
          <t>А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2</t>
        </is>
      </c>
      <c r="B1225" t="inlineStr">
        <is>
          <t>АТ "Укрексімбанк"</t>
        </is>
      </c>
      <c r="C1225" t="inlineStr">
        <is>
          <t>Державний</t>
        </is>
      </c>
      <c r="D1225" t="inlineStr">
        <is>
          <t>9703</t>
        </is>
      </c>
      <c r="E1225" t="inlineStr">
        <is>
          <t>(без привʼязки)</t>
        </is>
      </c>
      <c r="F1225" t="inlineStr">
        <is>
          <t>Інші активи на зберіганні</t>
        </is>
      </c>
      <c r="G1225" t="inlineStr">
        <is>
          <t>А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inlineStr">
        <is>
          <t>2</t>
        </is>
      </c>
      <c r="B1226" t="inlineStr">
        <is>
          <t>АТ "Укрексімбанк"</t>
        </is>
      </c>
      <c r="C1226" t="inlineStr">
        <is>
          <t>Державний</t>
        </is>
      </c>
      <c r="D1226" t="inlineStr">
        <is>
          <t>9711</t>
        </is>
      </c>
      <c r="E1226" t="inlineStr">
        <is>
          <t>(без привʼязки)</t>
        </is>
      </c>
      <c r="F1226" t="inlineStr">
        <is>
          <t>Житлові чеки в установах ПАТ "Ощадбанк"</t>
        </is>
      </c>
      <c r="G1226" t="inlineStr">
        <is>
          <t>А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2</t>
        </is>
      </c>
      <c r="B1227" t="inlineStr">
        <is>
          <t>АТ "Укрексімбанк"</t>
        </is>
      </c>
      <c r="C1227" t="inlineStr">
        <is>
          <t>Державний</t>
        </is>
      </c>
      <c r="D1227" t="inlineStr">
        <is>
          <t>9712</t>
        </is>
      </c>
      <c r="E1227" t="inlineStr">
        <is>
          <t>(без привʼязки)</t>
        </is>
      </c>
      <c r="F1227" t="inlineStr">
        <is>
          <t>Розрахунки житловими чеками з позабюджетним Державним фондом приватизації</t>
        </is>
      </c>
      <c r="G1227" t="inlineStr">
        <is>
          <t>А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inlineStr">
        <is>
          <t>2</t>
        </is>
      </c>
      <c r="B1228" t="inlineStr">
        <is>
          <t>АТ "Укрексімбанк"</t>
        </is>
      </c>
      <c r="C1228" t="inlineStr">
        <is>
          <t>Державний</t>
        </is>
      </c>
      <c r="D1228" t="inlineStr">
        <is>
          <t>9714</t>
        </is>
      </c>
      <c r="E1228" t="inlineStr">
        <is>
          <t>(без привʼязки)</t>
        </is>
      </c>
      <c r="F1228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G1228" t="inlineStr">
        <is>
          <t>А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2</t>
        </is>
      </c>
      <c r="B1229" t="inlineStr">
        <is>
          <t>АТ "Укрексімбанк"</t>
        </is>
      </c>
      <c r="C1229" t="inlineStr">
        <is>
          <t>Державний</t>
        </is>
      </c>
      <c r="D1229" t="inlineStr">
        <is>
          <t>9715</t>
        </is>
      </c>
      <c r="E1229" t="inlineStr">
        <is>
          <t>(без привʼязки)</t>
        </is>
      </c>
      <c r="F1229" t="inlineStr">
        <is>
          <t>Розрахунки установ ПАТ "Ощадбанк" за житловими чеками</t>
        </is>
      </c>
      <c r="G1229" t="inlineStr">
        <is>
          <t>А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inlineStr">
        <is>
          <t>2</t>
        </is>
      </c>
      <c r="B1230" t="inlineStr">
        <is>
          <t>АТ "Укрексімбанк"</t>
        </is>
      </c>
      <c r="C1230" t="inlineStr">
        <is>
          <t>Державний</t>
        </is>
      </c>
      <c r="D1230" t="inlineStr">
        <is>
          <t>9717</t>
        </is>
      </c>
      <c r="E1230" t="inlineStr">
        <is>
          <t>(без привʼязки)</t>
        </is>
      </c>
      <c r="F1230" t="inlineStr">
        <is>
          <t>Житлові чеки, що акумульовані на рахунках фінансових посередників</t>
        </is>
      </c>
      <c r="G1230" t="inlineStr">
        <is>
          <t>А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0.04743</v>
      </c>
      <c r="O1230" t="n">
        <v>0.04743</v>
      </c>
      <c r="P1230" t="n">
        <v>0</v>
      </c>
    </row>
    <row r="1231">
      <c r="A1231" t="inlineStr">
        <is>
          <t>2</t>
        </is>
      </c>
      <c r="B1231" t="inlineStr">
        <is>
          <t>АТ "Укрексімбанк"</t>
        </is>
      </c>
      <c r="C1231" t="inlineStr">
        <is>
          <t>Державний</t>
        </is>
      </c>
      <c r="D1231" t="inlineStr">
        <is>
          <t>9718</t>
        </is>
      </c>
      <c r="E1231" t="inlineStr">
        <is>
          <t>(без привʼязки)</t>
        </is>
      </c>
      <c r="F1231" t="inlineStr">
        <is>
          <t>Житлові чеки, що акумульовані для розрахунків за придбані об'єкти приватизації</t>
        </is>
      </c>
      <c r="G1231" t="inlineStr">
        <is>
          <t>А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inlineStr">
        <is>
          <t>2</t>
        </is>
      </c>
      <c r="B1232" t="inlineStr">
        <is>
          <t>АТ "Укрексімбанк"</t>
        </is>
      </c>
      <c r="C1232" t="inlineStr">
        <is>
          <t>Державний</t>
        </is>
      </c>
      <c r="D1232" t="inlineStr">
        <is>
          <t>9742</t>
        </is>
      </c>
      <c r="E1232" t="inlineStr">
        <is>
          <t>(без привʼязки)</t>
        </is>
      </c>
      <c r="F1232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G1232" t="inlineStr">
        <is>
          <t>А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inlineStr">
        <is>
          <t>2</t>
        </is>
      </c>
      <c r="B1233" t="inlineStr">
        <is>
          <t>АТ "Укрексімбанк"</t>
        </is>
      </c>
      <c r="C1233" t="inlineStr">
        <is>
          <t>Державний</t>
        </is>
      </c>
      <c r="D1233" t="inlineStr">
        <is>
          <t>9746</t>
        </is>
      </c>
      <c r="E1233" t="inlineStr">
        <is>
          <t>(без привʼязки)</t>
        </is>
      </c>
      <c r="F1233" t="inlineStr">
        <is>
          <t>Транзитний рахунок за розрахунковими документами з приватизації</t>
        </is>
      </c>
      <c r="G1233" t="inlineStr">
        <is>
          <t>А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inlineStr">
        <is>
          <t>2</t>
        </is>
      </c>
      <c r="B1234" t="inlineStr">
        <is>
          <t>АТ "Укрексімбанк"</t>
        </is>
      </c>
      <c r="C1234" t="inlineStr">
        <is>
          <t>Державний</t>
        </is>
      </c>
      <c r="D1234" t="inlineStr">
        <is>
          <t>9760</t>
        </is>
      </c>
      <c r="E1234" t="inlineStr">
        <is>
          <t>(без привʼязки)</t>
        </is>
      </c>
      <c r="F1234" t="inlineStr">
        <is>
          <t>Грошова компенсація заощаджень громадян України в установах ПАТ "Ощадбанк"</t>
        </is>
      </c>
      <c r="G1234" t="inlineStr">
        <is>
          <t>А</t>
        </is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inlineStr">
        <is>
          <t>2</t>
        </is>
      </c>
      <c r="B1235" t="inlineStr">
        <is>
          <t>АТ "Укрексімбанк"</t>
        </is>
      </c>
      <c r="C1235" t="inlineStr">
        <is>
          <t>Державний</t>
        </is>
      </c>
      <c r="D1235" t="inlineStr">
        <is>
          <t>9770</t>
        </is>
      </c>
      <c r="E1235" t="inlineStr">
        <is>
          <t>(без привʼязки)</t>
        </is>
      </c>
      <c r="F1235" t="inlineStr">
        <is>
          <t>Різні цінності і розрахункові документи за придбаними об'єктами приватизації, що відправлені</t>
        </is>
      </c>
      <c r="G1235" t="inlineStr">
        <is>
          <t>А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inlineStr">
        <is>
          <t>2</t>
        </is>
      </c>
      <c r="B1236" t="inlineStr">
        <is>
          <t>АТ "Укрексімбанк"</t>
        </is>
      </c>
      <c r="C1236" t="inlineStr">
        <is>
          <t>Державний</t>
        </is>
      </c>
      <c r="D1236" t="inlineStr">
        <is>
          <t>9781</t>
        </is>
      </c>
      <c r="E1236" t="inlineStr">
        <is>
          <t>(без привʼязки)</t>
        </is>
      </c>
      <c r="F1236" t="inlineStr">
        <is>
          <t>Поточні рахунки банку-управителя з довірчого управління</t>
        </is>
      </c>
      <c r="G1236" t="inlineStr">
        <is>
          <t>А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inlineStr">
        <is>
          <t>2</t>
        </is>
      </c>
      <c r="B1237" t="inlineStr">
        <is>
          <t>АТ "Укрексімбанк"</t>
        </is>
      </c>
      <c r="C1237" t="inlineStr">
        <is>
          <t>Державний</t>
        </is>
      </c>
      <c r="D1237" t="inlineStr">
        <is>
          <t>9782</t>
        </is>
      </c>
      <c r="E1237" t="inlineStr">
        <is>
          <t>(без привʼязки)</t>
        </is>
      </c>
      <c r="F1237" t="inlineStr">
        <is>
          <t>Дебіторська заборгованість за операціями довірчого управління</t>
        </is>
      </c>
      <c r="G1237" t="inlineStr">
        <is>
          <t>А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inlineStr">
        <is>
          <t>2</t>
        </is>
      </c>
      <c r="B1238" t="inlineStr">
        <is>
          <t>АТ "Укрексімбанк"</t>
        </is>
      </c>
      <c r="C1238" t="inlineStr">
        <is>
          <t>Державний</t>
        </is>
      </c>
      <c r="D1238" t="inlineStr">
        <is>
          <t>9783</t>
        </is>
      </c>
      <c r="E1238" t="inlineStr">
        <is>
          <t>(без привʼязки)</t>
        </is>
      </c>
      <c r="F1238" t="inlineStr">
        <is>
          <t>Цінні папери в довірчому управлінні</t>
        </is>
      </c>
      <c r="G1238" t="inlineStr">
        <is>
          <t>А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inlineStr">
        <is>
          <t>2</t>
        </is>
      </c>
      <c r="B1239" t="inlineStr">
        <is>
          <t>АТ "Укрексімбанк"</t>
        </is>
      </c>
      <c r="C1239" t="inlineStr">
        <is>
          <t>Державний</t>
        </is>
      </c>
      <c r="D1239" t="inlineStr">
        <is>
          <t>9786</t>
        </is>
      </c>
      <c r="E1239" t="inlineStr">
        <is>
          <t>(без привʼязки)</t>
        </is>
      </c>
      <c r="F1239" t="inlineStr">
        <is>
          <t>Інші активи в довірчому управлінні</t>
        </is>
      </c>
      <c r="G1239" t="inlineStr">
        <is>
          <t>А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inlineStr">
        <is>
          <t>2</t>
        </is>
      </c>
      <c r="B1240" t="inlineStr">
        <is>
          <t>АТ "Укрексімбанк"</t>
        </is>
      </c>
      <c r="C1240" t="inlineStr">
        <is>
          <t>Державний</t>
        </is>
      </c>
      <c r="D1240" t="inlineStr">
        <is>
          <t>9787</t>
        </is>
      </c>
      <c r="E1240" t="inlineStr">
        <is>
          <t>(без привʼязки)</t>
        </is>
      </c>
      <c r="F1240" t="inlineStr">
        <is>
          <t>Витрати за операціями довірчого управління</t>
        </is>
      </c>
      <c r="G1240" t="inlineStr">
        <is>
          <t>А</t>
        </is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inlineStr">
        <is>
          <t>2</t>
        </is>
      </c>
      <c r="B1241" t="inlineStr">
        <is>
          <t>АТ "Укрексімбанк"</t>
        </is>
      </c>
      <c r="C1241" t="inlineStr">
        <is>
          <t>Державний</t>
        </is>
      </c>
      <c r="D1241" t="inlineStr">
        <is>
          <t>9788</t>
        </is>
      </c>
      <c r="E1241" t="inlineStr">
        <is>
          <t>(без привʼязки)</t>
        </is>
      </c>
      <c r="F1241" t="inlineStr">
        <is>
          <t>Нараховані доходи за об"єктами довірчого управління</t>
        </is>
      </c>
      <c r="G1241" t="inlineStr">
        <is>
          <t>А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inlineStr">
        <is>
          <t>2</t>
        </is>
      </c>
      <c r="B1242" t="inlineStr">
        <is>
          <t>АТ "Укрексімбанк"</t>
        </is>
      </c>
      <c r="C1242" t="inlineStr">
        <is>
          <t>Державний</t>
        </is>
      </c>
      <c r="D1242" t="inlineStr">
        <is>
          <t>9800</t>
        </is>
      </c>
      <c r="E1242" t="inlineStr">
        <is>
          <t>(без привʼязки)</t>
        </is>
      </c>
      <c r="F1242" t="inlineStr">
        <is>
          <t>Розрахункові документи за факторинговими операціями</t>
        </is>
      </c>
      <c r="G1242" t="inlineStr">
        <is>
          <t>А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53998.87572</v>
      </c>
      <c r="O1242" t="n">
        <v>53998.87572</v>
      </c>
      <c r="P1242" t="n">
        <v>0</v>
      </c>
    </row>
    <row r="1243">
      <c r="A1243" t="inlineStr">
        <is>
          <t>2</t>
        </is>
      </c>
      <c r="B1243" t="inlineStr">
        <is>
          <t>АТ "Укрексімбанк"</t>
        </is>
      </c>
      <c r="C1243" t="inlineStr">
        <is>
          <t>Державний</t>
        </is>
      </c>
      <c r="D1243" t="inlineStr">
        <is>
          <t>9801</t>
        </is>
      </c>
      <c r="E1243" t="inlineStr">
        <is>
          <t>(без привʼязки)</t>
        </is>
      </c>
      <c r="F1243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G1243" t="inlineStr">
        <is>
          <t>А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inlineStr">
        <is>
          <t>2</t>
        </is>
      </c>
      <c r="B1244" t="inlineStr">
        <is>
          <t>АТ "Укрексімбанк"</t>
        </is>
      </c>
      <c r="C1244" t="inlineStr">
        <is>
          <t>Державний</t>
        </is>
      </c>
      <c r="D1244" t="inlineStr">
        <is>
          <t>9802</t>
        </is>
      </c>
      <c r="E1244" t="inlineStr">
        <is>
          <t>(без привʼязки)</t>
        </is>
      </c>
      <c r="F1244" t="inlineStr">
        <is>
          <t>Акредитиви до виконання</t>
        </is>
      </c>
      <c r="G1244" t="inlineStr">
        <is>
          <t>А</t>
        </is>
      </c>
      <c r="H1244" t="n">
        <v>158915.39899</v>
      </c>
      <c r="I1244" t="n">
        <v>0</v>
      </c>
      <c r="J1244" t="n">
        <v>158915.39899</v>
      </c>
      <c r="K1244" t="n">
        <v>115514.90941</v>
      </c>
      <c r="L1244" t="n">
        <v>0</v>
      </c>
      <c r="M1244" t="n">
        <v>115514.90941</v>
      </c>
      <c r="N1244" t="n">
        <v>3435270.5137</v>
      </c>
      <c r="O1244" t="n">
        <v>1105.69998</v>
      </c>
      <c r="P1244" t="n">
        <v>3434164.81372</v>
      </c>
    </row>
    <row r="1245">
      <c r="A1245" t="inlineStr">
        <is>
          <t>2</t>
        </is>
      </c>
      <c r="B1245" t="inlineStr">
        <is>
          <t>АТ "Укрексімбанк"</t>
        </is>
      </c>
      <c r="C1245" t="inlineStr">
        <is>
          <t>Державний</t>
        </is>
      </c>
      <c r="D1245" t="inlineStr">
        <is>
          <t>9809</t>
        </is>
      </c>
      <c r="E1245" t="inlineStr">
        <is>
          <t>(без привʼязки)</t>
        </is>
      </c>
      <c r="F1245" t="inlineStr">
        <is>
          <t>Інші документи за розрахунковими операціями клієнтів</t>
        </is>
      </c>
      <c r="G1245" t="inlineStr">
        <is>
          <t>А</t>
        </is>
      </c>
      <c r="H1245" t="n">
        <v>3.298</v>
      </c>
      <c r="I1245" t="n">
        <v>3.298</v>
      </c>
      <c r="J1245" t="n">
        <v>0</v>
      </c>
      <c r="K1245" t="n">
        <v>2.292</v>
      </c>
      <c r="L1245" t="n">
        <v>2.292</v>
      </c>
      <c r="M1245" t="n">
        <v>0</v>
      </c>
      <c r="N1245" t="n">
        <v>59.278</v>
      </c>
      <c r="O1245" t="n">
        <v>59.278</v>
      </c>
      <c r="P1245" t="n">
        <v>0</v>
      </c>
    </row>
    <row r="1246">
      <c r="A1246" t="inlineStr">
        <is>
          <t>2</t>
        </is>
      </c>
      <c r="B1246" t="inlineStr">
        <is>
          <t>АТ "Укрексімбанк"</t>
        </is>
      </c>
      <c r="C1246" t="inlineStr">
        <is>
          <t>Державний</t>
        </is>
      </c>
      <c r="D1246" t="inlineStr">
        <is>
          <t>9810</t>
        </is>
      </c>
      <c r="E1246" t="inlineStr">
        <is>
          <t>(без привʼязки)</t>
        </is>
      </c>
      <c r="F1246" t="inlineStr">
        <is>
          <t>Нерозібрані посилки з цінностями</t>
        </is>
      </c>
      <c r="G1246" t="inlineStr">
        <is>
          <t>А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inlineStr">
        <is>
          <t>2</t>
        </is>
      </c>
      <c r="B1247" t="inlineStr">
        <is>
          <t>АТ "Укрексімбанк"</t>
        </is>
      </c>
      <c r="C1247" t="inlineStr">
        <is>
          <t>Державний</t>
        </is>
      </c>
      <c r="D1247" t="inlineStr">
        <is>
          <t>9811</t>
        </is>
      </c>
      <c r="E1247" t="inlineStr">
        <is>
          <t>(без привʼязки)</t>
        </is>
      </c>
      <c r="F1247" t="inlineStr">
        <is>
          <t>Отримані дозволи на випуск цінних паперів</t>
        </is>
      </c>
      <c r="G1247" t="inlineStr">
        <is>
          <t>А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45570041.12424</v>
      </c>
      <c r="O1247" t="n">
        <v>45570041.12424</v>
      </c>
      <c r="P1247" t="n">
        <v>0</v>
      </c>
    </row>
    <row r="1248">
      <c r="A1248" t="inlineStr">
        <is>
          <t>2</t>
        </is>
      </c>
      <c r="B1248" t="inlineStr">
        <is>
          <t>АТ "Укрексімбанк"</t>
        </is>
      </c>
      <c r="C1248" t="inlineStr">
        <is>
          <t>Державний</t>
        </is>
      </c>
      <c r="D1248" t="inlineStr">
        <is>
          <t>9812</t>
        </is>
      </c>
      <c r="E1248" t="inlineStr">
        <is>
          <t>(без привʼязки)</t>
        </is>
      </c>
      <c r="F1248" t="inlineStr">
        <is>
          <t>Погашені цінності</t>
        </is>
      </c>
      <c r="G1248" t="inlineStr">
        <is>
          <t>А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inlineStr">
        <is>
          <t>2</t>
        </is>
      </c>
      <c r="B1249" t="inlineStr">
        <is>
          <t>АТ "Укрексімбанк"</t>
        </is>
      </c>
      <c r="C1249" t="inlineStr">
        <is>
          <t>Державний</t>
        </is>
      </c>
      <c r="D1249" t="inlineStr">
        <is>
          <t>9817</t>
        </is>
      </c>
      <c r="E1249" t="inlineStr">
        <is>
          <t>(без привʼязки)</t>
        </is>
      </c>
      <c r="F1249" t="inlineStr">
        <is>
          <t>Запаси готівки Національного банку України, які прийняті на зберігання уповноваженим банком</t>
        </is>
      </c>
      <c r="G1249" t="inlineStr">
        <is>
          <t>А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inlineStr">
        <is>
          <t>2</t>
        </is>
      </c>
      <c r="B1250" t="inlineStr">
        <is>
          <t>АТ "Укрексімбанк"</t>
        </is>
      </c>
      <c r="C1250" t="inlineStr">
        <is>
          <t>Державний</t>
        </is>
      </c>
      <c r="D1250" t="inlineStr">
        <is>
          <t>9819</t>
        </is>
      </c>
      <c r="E1250" t="inlineStr">
        <is>
          <t>(без привʼязки)</t>
        </is>
      </c>
      <c r="F1250" t="inlineStr">
        <is>
          <t>Інші цінності і документи</t>
        </is>
      </c>
      <c r="G1250" t="inlineStr">
        <is>
          <t>А</t>
        </is>
      </c>
      <c r="H1250" t="n">
        <v>1292271.32069</v>
      </c>
      <c r="I1250" t="n">
        <v>129.39996</v>
      </c>
      <c r="J1250" t="n">
        <v>1292141.92073</v>
      </c>
      <c r="K1250" t="n">
        <v>871697.0978</v>
      </c>
      <c r="L1250" t="n">
        <v>2.737</v>
      </c>
      <c r="M1250" t="n">
        <v>871694.3608</v>
      </c>
      <c r="N1250" t="n">
        <v>65943584.97715</v>
      </c>
      <c r="O1250" t="n">
        <v>372209.56432</v>
      </c>
      <c r="P1250" t="n">
        <v>65571375.41283</v>
      </c>
    </row>
    <row r="1251">
      <c r="A1251" t="inlineStr">
        <is>
          <t>2</t>
        </is>
      </c>
      <c r="B1251" t="inlineStr">
        <is>
          <t>АТ "Укрексімбанк"</t>
        </is>
      </c>
      <c r="C1251" t="inlineStr">
        <is>
          <t>Державний</t>
        </is>
      </c>
      <c r="D1251" t="inlineStr">
        <is>
          <t>9820</t>
        </is>
      </c>
      <c r="E1251" t="inlineStr">
        <is>
          <t>(без привʼязки)</t>
        </is>
      </c>
      <c r="F1251" t="inlineStr">
        <is>
          <t>Бланки цінних паперів</t>
        </is>
      </c>
      <c r="G1251" t="inlineStr">
        <is>
          <t>А</t>
        </is>
      </c>
      <c r="H1251" t="n">
        <v>0.028</v>
      </c>
      <c r="I1251" t="n">
        <v>0.028</v>
      </c>
      <c r="J1251" t="n">
        <v>0</v>
      </c>
      <c r="K1251" t="n">
        <v>0.028</v>
      </c>
      <c r="L1251" t="n">
        <v>0.028</v>
      </c>
      <c r="M1251" t="n">
        <v>0</v>
      </c>
      <c r="N1251" t="n">
        <v>2.761</v>
      </c>
      <c r="O1251" t="n">
        <v>2.761</v>
      </c>
      <c r="P1251" t="n">
        <v>0</v>
      </c>
    </row>
    <row r="1252">
      <c r="A1252" t="inlineStr">
        <is>
          <t>2</t>
        </is>
      </c>
      <c r="B1252" t="inlineStr">
        <is>
          <t>АТ "Укрексімбанк"</t>
        </is>
      </c>
      <c r="C1252" t="inlineStr">
        <is>
          <t>Державний</t>
        </is>
      </c>
      <c r="D1252" t="inlineStr">
        <is>
          <t>9821</t>
        </is>
      </c>
      <c r="E1252" t="inlineStr">
        <is>
          <t>(без привʼязки)</t>
        </is>
      </c>
      <c r="F1252" t="inlineStr">
        <is>
          <t>Бланки суворого обліку</t>
        </is>
      </c>
      <c r="G1252" t="inlineStr">
        <is>
          <t>А</t>
        </is>
      </c>
      <c r="H1252" t="n">
        <v>0.098</v>
      </c>
      <c r="I1252" t="n">
        <v>0.098</v>
      </c>
      <c r="J1252" t="n">
        <v>0</v>
      </c>
      <c r="K1252" t="n">
        <v>0.178</v>
      </c>
      <c r="L1252" t="n">
        <v>0.178</v>
      </c>
      <c r="M1252" t="n">
        <v>0</v>
      </c>
      <c r="N1252" t="n">
        <v>1.292</v>
      </c>
      <c r="O1252" t="n">
        <v>1.292</v>
      </c>
      <c r="P1252" t="n">
        <v>0</v>
      </c>
    </row>
    <row r="1253">
      <c r="A1253" t="inlineStr">
        <is>
          <t>2</t>
        </is>
      </c>
      <c r="B1253" t="inlineStr">
        <is>
          <t>АТ "Укрексімбанк"</t>
        </is>
      </c>
      <c r="C1253" t="inlineStr">
        <is>
          <t>Державний</t>
        </is>
      </c>
      <c r="D1253" t="inlineStr">
        <is>
          <t>9830</t>
        </is>
      </c>
      <c r="E1253" t="inlineStr">
        <is>
          <t>(без привʼязки)</t>
        </is>
      </c>
      <c r="F1253" t="inlineStr">
        <is>
          <t>Документи і цінності, прийняті на інкасо</t>
        </is>
      </c>
      <c r="G1253" t="inlineStr">
        <is>
          <t>А</t>
        </is>
      </c>
      <c r="H1253" t="n">
        <v>29711.72006</v>
      </c>
      <c r="I1253" t="n">
        <v>0</v>
      </c>
      <c r="J1253" t="n">
        <v>29711.72006</v>
      </c>
      <c r="K1253" t="n">
        <v>15290.13797</v>
      </c>
      <c r="L1253" t="n">
        <v>0</v>
      </c>
      <c r="M1253" t="n">
        <v>15290.13797</v>
      </c>
      <c r="N1253" t="n">
        <v>99467.56577</v>
      </c>
      <c r="O1253" t="n">
        <v>0</v>
      </c>
      <c r="P1253" t="n">
        <v>99467.56577</v>
      </c>
    </row>
    <row r="1254">
      <c r="A1254" t="inlineStr">
        <is>
          <t>2</t>
        </is>
      </c>
      <c r="B1254" t="inlineStr">
        <is>
          <t>АТ "Укрексімбанк"</t>
        </is>
      </c>
      <c r="C1254" t="inlineStr">
        <is>
          <t>Державний</t>
        </is>
      </c>
      <c r="D1254" t="inlineStr">
        <is>
          <t>9831</t>
        </is>
      </c>
      <c r="E1254" t="inlineStr">
        <is>
          <t>(без привʼязки)</t>
        </is>
      </c>
      <c r="F1254" t="inlineStr">
        <is>
          <t>Документи і цінності, відправлені на інкасо</t>
        </is>
      </c>
      <c r="G1254" t="inlineStr">
        <is>
          <t>А</t>
        </is>
      </c>
      <c r="H1254" t="n">
        <v>1450.1844</v>
      </c>
      <c r="I1254" t="n">
        <v>0</v>
      </c>
      <c r="J1254" t="n">
        <v>1450.1844</v>
      </c>
      <c r="K1254" t="n">
        <v>1961.15249</v>
      </c>
      <c r="L1254" t="n">
        <v>0</v>
      </c>
      <c r="M1254" t="n">
        <v>1961.15249</v>
      </c>
      <c r="N1254" t="n">
        <v>60094.88545</v>
      </c>
      <c r="O1254" t="n">
        <v>56466.13364</v>
      </c>
      <c r="P1254" t="n">
        <v>3628.75181</v>
      </c>
    </row>
    <row r="1255">
      <c r="A1255" t="inlineStr">
        <is>
          <t>2</t>
        </is>
      </c>
      <c r="B1255" t="inlineStr">
        <is>
          <t>АТ "Укрексімбанк"</t>
        </is>
      </c>
      <c r="C1255" t="inlineStr">
        <is>
          <t>Державний</t>
        </is>
      </c>
      <c r="D1255" t="inlineStr">
        <is>
          <t>9850</t>
        </is>
      </c>
      <c r="E1255" t="inlineStr">
        <is>
          <t>(без привʼязки)</t>
        </is>
      </c>
      <c r="F1255" t="inlineStr">
        <is>
          <t>Кошти на будівництво, які передані в порядку пайової участі</t>
        </is>
      </c>
      <c r="G1255" t="inlineStr">
        <is>
          <t>А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inlineStr">
        <is>
          <t>2</t>
        </is>
      </c>
      <c r="B1256" t="inlineStr">
        <is>
          <t>АТ "Укрексімбанк"</t>
        </is>
      </c>
      <c r="C1256" t="inlineStr">
        <is>
          <t>Державний</t>
        </is>
      </c>
      <c r="D1256" t="inlineStr">
        <is>
          <t>9860</t>
        </is>
      </c>
      <c r="E1256" t="inlineStr">
        <is>
          <t>(без привʼязки)</t>
        </is>
      </c>
      <c r="F1256" t="inlineStr">
        <is>
          <t>Кредити, що перебувають на обслуговуванні в банку</t>
        </is>
      </c>
      <c r="G1256" t="inlineStr">
        <is>
          <t>А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inlineStr">
        <is>
          <t>2</t>
        </is>
      </c>
      <c r="B1257" t="inlineStr">
        <is>
          <t>АТ "Укрексімбанк"</t>
        </is>
      </c>
      <c r="C1257" t="inlineStr">
        <is>
          <t>Державний</t>
        </is>
      </c>
      <c r="D1257" t="inlineStr">
        <is>
          <t>9861</t>
        </is>
      </c>
      <c r="E1257" t="inlineStr">
        <is>
          <t>(без привʼязки)</t>
        </is>
      </c>
      <c r="F1257" t="inlineStr">
        <is>
          <t>Процентні доходи за кредитами, що перебувають на обслуговуванні в банку</t>
        </is>
      </c>
      <c r="G1257" t="inlineStr">
        <is>
          <t>А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inlineStr">
        <is>
          <t>2</t>
        </is>
      </c>
      <c r="B1258" t="inlineStr">
        <is>
          <t>АТ "Укрексімбанк"</t>
        </is>
      </c>
      <c r="C1258" t="inlineStr">
        <is>
          <t>Державний</t>
        </is>
      </c>
      <c r="D1258" t="inlineStr">
        <is>
          <t>9890</t>
        </is>
      </c>
      <c r="E1258" t="inlineStr">
        <is>
          <t>(без привʼязки)</t>
        </is>
      </c>
      <c r="F1258" t="inlineStr">
        <is>
          <t>Бланки цінних паперів в підзвіті</t>
        </is>
      </c>
      <c r="G1258" t="inlineStr">
        <is>
          <t>А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inlineStr">
        <is>
          <t>2</t>
        </is>
      </c>
      <c r="B1259" t="inlineStr">
        <is>
          <t>АТ "Укрексімбанк"</t>
        </is>
      </c>
      <c r="C1259" t="inlineStr">
        <is>
          <t>Державний</t>
        </is>
      </c>
      <c r="D1259" t="inlineStr">
        <is>
          <t>9891</t>
        </is>
      </c>
      <c r="E1259" t="inlineStr">
        <is>
          <t>(без привʼязки)</t>
        </is>
      </c>
      <c r="F1259" t="inlineStr">
        <is>
          <t>Бланки цінних паперів в дорозі</t>
        </is>
      </c>
      <c r="G1259" t="inlineStr">
        <is>
          <t>А</t>
        </is>
      </c>
      <c r="H1259" t="n">
        <v>0.028</v>
      </c>
      <c r="I1259" t="n">
        <v>0.028</v>
      </c>
      <c r="J1259" t="n">
        <v>0</v>
      </c>
      <c r="K1259" t="n">
        <v>0.028</v>
      </c>
      <c r="L1259" t="n">
        <v>0.028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inlineStr">
        <is>
          <t>2</t>
        </is>
      </c>
      <c r="B1260" t="inlineStr">
        <is>
          <t>АТ "Укрексімбанк"</t>
        </is>
      </c>
      <c r="C1260" t="inlineStr">
        <is>
          <t>Державний</t>
        </is>
      </c>
      <c r="D1260" t="inlineStr">
        <is>
          <t>9892</t>
        </is>
      </c>
      <c r="E1260" t="inlineStr">
        <is>
          <t>(без привʼязки)</t>
        </is>
      </c>
      <c r="F1260" t="inlineStr">
        <is>
          <t>Бланки суворого обліку в підзвіті</t>
        </is>
      </c>
      <c r="G1260" t="inlineStr">
        <is>
          <t>А</t>
        </is>
      </c>
      <c r="H1260" t="n">
        <v>0</v>
      </c>
      <c r="I1260" t="n">
        <v>0</v>
      </c>
      <c r="J1260" t="n">
        <v>0</v>
      </c>
      <c r="K1260" t="n">
        <v>4.394</v>
      </c>
      <c r="L1260" t="n">
        <v>4.394</v>
      </c>
      <c r="M1260" t="n">
        <v>0</v>
      </c>
      <c r="N1260" t="n">
        <v>139.275</v>
      </c>
      <c r="O1260" t="n">
        <v>139.275</v>
      </c>
      <c r="P1260" t="n">
        <v>0</v>
      </c>
    </row>
    <row r="1261">
      <c r="A1261" t="inlineStr">
        <is>
          <t>2</t>
        </is>
      </c>
      <c r="B1261" t="inlineStr">
        <is>
          <t>АТ "Укрексімбанк"</t>
        </is>
      </c>
      <c r="C1261" t="inlineStr">
        <is>
          <t>Державний</t>
        </is>
      </c>
      <c r="D1261" t="inlineStr">
        <is>
          <t>9893</t>
        </is>
      </c>
      <c r="E1261" t="inlineStr">
        <is>
          <t>(без привʼязки)</t>
        </is>
      </c>
      <c r="F1261" t="inlineStr">
        <is>
          <t>Бланки суворого обліку в дорозі</t>
        </is>
      </c>
      <c r="G1261" t="inlineStr">
        <is>
          <t>А</t>
        </is>
      </c>
      <c r="H1261" t="n">
        <v>0.098</v>
      </c>
      <c r="I1261" t="n">
        <v>0.098</v>
      </c>
      <c r="J1261" t="n">
        <v>0</v>
      </c>
      <c r="K1261" t="n">
        <v>0.098</v>
      </c>
      <c r="L1261" t="n">
        <v>0.098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inlineStr">
        <is>
          <t>2</t>
        </is>
      </c>
      <c r="B1262" t="inlineStr">
        <is>
          <t>АТ "Укрексімбанк"</t>
        </is>
      </c>
      <c r="C1262" t="inlineStr">
        <is>
          <t>Державний</t>
        </is>
      </c>
      <c r="D1262" t="inlineStr">
        <is>
          <t>9898</t>
        </is>
      </c>
      <c r="E1262" t="inlineStr">
        <is>
          <t>(без привʼязки)</t>
        </is>
      </c>
      <c r="F1262" t="inlineStr">
        <is>
          <t>Інші цінності та документи в підзвіті</t>
        </is>
      </c>
      <c r="G1262" t="inlineStr">
        <is>
          <t>А</t>
        </is>
      </c>
      <c r="H1262" t="n">
        <v>51.321</v>
      </c>
      <c r="I1262" t="n">
        <v>51.321</v>
      </c>
      <c r="J1262" t="n">
        <v>0</v>
      </c>
      <c r="K1262" t="n">
        <v>53.058</v>
      </c>
      <c r="L1262" t="n">
        <v>53.058</v>
      </c>
      <c r="M1262" t="n">
        <v>0</v>
      </c>
      <c r="N1262" t="n">
        <v>27988.706</v>
      </c>
      <c r="O1262" t="n">
        <v>27988.706</v>
      </c>
      <c r="P1262" t="n">
        <v>0</v>
      </c>
    </row>
    <row r="1263">
      <c r="A1263" t="inlineStr">
        <is>
          <t>2</t>
        </is>
      </c>
      <c r="B1263" t="inlineStr">
        <is>
          <t>АТ "Укрексімбанк"</t>
        </is>
      </c>
      <c r="C1263" t="inlineStr">
        <is>
          <t>Державний</t>
        </is>
      </c>
      <c r="D1263" t="inlineStr">
        <is>
          <t>9899</t>
        </is>
      </c>
      <c r="E1263" t="inlineStr">
        <is>
          <t>(без привʼязки)</t>
        </is>
      </c>
      <c r="F1263" t="inlineStr">
        <is>
          <t>Інші цінності та документи в дорозі</t>
        </is>
      </c>
      <c r="G1263" t="inlineStr">
        <is>
          <t>А</t>
        </is>
      </c>
      <c r="H1263" t="n">
        <v>70.65146</v>
      </c>
      <c r="I1263" t="n">
        <v>7.081</v>
      </c>
      <c r="J1263" t="n">
        <v>63.57046</v>
      </c>
      <c r="K1263" t="n">
        <v>70.63046</v>
      </c>
      <c r="L1263" t="n">
        <v>7.06</v>
      </c>
      <c r="M1263" t="n">
        <v>63.57046</v>
      </c>
      <c r="N1263" t="n">
        <v>0.122</v>
      </c>
      <c r="O1263" t="n">
        <v>0.122</v>
      </c>
      <c r="P1263" t="n">
        <v>0</v>
      </c>
    </row>
    <row r="1264">
      <c r="A1264" t="inlineStr">
        <is>
          <t>2</t>
        </is>
      </c>
      <c r="B1264" t="inlineStr">
        <is>
          <t>АТ "Укрексімбанк"</t>
        </is>
      </c>
      <c r="C1264" t="inlineStr">
        <is>
          <t>Державний</t>
        </is>
      </c>
      <c r="D1264" t="inlineStr">
        <is>
          <t>9900</t>
        </is>
      </c>
      <c r="E1264" t="inlineStr">
        <is>
          <t>(без привʼязки)</t>
        </is>
      </c>
      <c r="F1264" t="inlineStr">
        <is>
          <t>Контррахунки для рахунків розділів 90-95</t>
        </is>
      </c>
      <c r="G1264" t="inlineStr">
        <is>
          <t>А</t>
        </is>
      </c>
      <c r="H1264" t="n">
        <v>60570034.0731</v>
      </c>
      <c r="I1264" t="n">
        <v>28799251.48544</v>
      </c>
      <c r="J1264" t="n">
        <v>31770782.58766</v>
      </c>
      <c r="K1264" t="n">
        <v>55748749.10999</v>
      </c>
      <c r="L1264" t="n">
        <v>28620096.40946</v>
      </c>
      <c r="M1264" t="n">
        <v>27128652.70053</v>
      </c>
      <c r="N1264" t="n">
        <v>601558038.4474</v>
      </c>
      <c r="O1264" t="n">
        <v>537886279.05854</v>
      </c>
      <c r="P1264" t="n">
        <v>63671759.38886</v>
      </c>
    </row>
    <row r="1265">
      <c r="A1265" t="inlineStr">
        <is>
          <t>2</t>
        </is>
      </c>
      <c r="B1265" t="inlineStr">
        <is>
          <t>АТ "Укрексімбанк"</t>
        </is>
      </c>
      <c r="C1265" t="inlineStr">
        <is>
          <t>Державний</t>
        </is>
      </c>
      <c r="D1265" t="inlineStr">
        <is>
          <t>9900</t>
        </is>
      </c>
      <c r="E1265" t="inlineStr">
        <is>
          <t>(без привʼязки)</t>
        </is>
      </c>
      <c r="F1265" t="inlineStr">
        <is>
          <t>Контррахунки для рахунків розділів 90-95</t>
        </is>
      </c>
      <c r="G1265" t="inlineStr">
        <is>
          <t>П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346665811.54391</v>
      </c>
      <c r="O1265" t="n">
        <v>292435668.85272</v>
      </c>
      <c r="P1265" t="n">
        <v>54230142.69119</v>
      </c>
    </row>
    <row r="1266">
      <c r="A1266" t="inlineStr">
        <is>
          <t>2</t>
        </is>
      </c>
      <c r="B1266" t="inlineStr">
        <is>
          <t>АТ "Укрексімбанк"</t>
        </is>
      </c>
      <c r="C1266" t="inlineStr">
        <is>
          <t>Державний</t>
        </is>
      </c>
      <c r="D1266" t="inlineStr">
        <is>
          <t>9901</t>
        </is>
      </c>
      <c r="E1266" t="inlineStr">
        <is>
          <t>(без привʼязки)</t>
        </is>
      </c>
      <c r="F1266" t="inlineStr">
        <is>
          <t>0</t>
        </is>
      </c>
      <c r="G1266" t="inlineStr">
        <is>
          <t>А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inlineStr">
        <is>
          <t>2</t>
        </is>
      </c>
      <c r="B1267" t="inlineStr">
        <is>
          <t>АТ "Укрексімбанк"</t>
        </is>
      </c>
      <c r="C1267" t="inlineStr">
        <is>
          <t>Державний</t>
        </is>
      </c>
      <c r="D1267" t="inlineStr">
        <is>
          <t>9901</t>
        </is>
      </c>
      <c r="E1267" t="inlineStr">
        <is>
          <t>(без привʼязки)</t>
        </is>
      </c>
      <c r="F1267" t="inlineStr">
        <is>
          <t>0</t>
        </is>
      </c>
      <c r="G1267" t="inlineStr">
        <is>
          <t>П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inlineStr">
        <is>
          <t>2</t>
        </is>
      </c>
      <c r="B1268" t="inlineStr">
        <is>
          <t>АТ "Укрексімбанк"</t>
        </is>
      </c>
      <c r="C1268" t="inlineStr">
        <is>
          <t>Державний</t>
        </is>
      </c>
      <c r="D1268" t="inlineStr">
        <is>
          <t>9904</t>
        </is>
      </c>
      <c r="E1268" t="inlineStr">
        <is>
          <t>(без привʼязки)</t>
        </is>
      </c>
      <c r="F1268" t="inlineStr">
        <is>
          <t>0</t>
        </is>
      </c>
      <c r="G1268" t="inlineStr">
        <is>
          <t>А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inlineStr">
        <is>
          <t>2</t>
        </is>
      </c>
      <c r="B1269" t="inlineStr">
        <is>
          <t>АТ "Укрексімбанк"</t>
        </is>
      </c>
      <c r="C1269" t="inlineStr">
        <is>
          <t>Державний</t>
        </is>
      </c>
      <c r="D1269" t="inlineStr">
        <is>
          <t>9904</t>
        </is>
      </c>
      <c r="E1269" t="inlineStr">
        <is>
          <t>(без привʼязки)</t>
        </is>
      </c>
      <c r="F1269" t="inlineStr">
        <is>
          <t>0</t>
        </is>
      </c>
      <c r="G1269" t="inlineStr">
        <is>
          <t>П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inlineStr">
        <is>
          <t>2</t>
        </is>
      </c>
      <c r="B1270" t="inlineStr">
        <is>
          <t>АТ "Укрексімбанк"</t>
        </is>
      </c>
      <c r="C1270" t="inlineStr">
        <is>
          <t>Державний</t>
        </is>
      </c>
      <c r="D1270" t="inlineStr">
        <is>
          <t>9905</t>
        </is>
      </c>
      <c r="E1270" t="inlineStr">
        <is>
          <t>(без привʼязки)</t>
        </is>
      </c>
      <c r="F1270" t="inlineStr">
        <is>
          <t>0</t>
        </is>
      </c>
      <c r="G1270" t="inlineStr">
        <is>
          <t>А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inlineStr">
        <is>
          <t>2</t>
        </is>
      </c>
      <c r="B1271" t="inlineStr">
        <is>
          <t>АТ "Укрексімбанк"</t>
        </is>
      </c>
      <c r="C1271" t="inlineStr">
        <is>
          <t>Державний</t>
        </is>
      </c>
      <c r="D1271" t="inlineStr">
        <is>
          <t>9906</t>
        </is>
      </c>
      <c r="E1271" t="inlineStr">
        <is>
          <t>(без привʼязки)</t>
        </is>
      </c>
      <c r="F1271" t="inlineStr">
        <is>
          <t>0</t>
        </is>
      </c>
      <c r="G1271" t="inlineStr">
        <is>
          <t>А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inlineStr">
        <is>
          <t>2</t>
        </is>
      </c>
      <c r="B1272" t="inlineStr">
        <is>
          <t>АТ "Укрексімбанк"</t>
        </is>
      </c>
      <c r="C1272" t="inlineStr">
        <is>
          <t>Державний</t>
        </is>
      </c>
      <c r="D1272" t="inlineStr">
        <is>
          <t>9910</t>
        </is>
      </c>
      <c r="E1272" t="inlineStr">
        <is>
          <t>(без привʼязки)</t>
        </is>
      </c>
      <c r="F1272" t="inlineStr">
        <is>
          <t>Контррахунки для рахунків розділів 96-98</t>
        </is>
      </c>
      <c r="G1272" t="inlineStr">
        <is>
          <t>А</t>
        </is>
      </c>
      <c r="H1272" t="n">
        <v>4770751.89165</v>
      </c>
      <c r="I1272" t="n">
        <v>32423.21481</v>
      </c>
      <c r="J1272" t="n">
        <v>4738328.67684</v>
      </c>
      <c r="K1272" t="n">
        <v>3521745.378</v>
      </c>
      <c r="L1272" t="n">
        <v>575577.92415</v>
      </c>
      <c r="M1272" t="n">
        <v>2946167.45385</v>
      </c>
      <c r="N1272" t="n">
        <v>21396.79339</v>
      </c>
      <c r="O1272" t="n">
        <v>14227.63176</v>
      </c>
      <c r="P1272" t="n">
        <v>7169.16163</v>
      </c>
    </row>
    <row r="1273">
      <c r="A1273" t="inlineStr">
        <is>
          <t>2</t>
        </is>
      </c>
      <c r="B1273" t="inlineStr">
        <is>
          <t>АТ "Укрексімбанк"</t>
        </is>
      </c>
      <c r="C1273" t="inlineStr">
        <is>
          <t>Державний</t>
        </is>
      </c>
      <c r="D1273" t="inlineStr">
        <is>
          <t>9910</t>
        </is>
      </c>
      <c r="E1273" t="inlineStr">
        <is>
          <t>(без привʼязки)</t>
        </is>
      </c>
      <c r="F1273" t="inlineStr">
        <is>
          <t>Контррахунки для рахунків розділів 96-98</t>
        </is>
      </c>
      <c r="G1273" t="inlineStr">
        <is>
          <t>П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223988201.79085</v>
      </c>
      <c r="O1273" t="n">
        <v>73240485.38826001</v>
      </c>
      <c r="P1273" t="n">
        <v>150747716.40259</v>
      </c>
    </row>
    <row r="1274">
      <c r="A1274" t="inlineStr">
        <is>
          <t>2</t>
        </is>
      </c>
      <c r="B1274" t="inlineStr">
        <is>
          <t>АТ "Укрексімбанк"</t>
        </is>
      </c>
      <c r="C1274" t="inlineStr">
        <is>
          <t>Державний</t>
        </is>
      </c>
      <c r="D1274" t="inlineStr">
        <is>
          <t>9911</t>
        </is>
      </c>
      <c r="E1274" t="inlineStr">
        <is>
          <t>(без привʼязки)</t>
        </is>
      </c>
      <c r="F1274" t="inlineStr">
        <is>
          <t>0</t>
        </is>
      </c>
      <c r="G1274" t="inlineStr">
        <is>
          <t>А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inlineStr">
        <is>
          <t>2</t>
        </is>
      </c>
      <c r="B1275" t="inlineStr">
        <is>
          <t>АТ "Укрексімбанк"</t>
        </is>
      </c>
      <c r="C1275" t="inlineStr">
        <is>
          <t>Державний</t>
        </is>
      </c>
      <c r="D1275" t="inlineStr">
        <is>
          <t>9911</t>
        </is>
      </c>
      <c r="E1275" t="inlineStr">
        <is>
          <t>(без привʼязки)</t>
        </is>
      </c>
      <c r="F1275" t="inlineStr">
        <is>
          <t>0</t>
        </is>
      </c>
      <c r="G1275" t="inlineStr">
        <is>
          <t>П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inlineStr">
        <is>
          <t>2</t>
        </is>
      </c>
      <c r="B1276" t="inlineStr">
        <is>
          <t>АТ "Укрексімбанк"</t>
        </is>
      </c>
      <c r="C1276" t="inlineStr">
        <is>
          <t>Державний</t>
        </is>
      </c>
      <c r="D1276" t="inlineStr">
        <is>
          <t>9912</t>
        </is>
      </c>
      <c r="E1276" t="inlineStr">
        <is>
          <t>(без привʼязки)</t>
        </is>
      </c>
      <c r="F1276" t="inlineStr">
        <is>
          <t>0</t>
        </is>
      </c>
      <c r="G1276" t="inlineStr">
        <is>
          <t>А</t>
        </is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inlineStr">
        <is>
          <t>2</t>
        </is>
      </c>
      <c r="B1277" t="inlineStr">
        <is>
          <t>АТ "Укрексімбанк"</t>
        </is>
      </c>
      <c r="C1277" t="inlineStr">
        <is>
          <t>Державний</t>
        </is>
      </c>
      <c r="D1277" t="inlineStr">
        <is>
          <t>9912</t>
        </is>
      </c>
      <c r="E1277" t="inlineStr">
        <is>
          <t>(без привʼязки)</t>
        </is>
      </c>
      <c r="F1277" t="inlineStr">
        <is>
          <t>0</t>
        </is>
      </c>
      <c r="G1277" t="inlineStr">
        <is>
          <t>П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inlineStr">
        <is>
          <t>2</t>
        </is>
      </c>
      <c r="B1278" t="inlineStr">
        <is>
          <t>АТ "Укрексімбанк"</t>
        </is>
      </c>
      <c r="C1278" t="inlineStr">
        <is>
          <t>Державний</t>
        </is>
      </c>
      <c r="D1278" t="inlineStr">
        <is>
          <t>9913</t>
        </is>
      </c>
      <c r="E1278" t="inlineStr">
        <is>
          <t>(без привʼязки)</t>
        </is>
      </c>
      <c r="F1278" t="inlineStr">
        <is>
          <t>0</t>
        </is>
      </c>
      <c r="G1278" t="inlineStr">
        <is>
          <t>А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inlineStr">
        <is>
          <t>2</t>
        </is>
      </c>
      <c r="B1279" t="inlineStr">
        <is>
          <t>АТ "Укрексімбанк"</t>
        </is>
      </c>
      <c r="C1279" t="inlineStr">
        <is>
          <t>Державний</t>
        </is>
      </c>
      <c r="D1279" t="inlineStr">
        <is>
          <t>9914</t>
        </is>
      </c>
      <c r="E1279" t="inlineStr">
        <is>
          <t>(без привʼязки)</t>
        </is>
      </c>
      <c r="F1279" t="inlineStr">
        <is>
          <t>0</t>
        </is>
      </c>
      <c r="G1279" t="inlineStr">
        <is>
          <t>А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inlineStr">
        <is>
          <t>2</t>
        </is>
      </c>
      <c r="B1280" t="inlineStr">
        <is>
          <t>АТ "Укрексімбанк"</t>
        </is>
      </c>
      <c r="C1280" t="inlineStr">
        <is>
          <t>Державний</t>
        </is>
      </c>
      <c r="D1280" t="inlineStr">
        <is>
          <t>9914</t>
        </is>
      </c>
      <c r="E1280" t="inlineStr">
        <is>
          <t>(без привʼязки)</t>
        </is>
      </c>
      <c r="F1280" t="inlineStr">
        <is>
          <t>0</t>
        </is>
      </c>
      <c r="G1280" t="inlineStr">
        <is>
          <t>П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inlineStr">
        <is>
          <t>2</t>
        </is>
      </c>
      <c r="B1281" t="inlineStr">
        <is>
          <t>АТ "Укрексімбанк"</t>
        </is>
      </c>
      <c r="C1281" t="inlineStr">
        <is>
          <t>Державний</t>
        </is>
      </c>
      <c r="D1281" t="inlineStr">
        <is>
          <t>9920</t>
        </is>
      </c>
      <c r="E1281" t="inlineStr">
        <is>
          <t>(без привʼязки)</t>
        </is>
      </c>
      <c r="F1281" t="inlineStr">
        <is>
          <t>Позабалансова позиція банку за іноземною валютою та банківськими металами</t>
        </is>
      </c>
      <c r="G1281" t="inlineStr">
        <is>
          <t>А</t>
        </is>
      </c>
      <c r="H1281" t="n">
        <v>160127397.45776</v>
      </c>
      <c r="I1281" t="n">
        <v>63304495.5984</v>
      </c>
      <c r="J1281" t="n">
        <v>96822901.85935999</v>
      </c>
      <c r="K1281" t="n">
        <v>160139893.11541</v>
      </c>
      <c r="L1281" t="n">
        <v>58398337.95845</v>
      </c>
      <c r="M1281" t="n">
        <v>101741555.15696</v>
      </c>
      <c r="N1281" t="n">
        <v>14913056.18061</v>
      </c>
      <c r="O1281" t="n">
        <v>10010688.24009</v>
      </c>
      <c r="P1281" t="n">
        <v>4902367.94052</v>
      </c>
    </row>
    <row r="1282">
      <c r="A1282" t="inlineStr">
        <is>
          <t>2</t>
        </is>
      </c>
      <c r="B1282" t="inlineStr">
        <is>
          <t>АТ "Укрексімбанк"</t>
        </is>
      </c>
      <c r="C1282" t="inlineStr">
        <is>
          <t>Державний</t>
        </is>
      </c>
      <c r="D1282" t="inlineStr">
        <is>
          <t>9030</t>
        </is>
      </c>
      <c r="E1282" t="inlineStr">
        <is>
          <t>(без привʼязки)</t>
        </is>
      </c>
      <c r="F1282" t="inlineStr">
        <is>
          <t>Гарантії, що отримані від Уряду України</t>
        </is>
      </c>
      <c r="G1282" t="inlineStr">
        <is>
          <t>П</t>
        </is>
      </c>
      <c r="H1282" t="n">
        <v>279358.36229</v>
      </c>
      <c r="I1282" t="n">
        <v>64404.78081</v>
      </c>
      <c r="J1282" t="n">
        <v>214953.58148</v>
      </c>
      <c r="K1282" t="n">
        <v>218050.52719</v>
      </c>
      <c r="L1282" t="n">
        <v>187469.0832</v>
      </c>
      <c r="M1282" t="n">
        <v>30581.44399</v>
      </c>
      <c r="N1282" t="n">
        <v>22985630.28135</v>
      </c>
      <c r="O1282" t="n">
        <v>21237011.06111</v>
      </c>
      <c r="P1282" t="n">
        <v>1748619.22024</v>
      </c>
    </row>
    <row r="1283">
      <c r="A1283" t="inlineStr">
        <is>
          <t>2</t>
        </is>
      </c>
      <c r="B1283" t="inlineStr">
        <is>
          <t>АТ "Укрексімбанк"</t>
        </is>
      </c>
      <c r="C1283" t="inlineStr">
        <is>
          <t>Державний</t>
        </is>
      </c>
      <c r="D1283" t="inlineStr">
        <is>
          <t>9031</t>
        </is>
      </c>
      <c r="E1283" t="inlineStr">
        <is>
          <t>(без привʼязки)</t>
        </is>
      </c>
      <c r="F1283" t="inlineStr">
        <is>
          <t>Отримані гарантії</t>
        </is>
      </c>
      <c r="G1283" t="inlineStr">
        <is>
          <t>П</t>
        </is>
      </c>
      <c r="H1283" t="n">
        <v>10994347.1046</v>
      </c>
      <c r="I1283" t="n">
        <v>10599030.41152</v>
      </c>
      <c r="J1283" t="n">
        <v>395316.69308</v>
      </c>
      <c r="K1283" t="n">
        <v>21790044.68463</v>
      </c>
      <c r="L1283" t="n">
        <v>15400221.98611</v>
      </c>
      <c r="M1283" t="n">
        <v>6389822.69852</v>
      </c>
      <c r="N1283" t="n">
        <v>439221335.85377</v>
      </c>
      <c r="O1283" t="n">
        <v>410932464.80155</v>
      </c>
      <c r="P1283" t="n">
        <v>28288871.05222</v>
      </c>
    </row>
    <row r="1284">
      <c r="A1284" t="inlineStr">
        <is>
          <t>2</t>
        </is>
      </c>
      <c r="B1284" t="inlineStr">
        <is>
          <t>АТ "Укрексімбанк"</t>
        </is>
      </c>
      <c r="C1284" t="inlineStr">
        <is>
          <t>Державний</t>
        </is>
      </c>
      <c r="D1284" t="inlineStr">
        <is>
          <t>9036</t>
        </is>
      </c>
      <c r="E1284" t="inlineStr">
        <is>
          <t>(без привʼязки)</t>
        </is>
      </c>
      <c r="F1284" t="inlineStr">
        <is>
          <t>Отримані контргарантії</t>
        </is>
      </c>
      <c r="G1284" t="inlineStr">
        <is>
          <t>П</t>
        </is>
      </c>
      <c r="H1284" t="n">
        <v>22246.1216</v>
      </c>
      <c r="I1284" t="n">
        <v>0</v>
      </c>
      <c r="J1284" t="n">
        <v>22246.1216</v>
      </c>
      <c r="K1284" t="n">
        <v>63714.6459</v>
      </c>
      <c r="L1284" t="n">
        <v>0</v>
      </c>
      <c r="M1284" t="n">
        <v>63714.6459</v>
      </c>
      <c r="N1284" t="n">
        <v>492541.13564</v>
      </c>
      <c r="O1284" t="n">
        <v>124988</v>
      </c>
      <c r="P1284" t="n">
        <v>367553.13564</v>
      </c>
    </row>
    <row r="1285">
      <c r="A1285" t="inlineStr">
        <is>
          <t>2</t>
        </is>
      </c>
      <c r="B1285" t="inlineStr">
        <is>
          <t>АТ "Укрексімбанк"</t>
        </is>
      </c>
      <c r="C1285" t="inlineStr">
        <is>
          <t>Державний</t>
        </is>
      </c>
      <c r="D1285" t="inlineStr">
        <is>
          <t>9110</t>
        </is>
      </c>
      <c r="E1285" t="inlineStr">
        <is>
          <t>(без привʼязки)</t>
        </is>
      </c>
      <c r="F1285" t="inlineStr">
        <is>
          <t>Зобов'язання з кредитування, що отримані від банків</t>
        </is>
      </c>
      <c r="G1285" t="inlineStr">
        <is>
          <t>П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inlineStr">
        <is>
          <t>2</t>
        </is>
      </c>
      <c r="B1286" t="inlineStr">
        <is>
          <t>АТ "Укрексімбанк"</t>
        </is>
      </c>
      <c r="C1286" t="inlineStr">
        <is>
          <t>Державний</t>
        </is>
      </c>
      <c r="D1286" t="inlineStr">
        <is>
          <t>9111</t>
        </is>
      </c>
      <c r="E1286" t="inlineStr">
        <is>
          <t>(без привʼязки)</t>
        </is>
      </c>
      <c r="F1286" t="inlineStr">
        <is>
          <t>Зобов'язання з кредитування, що отримані від міжнародних та інших фінансових організацій</t>
        </is>
      </c>
      <c r="G1286" t="inlineStr">
        <is>
          <t>П</t>
        </is>
      </c>
      <c r="H1286" t="n">
        <v>869157.5</v>
      </c>
      <c r="I1286" t="n">
        <v>0</v>
      </c>
      <c r="J1286" t="n">
        <v>869157.5</v>
      </c>
      <c r="K1286" t="n">
        <v>207819</v>
      </c>
      <c r="L1286" t="n">
        <v>0</v>
      </c>
      <c r="M1286" t="n">
        <v>207819</v>
      </c>
      <c r="N1286" t="n">
        <v>9041301.5</v>
      </c>
      <c r="O1286" t="n">
        <v>0</v>
      </c>
      <c r="P1286" t="n">
        <v>9041301.5</v>
      </c>
    </row>
    <row r="1287">
      <c r="A1287" t="inlineStr">
        <is>
          <t>2</t>
        </is>
      </c>
      <c r="B1287" t="inlineStr">
        <is>
          <t>АТ "Укрексімбанк"</t>
        </is>
      </c>
      <c r="C1287" t="inlineStr">
        <is>
          <t>Державний</t>
        </is>
      </c>
      <c r="D1287" t="inlineStr">
        <is>
          <t>9210</t>
        </is>
      </c>
      <c r="E1287" t="inlineStr">
        <is>
          <t>(без привʼязки)</t>
        </is>
      </c>
      <c r="F1287" t="inlineStr">
        <is>
          <t>Валюта та банківські метали до відправлення за операціями спот</t>
        </is>
      </c>
      <c r="G1287" t="inlineStr">
        <is>
          <t>П</t>
        </is>
      </c>
      <c r="H1287" t="n">
        <v>42057356.8278</v>
      </c>
      <c r="I1287" t="n">
        <v>15539571.08</v>
      </c>
      <c r="J1287" t="n">
        <v>26517785.7478</v>
      </c>
      <c r="K1287" t="n">
        <v>52874814.26961</v>
      </c>
      <c r="L1287" t="n">
        <v>21440759.72</v>
      </c>
      <c r="M1287" t="n">
        <v>31434054.54961</v>
      </c>
      <c r="N1287" t="n">
        <v>14151486.5755</v>
      </c>
      <c r="O1287" t="n">
        <v>9210688.24</v>
      </c>
      <c r="P1287" t="n">
        <v>4940798.3355</v>
      </c>
    </row>
    <row r="1288">
      <c r="A1288" t="inlineStr">
        <is>
          <t>2</t>
        </is>
      </c>
      <c r="B1288" t="inlineStr">
        <is>
          <t>АТ "Укрексімбанк"</t>
        </is>
      </c>
      <c r="C1288" t="inlineStr">
        <is>
          <t>Державний</t>
        </is>
      </c>
      <c r="D1288" t="inlineStr">
        <is>
          <t>9212</t>
        </is>
      </c>
      <c r="E1288" t="inlineStr">
        <is>
          <t>(без привʼязки)</t>
        </is>
      </c>
      <c r="F1288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G1288" t="inlineStr">
        <is>
          <t>П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inlineStr">
        <is>
          <t>2</t>
        </is>
      </c>
      <c r="B1289" t="inlineStr">
        <is>
          <t>АТ "Укрексімбанк"</t>
        </is>
      </c>
      <c r="C1289" t="inlineStr">
        <is>
          <t>Державний</t>
        </is>
      </c>
      <c r="D1289" t="inlineStr">
        <is>
          <t>9218</t>
        </is>
      </c>
      <c r="E1289" t="inlineStr">
        <is>
          <t>(без привʼязки)</t>
        </is>
      </c>
      <c r="F1289" t="inlineStr">
        <is>
          <t>Зобов'язання щодо відправлення валюти за валютними своп-контрактами</t>
        </is>
      </c>
      <c r="G1289" t="inlineStr">
        <is>
          <t>П</t>
        </is>
      </c>
      <c r="H1289" t="n">
        <v>29225970.00065</v>
      </c>
      <c r="I1289" t="n">
        <v>15110634.5</v>
      </c>
      <c r="J1289" t="n">
        <v>14115335.50065</v>
      </c>
      <c r="K1289" t="n">
        <v>28230939.00065</v>
      </c>
      <c r="L1289" t="n">
        <v>14115603.5</v>
      </c>
      <c r="M1289" t="n">
        <v>14115335.50065</v>
      </c>
      <c r="N1289" t="n">
        <v>800000</v>
      </c>
      <c r="O1289" t="n">
        <v>800000</v>
      </c>
      <c r="P1289" t="n">
        <v>0</v>
      </c>
    </row>
    <row r="1290">
      <c r="A1290" t="inlineStr">
        <is>
          <t>2</t>
        </is>
      </c>
      <c r="B1290" t="inlineStr">
        <is>
          <t>АТ "Укрексімбанк"</t>
        </is>
      </c>
      <c r="C1290" t="inlineStr">
        <is>
          <t>Державний</t>
        </is>
      </c>
      <c r="D1290" t="inlineStr">
        <is>
          <t>9238</t>
        </is>
      </c>
      <c r="E1290" t="inlineStr">
        <is>
          <t>(без привʼязки)</t>
        </is>
      </c>
      <c r="F1290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G1290" t="inlineStr">
        <is>
          <t>П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inlineStr">
        <is>
          <t>2</t>
        </is>
      </c>
      <c r="B1291" t="inlineStr">
        <is>
          <t>АТ "Укрексімбанк"</t>
        </is>
      </c>
      <c r="C1291" t="inlineStr">
        <is>
          <t>Державний</t>
        </is>
      </c>
      <c r="D1291" t="inlineStr">
        <is>
          <t>9338</t>
        </is>
      </c>
      <c r="E1291" t="inlineStr">
        <is>
          <t>(без привʼязки)</t>
        </is>
      </c>
      <c r="F1291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G1291" t="inlineStr">
        <is>
          <t>П</t>
        </is>
      </c>
      <c r="H1291" t="n">
        <v>0</v>
      </c>
      <c r="I1291" t="n">
        <v>0</v>
      </c>
      <c r="J1291" t="n">
        <v>0</v>
      </c>
      <c r="K1291" t="n">
        <v>3657.53426</v>
      </c>
      <c r="L1291" t="n">
        <v>3657.53426</v>
      </c>
      <c r="M1291" t="n">
        <v>0</v>
      </c>
      <c r="N1291" t="n">
        <v>569230.137</v>
      </c>
      <c r="O1291" t="n">
        <v>569230.137</v>
      </c>
      <c r="P1291" t="n">
        <v>0</v>
      </c>
    </row>
    <row r="1292">
      <c r="A1292" t="inlineStr">
        <is>
          <t>2</t>
        </is>
      </c>
      <c r="B1292" t="inlineStr">
        <is>
          <t>АТ "Укрексімбанк"</t>
        </is>
      </c>
      <c r="C1292" t="inlineStr">
        <is>
          <t>Державний</t>
        </is>
      </c>
      <c r="D1292" t="inlineStr">
        <is>
          <t>9360</t>
        </is>
      </c>
      <c r="E1292" t="inlineStr">
        <is>
          <t>(без привʼязки)</t>
        </is>
      </c>
      <c r="F1292" t="inlineStr">
        <is>
          <t>Активи до відправлення та депозити до залучення за спотовими контрактами</t>
        </is>
      </c>
      <c r="G1292" t="inlineStr">
        <is>
          <t>П</t>
        </is>
      </c>
      <c r="H1292" t="n">
        <v>10412210.25947</v>
      </c>
      <c r="I1292" t="n">
        <v>2342598.53251</v>
      </c>
      <c r="J1292" t="n">
        <v>8069611.72696</v>
      </c>
      <c r="K1292" t="n">
        <v>10412210.25947</v>
      </c>
      <c r="L1292" t="n">
        <v>2342598.53251</v>
      </c>
      <c r="M1292" t="n">
        <v>8069611.72696</v>
      </c>
      <c r="N1292" t="n">
        <v>0</v>
      </c>
      <c r="O1292" t="n">
        <v>0</v>
      </c>
      <c r="P1292" t="n">
        <v>0</v>
      </c>
    </row>
    <row r="1293">
      <c r="A1293" t="inlineStr">
        <is>
          <t>2</t>
        </is>
      </c>
      <c r="B1293" t="inlineStr">
        <is>
          <t>АТ "Укрексімбанк"</t>
        </is>
      </c>
      <c r="C1293" t="inlineStr">
        <is>
          <t>Державний</t>
        </is>
      </c>
      <c r="D1293" t="inlineStr">
        <is>
          <t>9362</t>
        </is>
      </c>
      <c r="E1293" t="inlineStr">
        <is>
          <t>(без привʼязки)</t>
        </is>
      </c>
      <c r="F1293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G1293" t="inlineStr">
        <is>
          <t>П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inlineStr">
        <is>
          <t>2</t>
        </is>
      </c>
      <c r="B1294" t="inlineStr">
        <is>
          <t>АТ "Укрексімбанк"</t>
        </is>
      </c>
      <c r="C1294" t="inlineStr">
        <is>
          <t>Державний</t>
        </is>
      </c>
      <c r="D1294" t="inlineStr">
        <is>
          <t>9368</t>
        </is>
      </c>
      <c r="E1294" t="inlineStr">
        <is>
          <t>(без привʼязки)</t>
        </is>
      </c>
      <c r="F1294" t="inlineStr">
        <is>
          <t>Грошові потоки до відправлення за процентними своп-контрактами</t>
        </is>
      </c>
      <c r="G1294" t="inlineStr">
        <is>
          <t>П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inlineStr">
        <is>
          <t>2</t>
        </is>
      </c>
      <c r="B1295" t="inlineStr">
        <is>
          <t>АТ "Укрексімбанк"</t>
        </is>
      </c>
      <c r="C1295" t="inlineStr">
        <is>
          <t>Державний</t>
        </is>
      </c>
      <c r="D1295" t="inlineStr">
        <is>
          <t>9510</t>
        </is>
      </c>
      <c r="E1295" t="inlineStr">
        <is>
          <t>(без привʼязки)</t>
        </is>
      </c>
      <c r="F1295" t="inlineStr">
        <is>
          <t>Надана застава</t>
        </is>
      </c>
      <c r="G1295" t="inlineStr">
        <is>
          <t>П</t>
        </is>
      </c>
      <c r="H1295" t="n">
        <v>0</v>
      </c>
      <c r="I1295" t="n">
        <v>0</v>
      </c>
      <c r="J1295" t="n">
        <v>0</v>
      </c>
      <c r="K1295" t="n">
        <v>4075.41652</v>
      </c>
      <c r="L1295" t="n">
        <v>4075.41652</v>
      </c>
      <c r="M1295" t="n">
        <v>0</v>
      </c>
      <c r="N1295" t="n">
        <v>10394026.57628</v>
      </c>
      <c r="O1295" t="n">
        <v>10394026.57628</v>
      </c>
      <c r="P1295" t="n">
        <v>0</v>
      </c>
    </row>
    <row r="1296">
      <c r="A1296" t="inlineStr">
        <is>
          <t>2</t>
        </is>
      </c>
      <c r="B1296" t="inlineStr">
        <is>
          <t>АТ "Укрексімбанк"</t>
        </is>
      </c>
      <c r="C1296" t="inlineStr">
        <is>
          <t>Державний</t>
        </is>
      </c>
      <c r="D1296" t="inlineStr">
        <is>
          <t>9530</t>
        </is>
      </c>
      <c r="E1296" t="inlineStr">
        <is>
          <t>(без привʼязки)</t>
        </is>
      </c>
      <c r="F1296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G1296" t="inlineStr">
        <is>
          <t>П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inlineStr">
        <is>
          <t>2</t>
        </is>
      </c>
      <c r="B1297" t="inlineStr">
        <is>
          <t>АТ "Укрексімбанк"</t>
        </is>
      </c>
      <c r="C1297" t="inlineStr">
        <is>
          <t>Державний</t>
        </is>
      </c>
      <c r="D1297" t="inlineStr">
        <is>
          <t>9540</t>
        </is>
      </c>
      <c r="E1297" t="inlineStr">
        <is>
          <t>(без привʼязки)</t>
        </is>
      </c>
      <c r="F1297" t="inlineStr">
        <is>
          <t>Умовні зобов'язання</t>
        </is>
      </c>
      <c r="G1297" t="inlineStr">
        <is>
          <t>П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inlineStr">
        <is>
          <t>2</t>
        </is>
      </c>
      <c r="B1298" t="inlineStr">
        <is>
          <t>АТ "Укрексімбанк"</t>
        </is>
      </c>
      <c r="C1298" t="inlineStr">
        <is>
          <t>Державний</t>
        </is>
      </c>
      <c r="D1298" t="inlineStr">
        <is>
          <t>9790</t>
        </is>
      </c>
      <c r="E1298" t="inlineStr">
        <is>
          <t>(без привʼязки)</t>
        </is>
      </c>
      <c r="F1298" t="inlineStr">
        <is>
          <t>Фонди банківського управління</t>
        </is>
      </c>
      <c r="G1298" t="inlineStr">
        <is>
          <t>П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inlineStr">
        <is>
          <t>2</t>
        </is>
      </c>
      <c r="B1299" t="inlineStr">
        <is>
          <t>АТ "Укрексімбанк"</t>
        </is>
      </c>
      <c r="C1299" t="inlineStr">
        <is>
          <t>Державний</t>
        </is>
      </c>
      <c r="D1299" t="inlineStr">
        <is>
          <t>9791</t>
        </is>
      </c>
      <c r="E1299" t="inlineStr">
        <is>
          <t>(без привʼязки)</t>
        </is>
      </c>
      <c r="F1299" t="inlineStr">
        <is>
          <t>Рахунки установників</t>
        </is>
      </c>
      <c r="G1299" t="inlineStr">
        <is>
          <t>П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inlineStr">
        <is>
          <t>2</t>
        </is>
      </c>
      <c r="B1300" t="inlineStr">
        <is>
          <t>АТ "Укрексімбанк"</t>
        </is>
      </c>
      <c r="C1300" t="inlineStr">
        <is>
          <t>Державний</t>
        </is>
      </c>
      <c r="D1300" t="inlineStr">
        <is>
          <t>9792</t>
        </is>
      </c>
      <c r="E1300" t="inlineStr">
        <is>
          <t>(без привʼязки)</t>
        </is>
      </c>
      <c r="F1300" t="inlineStr">
        <is>
          <t>Кредиторська заборгованість за операціями довірчого управління</t>
        </is>
      </c>
      <c r="G1300" t="inlineStr">
        <is>
          <t>П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inlineStr">
        <is>
          <t>2</t>
        </is>
      </c>
      <c r="B1301" t="inlineStr">
        <is>
          <t>АТ "Укрексімбанк"</t>
        </is>
      </c>
      <c r="C1301" t="inlineStr">
        <is>
          <t>Державний</t>
        </is>
      </c>
      <c r="D1301" t="inlineStr">
        <is>
          <t>9797</t>
        </is>
      </c>
      <c r="E1301" t="inlineStr">
        <is>
          <t>(без привʼязки)</t>
        </is>
      </c>
      <c r="F1301" t="inlineStr">
        <is>
          <t>Доходи від операцій довірчого управління</t>
        </is>
      </c>
      <c r="G1301" t="inlineStr">
        <is>
          <t>П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inlineStr">
        <is>
          <t>2</t>
        </is>
      </c>
      <c r="B1302" t="inlineStr">
        <is>
          <t>АТ "Укрексімбанк"</t>
        </is>
      </c>
      <c r="C1302" t="inlineStr">
        <is>
          <t>Державний</t>
        </is>
      </c>
      <c r="D1302" t="inlineStr">
        <is>
          <t>9903</t>
        </is>
      </c>
      <c r="E1302" t="inlineStr">
        <is>
          <t>(без привʼязки)</t>
        </is>
      </c>
      <c r="F1302" t="inlineStr">
        <is>
          <t>0</t>
        </is>
      </c>
      <c r="G1302" t="inlineStr">
        <is>
          <t>П</t>
        </is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inlineStr">
        <is>
          <t>2</t>
        </is>
      </c>
      <c r="B1303" t="inlineStr">
        <is>
          <t>АТ "Укрексімбанк"</t>
        </is>
      </c>
      <c r="C1303" t="inlineStr">
        <is>
          <t>Державний</t>
        </is>
      </c>
      <c r="D1303" t="inlineStr">
        <is>
          <t>9916</t>
        </is>
      </c>
      <c r="E1303" t="inlineStr">
        <is>
          <t>(без привʼязки)</t>
        </is>
      </c>
      <c r="F1303" t="inlineStr">
        <is>
          <t>0</t>
        </is>
      </c>
      <c r="G1303" t="inlineStr">
        <is>
          <t>П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68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9.109375" defaultRowHeight="12.75" zeroHeight="0" outlineLevelRow="0"/>
  <cols>
    <col width="5.88" customWidth="1" style="75" min="1" max="1"/>
    <col width="41.33" customWidth="1" style="75" min="2" max="2"/>
    <col width="9.109999999999999" customWidth="1" style="75" min="3" max="4"/>
  </cols>
  <sheetData>
    <row r="1" ht="12.75" customHeight="1" s="52">
      <c r="A1" s="76" t="n"/>
      <c r="B1" s="76" t="n"/>
      <c r="D1" s="76" t="n"/>
    </row>
    <row r="2" ht="12.75" customHeight="1" s="52">
      <c r="A2" s="76" t="n"/>
      <c r="B2" s="77" t="inlineStr">
        <is>
          <t>Оборотно-сальдовий баланс банку</t>
        </is>
      </c>
      <c r="C2" s="78" t="inlineStr">
        <is>
          <t>відповідно до підпункту 1 пункту 2 постанови Правління Національного банку України</t>
        </is>
      </c>
      <c r="D2" s="76" t="n"/>
    </row>
    <row r="3" ht="12.75" customHeight="1" s="52">
      <c r="A3" s="76" t="n"/>
      <c r="B3" s="76" t="n"/>
      <c r="C3" s="78" t="inlineStr">
        <is>
          <t>від 15 березня 2018 року № 11 “Про встановлення переліку інформації, що підлягає обов'язковому опублікуванню банками України” (зі змінами)</t>
        </is>
      </c>
      <c r="D3" s="76" t="n"/>
    </row>
    <row r="4" ht="12.75" customHeight="1" s="52">
      <c r="A4" s="76" t="n"/>
      <c r="B4" s="76" t="n"/>
      <c r="C4" s="78" t="inlineStr">
        <is>
          <t>за даними статистичної звітності з файлу 02X “Дані про обороти та залишки на рахунках”.</t>
        </is>
      </c>
      <c r="D4" s="76" t="n"/>
    </row>
    <row r="5" ht="12.75" customHeight="1" s="52">
      <c r="A5" s="76" t="n"/>
      <c r="B5" s="76" t="n"/>
      <c r="D5" s="76" t="n"/>
    </row>
    <row r="6" ht="12.75" customHeight="1" s="52">
      <c r="A6" s="79" t="inlineStr">
        <is>
          <t>NKB</t>
        </is>
      </c>
      <c r="B6" s="79" t="inlineStr">
        <is>
          <t>Назва</t>
        </is>
      </c>
      <c r="C6" s="79" t="inlineStr">
        <is>
          <t>МФО</t>
        </is>
      </c>
      <c r="D6" s="76" t="n"/>
    </row>
    <row r="7" ht="12.75" customHeight="1" s="52">
      <c r="A7" s="76" t="inlineStr">
        <is>
          <t>2</t>
        </is>
      </c>
      <c r="B7" s="76" t="inlineStr">
        <is>
          <t xml:space="preserve">АТ "Укрексімбанк" </t>
        </is>
      </c>
      <c r="C7" s="76" t="inlineStr">
        <is>
          <t>322313</t>
        </is>
      </c>
      <c r="D7" s="80" t="n"/>
    </row>
    <row r="8" ht="12.75" customHeight="1" s="52">
      <c r="A8" s="76" t="inlineStr">
        <is>
          <t>6</t>
        </is>
      </c>
      <c r="B8" s="76" t="inlineStr">
        <is>
          <t xml:space="preserve">АТ "ОЩАДБАНК" </t>
        </is>
      </c>
      <c r="C8" s="76" t="inlineStr">
        <is>
          <t>300465</t>
        </is>
      </c>
      <c r="D8" s="80" t="n"/>
    </row>
    <row r="9" ht="12.75" customHeight="1" s="52">
      <c r="A9" s="76" t="inlineStr">
        <is>
          <t>29</t>
        </is>
      </c>
      <c r="B9" s="76" t="inlineStr">
        <is>
          <t xml:space="preserve">АТ "БАНК АЛЬЯНС" </t>
        </is>
      </c>
      <c r="C9" s="76" t="inlineStr">
        <is>
          <t>300119</t>
        </is>
      </c>
      <c r="D9" s="80" t="n"/>
    </row>
    <row r="10" ht="12.75" customHeight="1" s="52">
      <c r="A10" s="76" t="inlineStr">
        <is>
          <t>36</t>
        </is>
      </c>
      <c r="B10" s="76" t="inlineStr">
        <is>
          <t>АТ "Райффайзен Банк"</t>
        </is>
      </c>
      <c r="C10" s="76" t="inlineStr">
        <is>
          <t>300335</t>
        </is>
      </c>
      <c r="D10" s="80" t="n"/>
    </row>
    <row r="11" ht="12.75" customHeight="1" s="52">
      <c r="A11" s="76" t="inlineStr">
        <is>
          <t>43</t>
        </is>
      </c>
      <c r="B11" s="76" t="inlineStr">
        <is>
          <t xml:space="preserve">АТ "АЛЬТБАНК" </t>
        </is>
      </c>
      <c r="C11" s="76" t="inlineStr">
        <is>
          <t>320940</t>
        </is>
      </c>
      <c r="D11" s="80" t="n"/>
    </row>
    <row r="12" ht="12.75" customHeight="1" s="52">
      <c r="A12" s="76" t="inlineStr">
        <is>
          <t>46</t>
        </is>
      </c>
      <c r="B12" s="76" t="inlineStr">
        <is>
          <t xml:space="preserve">АТ КБ "ПриватБанк" </t>
        </is>
      </c>
      <c r="C12" s="76" t="inlineStr">
        <is>
          <t>305299</t>
        </is>
      </c>
      <c r="D12" s="80" t="n"/>
    </row>
    <row r="13" ht="12.75" customHeight="1" s="52">
      <c r="A13" s="76" t="inlineStr">
        <is>
          <t>49</t>
        </is>
      </c>
      <c r="B13" s="76" t="inlineStr">
        <is>
          <t xml:space="preserve">Полікомбанк </t>
        </is>
      </c>
      <c r="C13" s="76" t="inlineStr">
        <is>
          <t>353100</t>
        </is>
      </c>
      <c r="D13" s="80" t="n"/>
    </row>
    <row r="14" ht="12.75" customHeight="1" s="52">
      <c r="A14" s="76" t="inlineStr">
        <is>
          <t>62</t>
        </is>
      </c>
      <c r="B14" s="76" t="inlineStr">
        <is>
          <t xml:space="preserve">АТ "ТАСКОМБАНК" </t>
        </is>
      </c>
      <c r="C14" s="76" t="inlineStr">
        <is>
          <t>339500</t>
        </is>
      </c>
      <c r="D14" s="80" t="n"/>
    </row>
    <row r="15" ht="12.75" customHeight="1" s="52">
      <c r="A15" s="76" t="inlineStr">
        <is>
          <t>72</t>
        </is>
      </c>
      <c r="B15" s="76" t="inlineStr">
        <is>
          <t xml:space="preserve">ПрАТ "БАНК ФАМІЛЬНИЙ" </t>
        </is>
      </c>
      <c r="C15" s="76" t="inlineStr">
        <is>
          <t>334840</t>
        </is>
      </c>
      <c r="D15" s="80" t="n"/>
    </row>
    <row r="16" ht="12.75" customHeight="1" s="52">
      <c r="A16" s="76" t="inlineStr">
        <is>
          <t>88</t>
        </is>
      </c>
      <c r="B16" s="76" t="inlineStr">
        <is>
          <t xml:space="preserve">АТ "КРЕДОБАНК" </t>
        </is>
      </c>
      <c r="C16" s="76" t="inlineStr">
        <is>
          <t>325365</t>
        </is>
      </c>
      <c r="D16" s="80" t="n"/>
    </row>
    <row r="17" ht="12.75" customHeight="1" s="52">
      <c r="A17" s="76" t="inlineStr">
        <is>
          <t>91</t>
        </is>
      </c>
      <c r="B17" s="76" t="inlineStr">
        <is>
          <t xml:space="preserve">АТ АКБ "Львів" </t>
        </is>
      </c>
      <c r="C17" s="76" t="inlineStr">
        <is>
          <t>325268</t>
        </is>
      </c>
      <c r="D17" s="80" t="n"/>
    </row>
    <row r="18" ht="12.75" customHeight="1" s="52">
      <c r="A18" s="76" t="inlineStr">
        <is>
          <t>95</t>
        </is>
      </c>
      <c r="B18" s="76" t="inlineStr">
        <is>
          <t xml:space="preserve">АТ "ОКСІ БАНК" </t>
        </is>
      </c>
      <c r="C18" s="76" t="inlineStr">
        <is>
          <t>325990</t>
        </is>
      </c>
      <c r="D18" s="80" t="n"/>
    </row>
    <row r="19" ht="12.75" customHeight="1" s="52">
      <c r="A19" s="76" t="inlineStr">
        <is>
          <t>96</t>
        </is>
      </c>
      <c r="B19" s="76" t="inlineStr">
        <is>
          <t xml:space="preserve">АТ "А - БАНК" </t>
        </is>
      </c>
      <c r="C19" s="76" t="inlineStr">
        <is>
          <t>307770</t>
        </is>
      </c>
      <c r="D19" s="80" t="n"/>
    </row>
    <row r="20" ht="12.75" customHeight="1" s="52">
      <c r="A20" s="76" t="inlineStr">
        <is>
          <t>101</t>
        </is>
      </c>
      <c r="B20" s="76" t="inlineStr">
        <is>
          <t xml:space="preserve">АКБ "ІНДУСТРІАЛБАНК" </t>
        </is>
      </c>
      <c r="C20" s="76" t="inlineStr">
        <is>
          <t>313849</t>
        </is>
      </c>
      <c r="D20" s="80" t="n"/>
    </row>
    <row r="21" ht="12.75" customHeight="1" s="52">
      <c r="A21" s="76" t="inlineStr">
        <is>
          <t>105</t>
        </is>
      </c>
      <c r="B21" s="76" t="inlineStr">
        <is>
          <t>ПАТ "МТБ БАНК"</t>
        </is>
      </c>
      <c r="C21" s="76" t="inlineStr">
        <is>
          <t>328168</t>
        </is>
      </c>
      <c r="D21" s="80" t="n"/>
    </row>
    <row r="22" ht="12.75" customHeight="1" s="52">
      <c r="A22" s="76" t="inlineStr">
        <is>
          <t>106</t>
        </is>
      </c>
      <c r="B22" s="76" t="inlineStr">
        <is>
          <t>Акціонерний банк"Південний"</t>
        </is>
      </c>
      <c r="C22" s="76" t="inlineStr">
        <is>
          <t>328209</t>
        </is>
      </c>
      <c r="D22" s="80" t="n"/>
    </row>
    <row r="23" ht="12.75" customHeight="1" s="52">
      <c r="A23" s="76" t="inlineStr">
        <is>
          <t>113</t>
        </is>
      </c>
      <c r="B23" s="76" t="inlineStr">
        <is>
          <t xml:space="preserve">АТ "Полтава-банк" </t>
        </is>
      </c>
      <c r="C23" s="76" t="inlineStr">
        <is>
          <t>331489</t>
        </is>
      </c>
      <c r="D23" s="80" t="n"/>
    </row>
    <row r="24" ht="12.75" customHeight="1" s="52">
      <c r="A24" s="76" t="inlineStr">
        <is>
          <t>115</t>
        </is>
      </c>
      <c r="B24" s="76" t="inlineStr">
        <is>
          <t xml:space="preserve">АT "ПУМБ" </t>
        </is>
      </c>
      <c r="C24" s="76" t="inlineStr">
        <is>
          <t>334851</t>
        </is>
      </c>
      <c r="D24" s="80" t="n"/>
    </row>
    <row r="25" ht="12.75" customHeight="1" s="52">
      <c r="A25" s="76" t="inlineStr">
        <is>
          <t>123</t>
        </is>
      </c>
      <c r="B25" s="76" t="inlineStr">
        <is>
          <t xml:space="preserve">АТ "БАНК "ГРАНТ" </t>
        </is>
      </c>
      <c r="C25" s="76" t="inlineStr">
        <is>
          <t>351607</t>
        </is>
      </c>
      <c r="D25" s="80" t="n"/>
    </row>
    <row r="26" ht="12.75" customHeight="1" s="52">
      <c r="A26" s="76" t="inlineStr">
        <is>
          <t>128</t>
        </is>
      </c>
      <c r="B26" s="76" t="inlineStr">
        <is>
          <t xml:space="preserve">АТ "СКАЙ БАНК" </t>
        </is>
      </c>
      <c r="C26" s="76" t="inlineStr">
        <is>
          <t>351254</t>
        </is>
      </c>
      <c r="D26" s="80" t="n"/>
    </row>
    <row r="27" ht="12.75" customHeight="1" s="52">
      <c r="A27" s="76" t="inlineStr">
        <is>
          <t>129</t>
        </is>
      </c>
      <c r="B27" s="76" t="inlineStr">
        <is>
          <t xml:space="preserve">АТ "БТА БАНК" </t>
        </is>
      </c>
      <c r="C27" s="76" t="inlineStr">
        <is>
          <t>321723</t>
        </is>
      </c>
      <c r="D27" s="80" t="n"/>
    </row>
    <row r="28" ht="12.75" customHeight="1" s="52">
      <c r="A28" s="76" t="inlineStr">
        <is>
          <t>133</t>
        </is>
      </c>
      <c r="B28" s="76" t="inlineStr">
        <is>
          <t xml:space="preserve">АТ "АСВІО БАНК" </t>
        </is>
      </c>
      <c r="C28" s="76" t="inlineStr">
        <is>
          <t>353489</t>
        </is>
      </c>
      <c r="D28" s="80" t="n"/>
    </row>
    <row r="29" ht="12.75" customHeight="1" s="52">
      <c r="A29" s="76" t="inlineStr">
        <is>
          <t>136</t>
        </is>
      </c>
      <c r="B29" s="76" t="inlineStr">
        <is>
          <t xml:space="preserve">АТ "УКРСИББАНК" </t>
        </is>
      </c>
      <c r="C29" s="76" t="inlineStr">
        <is>
          <t>351005</t>
        </is>
      </c>
      <c r="D29" s="80" t="n"/>
    </row>
    <row r="30" ht="12.75" customHeight="1" s="52">
      <c r="A30" s="76" t="inlineStr">
        <is>
          <t>142</t>
        </is>
      </c>
      <c r="B30" s="76" t="inlineStr">
        <is>
          <t xml:space="preserve">АТ "Ідея Банк" </t>
        </is>
      </c>
      <c r="C30" s="76" t="inlineStr">
        <is>
          <t>336310</t>
        </is>
      </c>
      <c r="D30" s="80" t="n"/>
    </row>
    <row r="31" ht="12.75" customHeight="1" s="52">
      <c r="A31" s="76" t="inlineStr">
        <is>
          <t>146</t>
        </is>
      </c>
      <c r="B31" s="76" t="inlineStr">
        <is>
          <t xml:space="preserve">АТ"БАНК "УКРАЇНСЬКИЙ КАПІТАЛ" </t>
        </is>
      </c>
      <c r="C31" s="76" t="inlineStr">
        <is>
          <t>320371</t>
        </is>
      </c>
      <c r="D31" s="80" t="n"/>
    </row>
    <row r="32" ht="12.75" customHeight="1" s="52">
      <c r="A32" s="76" t="inlineStr">
        <is>
          <t>153</t>
        </is>
      </c>
      <c r="B32" s="76" t="inlineStr">
        <is>
          <t xml:space="preserve">АТ "ПРАВЕКС БАНК" </t>
        </is>
      </c>
      <c r="C32" s="76" t="inlineStr">
        <is>
          <t>380838</t>
        </is>
      </c>
      <c r="D32" s="80" t="n"/>
    </row>
    <row r="33" ht="12.75" customHeight="1" s="52">
      <c r="A33" s="76" t="inlineStr">
        <is>
          <t>171</t>
        </is>
      </c>
      <c r="B33" s="76" t="inlineStr">
        <is>
          <t xml:space="preserve">АТ "КРЕДІ АГРІКОЛЬ БАНК" </t>
        </is>
      </c>
      <c r="C33" s="76" t="inlineStr">
        <is>
          <t>300614</t>
        </is>
      </c>
      <c r="D33" s="80" t="n"/>
    </row>
    <row r="34" ht="12.75" customHeight="1" s="52">
      <c r="A34" s="76" t="inlineStr">
        <is>
          <t>205</t>
        </is>
      </c>
      <c r="B34" s="76" t="inlineStr">
        <is>
          <t xml:space="preserve">АТ "МетаБанк" </t>
        </is>
      </c>
      <c r="C34" s="76" t="inlineStr">
        <is>
          <t>313582</t>
        </is>
      </c>
      <c r="D34" s="80" t="n"/>
    </row>
    <row r="35" ht="12.75" customHeight="1" s="52">
      <c r="A35" s="76" t="inlineStr">
        <is>
          <t>231</t>
        </is>
      </c>
      <c r="B35" s="76" t="inlineStr">
        <is>
          <t xml:space="preserve">АТ "ЮНЕКС БАНК" </t>
        </is>
      </c>
      <c r="C35" s="76" t="inlineStr">
        <is>
          <t>322539</t>
        </is>
      </c>
      <c r="D35" s="80" t="n"/>
    </row>
    <row r="36" ht="12.75" customHeight="1" s="52">
      <c r="A36" s="76" t="inlineStr">
        <is>
          <t>240</t>
        </is>
      </c>
      <c r="B36" s="76" t="inlineStr">
        <is>
          <t xml:space="preserve">АТ "КОМІНБАНК" </t>
        </is>
      </c>
      <c r="C36" s="76" t="inlineStr">
        <is>
          <t>322540</t>
        </is>
      </c>
      <c r="D36" s="80" t="n"/>
    </row>
    <row r="37" ht="12.75" customHeight="1" s="52">
      <c r="A37" s="81" t="inlineStr">
        <is>
          <t>242</t>
        </is>
      </c>
      <c r="B37" s="81" t="inlineStr">
        <is>
          <t>АТ "УНІВЕРСАЛ БАНК"</t>
        </is>
      </c>
      <c r="C37" s="81" t="inlineStr">
        <is>
          <t>322001</t>
        </is>
      </c>
      <c r="D37" s="80" t="n"/>
    </row>
    <row r="38" ht="12.75" customHeight="1" s="52">
      <c r="A38" s="76" t="inlineStr">
        <is>
          <t>251</t>
        </is>
      </c>
      <c r="B38" s="76" t="inlineStr">
        <is>
          <t xml:space="preserve">АТ "ПІРЕУС БАНК МКБ" </t>
        </is>
      </c>
      <c r="C38" s="76" t="inlineStr">
        <is>
          <t>300658</t>
        </is>
      </c>
      <c r="D38" s="80" t="n"/>
    </row>
    <row r="39" ht="12.75" customHeight="1" s="52">
      <c r="A39" s="76" t="inlineStr">
        <is>
          <t>270</t>
        </is>
      </c>
      <c r="B39" s="76" t="inlineStr">
        <is>
          <t xml:space="preserve">АТ "БАНК КРЕДИТ ДНІПРО" </t>
        </is>
      </c>
      <c r="C39" s="76" t="inlineStr">
        <is>
          <t>305749</t>
        </is>
      </c>
      <c r="D39" s="80" t="n"/>
    </row>
    <row r="40" ht="12.75" customHeight="1" s="52">
      <c r="A40" s="76" t="inlineStr">
        <is>
          <t>272</t>
        </is>
      </c>
      <c r="B40" s="76" t="inlineStr">
        <is>
          <t xml:space="preserve">АТ "СЕНС БАНК" </t>
        </is>
      </c>
      <c r="C40" s="76" t="inlineStr">
        <is>
          <t>300346</t>
        </is>
      </c>
      <c r="D40" s="80" t="n"/>
    </row>
    <row r="41" ht="12.75" customHeight="1" s="52">
      <c r="A41" s="76" t="inlineStr">
        <is>
          <t>274</t>
        </is>
      </c>
      <c r="B41" s="76" t="inlineStr">
        <is>
          <t xml:space="preserve">АБ "УКРГАЗБАНК" </t>
        </is>
      </c>
      <c r="C41" s="76" t="inlineStr">
        <is>
          <t>320478</t>
        </is>
      </c>
      <c r="D41" s="80" t="n"/>
    </row>
    <row r="42" ht="12.75" customHeight="1" s="52">
      <c r="A42" s="76" t="inlineStr">
        <is>
          <t>286</t>
        </is>
      </c>
      <c r="B42" s="76" t="inlineStr">
        <is>
          <t xml:space="preserve">АТ "АБ "РАДАБАНК" </t>
        </is>
      </c>
      <c r="C42" s="76" t="inlineStr">
        <is>
          <t>306500</t>
        </is>
      </c>
      <c r="D42" s="80" t="n"/>
    </row>
    <row r="43" ht="12.75" customHeight="1" s="52">
      <c r="A43" s="76" t="inlineStr">
        <is>
          <t>288</t>
        </is>
      </c>
      <c r="B43" s="76" t="inlineStr">
        <is>
          <t xml:space="preserve">АБ "КЛІРИНГОВИЙ ДІМ" </t>
        </is>
      </c>
      <c r="C43" s="76" t="inlineStr">
        <is>
          <t>300647</t>
        </is>
      </c>
      <c r="D43" s="80" t="n"/>
    </row>
    <row r="44" ht="12.75" customHeight="1" s="52">
      <c r="A44" s="76" t="inlineStr">
        <is>
          <t>290</t>
        </is>
      </c>
      <c r="B44" s="76" t="inlineStr">
        <is>
          <t>АТ "ПЕРШИЙ ІНВЕСТИЦІЙНИЙ БАНК"</t>
        </is>
      </c>
      <c r="C44" s="76" t="inlineStr">
        <is>
          <t>300506</t>
        </is>
      </c>
      <c r="D44" s="80" t="n"/>
    </row>
    <row r="45" ht="12.75" customHeight="1" s="52">
      <c r="A45" s="76" t="inlineStr">
        <is>
          <t>295</t>
        </is>
      </c>
      <c r="B45" s="76" t="inlineStr">
        <is>
          <t xml:space="preserve">АТ "ІНГ Банк Україна" </t>
        </is>
      </c>
      <c r="C45" s="76" t="inlineStr">
        <is>
          <t>300539</t>
        </is>
      </c>
      <c r="D45" s="80" t="n"/>
    </row>
    <row r="46" ht="12.75" customHeight="1" s="52">
      <c r="A46" s="76" t="inlineStr">
        <is>
          <t>296</t>
        </is>
      </c>
      <c r="B46" s="76" t="inlineStr">
        <is>
          <t xml:space="preserve">АТ "ОТП БАНК" </t>
        </is>
      </c>
      <c r="C46" s="76" t="inlineStr">
        <is>
          <t>300528</t>
        </is>
      </c>
      <c r="D46" s="80" t="n"/>
    </row>
    <row r="47" ht="12.75" customHeight="1" s="52">
      <c r="A47" s="76" t="inlineStr">
        <is>
          <t>297</t>
        </is>
      </c>
      <c r="B47" s="76" t="inlineStr">
        <is>
          <t xml:space="preserve">АТ "СІТІБАНК" </t>
        </is>
      </c>
      <c r="C47" s="76" t="inlineStr">
        <is>
          <t>300584</t>
        </is>
      </c>
      <c r="D47" s="80" t="n"/>
    </row>
    <row r="48" ht="12.75" customHeight="1" s="52">
      <c r="A48" s="76" t="inlineStr">
        <is>
          <t>298</t>
        </is>
      </c>
      <c r="B48" s="76" t="inlineStr">
        <is>
          <t xml:space="preserve">АТ "ПРОКРЕДИТ БАНК" </t>
        </is>
      </c>
      <c r="C48" s="76" t="inlineStr">
        <is>
          <t>320984</t>
        </is>
      </c>
      <c r="D48" s="80" t="n"/>
    </row>
    <row r="49" ht="12.75" customHeight="1" s="52">
      <c r="A49" s="81" t="inlineStr">
        <is>
          <t>305</t>
        </is>
      </c>
      <c r="B49" s="81" t="inlineStr">
        <is>
          <t xml:space="preserve">АТ "ВСТ БАНК" </t>
        </is>
      </c>
      <c r="C49" s="81" t="inlineStr">
        <is>
          <t>307123</t>
        </is>
      </c>
      <c r="D49" s="80" t="n"/>
    </row>
    <row r="50" ht="12.75" customHeight="1" s="52">
      <c r="A50" s="76" t="inlineStr">
        <is>
          <t>311</t>
        </is>
      </c>
      <c r="B50" s="76" t="inlineStr">
        <is>
          <t xml:space="preserve">АТ "БАНК ТРАСТ-КАПІТАЛ" </t>
        </is>
      </c>
      <c r="C50" s="76" t="inlineStr">
        <is>
          <t>380106</t>
        </is>
      </c>
      <c r="D50" s="80" t="n"/>
    </row>
    <row r="51" ht="12.75" customHeight="1" s="52">
      <c r="A51" s="81" t="inlineStr">
        <is>
          <t>313</t>
        </is>
      </c>
      <c r="B51" s="81" t="inlineStr">
        <is>
          <t>АТ "УБРР"</t>
        </is>
      </c>
      <c r="C51" s="81" t="inlineStr">
        <is>
          <t>380883</t>
        </is>
      </c>
      <c r="D51" s="80" t="n"/>
    </row>
    <row r="52" ht="12.75" customHeight="1" s="52">
      <c r="A52" s="81" t="inlineStr">
        <is>
          <t>320</t>
        </is>
      </c>
      <c r="B52" s="81" t="inlineStr">
        <is>
          <t>АТ 'БІЗБАНК"</t>
        </is>
      </c>
      <c r="C52" s="81" t="inlineStr">
        <is>
          <t>380281</t>
        </is>
      </c>
      <c r="D52" s="80" t="n"/>
    </row>
    <row r="53" ht="12.75" customHeight="1" s="52">
      <c r="A53" s="81" t="inlineStr">
        <is>
          <t>329</t>
        </is>
      </c>
      <c r="B53" s="81" t="inlineStr">
        <is>
          <t xml:space="preserve">АТ "НЕКСЕНТ БАНК" </t>
        </is>
      </c>
      <c r="C53" s="81" t="inlineStr">
        <is>
          <t>380366</t>
        </is>
      </c>
      <c r="D53" s="80" t="n"/>
    </row>
    <row r="54" ht="12.75" customHeight="1" s="52">
      <c r="A54" s="76" t="inlineStr">
        <is>
          <t>331</t>
        </is>
      </c>
      <c r="B54" s="76" t="inlineStr">
        <is>
          <t xml:space="preserve">АТ "КРЕДИТВЕСТ БАНК" </t>
        </is>
      </c>
      <c r="C54" s="76" t="inlineStr">
        <is>
          <t>380441</t>
        </is>
      </c>
      <c r="D54" s="80" t="n"/>
    </row>
    <row r="55" ht="12.75" customHeight="1" s="52">
      <c r="A55" s="76" t="inlineStr">
        <is>
          <t>381</t>
        </is>
      </c>
      <c r="B55" s="76" t="inlineStr">
        <is>
          <t xml:space="preserve">АТ "МОТОР-БАНК" </t>
        </is>
      </c>
      <c r="C55" s="76" t="inlineStr">
        <is>
          <t>313009</t>
        </is>
      </c>
      <c r="D55" s="80" t="n"/>
    </row>
    <row r="56" ht="12.75" customHeight="1" s="52">
      <c r="A56" s="76" t="inlineStr">
        <is>
          <t>386</t>
        </is>
      </c>
      <c r="B56" s="76" t="inlineStr">
        <is>
          <t xml:space="preserve">АТ "КБ "ГЛОБУС" </t>
        </is>
      </c>
      <c r="C56" s="76" t="inlineStr">
        <is>
          <t>380526</t>
        </is>
      </c>
      <c r="D56" s="80" t="n"/>
    </row>
    <row r="57" ht="12.75" customHeight="1" s="52">
      <c r="A57" s="81" t="inlineStr">
        <is>
          <t>387</t>
        </is>
      </c>
      <c r="B57" s="81" t="inlineStr">
        <is>
          <t xml:space="preserve">АТ "АГРОПРОСПЕРІС БАНК" </t>
        </is>
      </c>
      <c r="C57" s="81" t="inlineStr">
        <is>
          <t>380548</t>
        </is>
      </c>
      <c r="D57" s="80" t="n"/>
    </row>
    <row r="58" ht="12.75" customHeight="1" s="52">
      <c r="A58" s="76" t="inlineStr">
        <is>
          <t>389</t>
        </is>
      </c>
      <c r="B58" s="76" t="inlineStr">
        <is>
          <t xml:space="preserve">АТ "МІБ" </t>
        </is>
      </c>
      <c r="C58" s="76" t="inlineStr">
        <is>
          <t>380582</t>
        </is>
      </c>
      <c r="D58" s="80" t="n"/>
    </row>
    <row r="59" ht="12.75" customHeight="1" s="52">
      <c r="A59" s="76" t="inlineStr">
        <is>
          <t>392</t>
        </is>
      </c>
      <c r="B59" s="76" t="inlineStr">
        <is>
          <t xml:space="preserve">ПуАТ "КБ "АКОРДБАНК" </t>
        </is>
      </c>
      <c r="C59" s="76" t="inlineStr">
        <is>
          <t>380634</t>
        </is>
      </c>
      <c r="D59" s="80" t="n"/>
    </row>
    <row r="60" ht="12.75" customHeight="1" s="52">
      <c r="A60" s="76" t="inlineStr">
        <is>
          <t>394</t>
        </is>
      </c>
      <c r="B60" s="76" t="inlineStr">
        <is>
          <t xml:space="preserve">АТ "БАНК 3/4" </t>
        </is>
      </c>
      <c r="C60" s="76" t="inlineStr">
        <is>
          <t>380645</t>
        </is>
      </c>
      <c r="D60" s="80" t="n"/>
    </row>
    <row r="61" ht="12.75" customHeight="1" s="52">
      <c r="A61" s="76" t="inlineStr">
        <is>
          <t>395</t>
        </is>
      </c>
      <c r="B61" s="76" t="inlineStr">
        <is>
          <t xml:space="preserve">АТ "ЄПБ" </t>
        </is>
      </c>
      <c r="C61" s="76" t="inlineStr">
        <is>
          <t>377090</t>
        </is>
      </c>
      <c r="D61" s="80" t="n"/>
    </row>
    <row r="62" ht="12.75" customHeight="1" s="52">
      <c r="A62" s="76" t="inlineStr">
        <is>
          <t>407</t>
        </is>
      </c>
      <c r="B62" s="76" t="inlineStr">
        <is>
          <t xml:space="preserve">АТ "Дойче Банк ДБУ" </t>
        </is>
      </c>
      <c r="C62" s="76" t="inlineStr">
        <is>
          <t>380731</t>
        </is>
      </c>
      <c r="D62" s="80" t="n"/>
    </row>
    <row r="63" ht="12.75" customHeight="1" s="52">
      <c r="A63" s="76" t="inlineStr">
        <is>
          <t>455</t>
        </is>
      </c>
      <c r="B63" s="76" t="inlineStr">
        <is>
          <t>АТ"СЕБ КОРПОРАТИВНИЙ БАНК"</t>
        </is>
      </c>
      <c r="C63" s="76" t="inlineStr">
        <is>
          <t>380797</t>
        </is>
      </c>
      <c r="D63" s="80" t="n"/>
    </row>
    <row r="64" ht="12.75" customHeight="1" s="52">
      <c r="A64" s="76" t="inlineStr">
        <is>
          <t>553</t>
        </is>
      </c>
      <c r="B64" s="76" t="inlineStr">
        <is>
          <t xml:space="preserve">АТ "БАНК АВАНГАРД" </t>
        </is>
      </c>
      <c r="C64" s="76" t="inlineStr">
        <is>
          <t>380946</t>
        </is>
      </c>
      <c r="D64" s="80" t="n"/>
    </row>
    <row r="65" ht="12.75" customHeight="1" s="52">
      <c r="A65" s="76" t="inlineStr">
        <is>
          <t>694</t>
        </is>
      </c>
      <c r="B65" s="76" t="inlineStr">
        <is>
          <t xml:space="preserve">АТ "КРИСТАЛБАНК" </t>
        </is>
      </c>
      <c r="C65" s="76" t="inlineStr">
        <is>
          <t>339050</t>
        </is>
      </c>
      <c r="D65" s="80" t="n"/>
    </row>
    <row r="66" ht="15" customHeight="1" s="52">
      <c r="A66" s="81" t="inlineStr">
        <is>
          <t>774</t>
        </is>
      </c>
      <c r="B66" s="81" t="inlineStr">
        <is>
          <t xml:space="preserve">АТ "РВС БАНК"* </t>
        </is>
      </c>
      <c r="C66" s="81" t="inlineStr">
        <is>
          <t>339072</t>
        </is>
      </c>
      <c r="D66" s="80" t="n"/>
    </row>
    <row r="67" ht="12.75" customHeight="1" s="52">
      <c r="A67" s="76" t="n"/>
      <c r="B67" s="76" t="n"/>
      <c r="C67" s="76" t="n"/>
      <c r="D67" s="80" t="n"/>
    </row>
    <row r="68" ht="12.75" customHeight="1" s="52">
      <c r="A68" s="82" t="inlineStr">
        <is>
          <t>* Неплатоспроможний банк.</t>
        </is>
      </c>
    </row>
  </sheetData>
  <autoFilter ref="A6:C66"/>
  <mergeCells count="1">
    <mergeCell ref="A68:B68"/>
  </mergeCells>
  <hyperlinks>
    <hyperlink ref="A7" location="'  2АТ &quot;Укрексімбанк&quot; '!A1" display="2"/>
    <hyperlink ref="B7" location="'  2АТ &quot;Укрексімбанк&quot; '!A1" display="АТ &quot;Укрексімбанк&quot; "/>
    <hyperlink ref="C7" location="'  2АТ &quot;Укрексімбанк&quot; '!A1" display="322313"/>
    <hyperlink ref="A8" location="'  6АТ &quot;ОЩАДБАНК&quot; '!A1" display="6"/>
    <hyperlink ref="B8" location="'  6АТ &quot;ОЩАДБАНК&quot; '!A1" display="АТ &quot;ОЩАДБАНК&quot; "/>
    <hyperlink ref="C8" location="'  6АТ &quot;ОЩАДБАНК&quot; '!A1" display="300465"/>
    <hyperlink ref="A9" location="' 29АТ &quot;БАНК АЛЬЯНС&quot; '!A1" display="29"/>
    <hyperlink ref="B9" location="' 29АТ &quot;БАНК АЛЬЯНС&quot; '!A1" display="АТ &quot;БАНК АЛЬЯНС&quot; "/>
    <hyperlink ref="C9" location="' 29АТ &quot;БАНК АЛЬЯНС&quot; '!A1" display="300119"/>
    <hyperlink ref="A10" location="' 36АТ &quot;Райффайзен Банк&quot; '!A1" display="36"/>
    <hyperlink ref="B10" location="' 36АТ &quot;Райффайзен Банк&quot; '!A1" display="АТ &quot;Райффайзен Банк&quot;"/>
    <hyperlink ref="C10" location="' 36АТ &quot;Райффайзен Банк&quot; '!A1" display="300335"/>
    <hyperlink ref="A11" location="' 43АТ &quot;АЛЬТБАНК&quot; '!A1" display="43"/>
    <hyperlink ref="B11" location="' 43АТ &quot;АЛЬТБАНК&quot; '!A1" display="АТ &quot;АЛЬТБАНК&quot; "/>
    <hyperlink ref="C11" location="' 43АТ &quot;АЛЬТБАНК&quot; '!A1" display="320940"/>
    <hyperlink ref="A12" location="' 46АТ КБ &quot;ПРИВАТБАНК&quot; '!A1" display="46"/>
    <hyperlink ref="B12" location="' 46АТ КБ &quot;ПРИВАТБАНК&quot; '!A1" display="АТ КБ &quot;ПриватБанк&quot; "/>
    <hyperlink ref="C12" location="' 46АТ КБ &quot;ПРИВАТБАНК&quot; '!A1" display="305299"/>
    <hyperlink ref="A13" location="' 49Полікомбанк '!A1" display="49"/>
    <hyperlink ref="B13" location="' 49Полікомбанк '!A1" display="Полікомбанк "/>
    <hyperlink ref="C13" location="' 49Полікомбанк '!A1" display="353100"/>
    <hyperlink ref="A14" location="' 62АТ &quot;ТАСКОМБАНК&quot; '!A1" display="62"/>
    <hyperlink ref="B14" location="' 62АТ &quot;ТАСКОМБАНК&quot; '!A1" display="АТ &quot;ТАСКОМБАНК&quot; "/>
    <hyperlink ref="C14" location="' 62АТ &quot;ТАСКОМБАНК&quot; '!A1" display="339500"/>
    <hyperlink ref="A15" location="' 72ПрАТ &quot;БАНК ФАМІЛЬНИЙ&quot; '!A1" display="72"/>
    <hyperlink ref="B15" location="' 72ПрАТ &quot;БАНК ФАМІЛЬНИЙ&quot; '!A1" display="ПрАТ &quot;БАНК ФАМІЛЬНИЙ&quot; "/>
    <hyperlink ref="C15" location="' 72ПрАТ &quot;БАНК ФАМІЛЬНИЙ&quot; '!A1" display="334840"/>
    <hyperlink ref="A16" location="' 88АТ &quot;КРЕДОБАНК&quot; '!A1" display="88"/>
    <hyperlink ref="B16" location="' 88АТ &quot;КРЕДОБАНК&quot; '!A1" display="АТ &quot;КРЕДОБАНК&quot; "/>
    <hyperlink ref="C16" location="' 88АТ &quot;КРЕДОБАНК&quot; '!A1" display="325365"/>
    <hyperlink ref="A17" location="' 91АТ АКБ &quot;Львів&quot; '!A1" display="91"/>
    <hyperlink ref="B17" location="' 91АТ АКБ &quot;Львів&quot; '!A1" display="АТ АКБ &quot;Львів&quot; "/>
    <hyperlink ref="C17" location="' 91АТ АКБ &quot;Львів&quot; '!A1" display="325268"/>
    <hyperlink ref="A18" location="' 95АТ &quot;ОКСІ БАНК&quot; '!A1" display="95"/>
    <hyperlink ref="B18" location="' 95АТ &quot;ОКСІ БАНК&quot; '!A1" display="АТ &quot;ОКСІ БАНК&quot; "/>
    <hyperlink ref="C18" location="' 95АТ &quot;ОКСІ БАНК&quot; '!A1" display="325990"/>
    <hyperlink ref="A19" location="' 96АТ &quot;А - БАНК&quot; '!A1" display="96"/>
    <hyperlink ref="B19" location="' 96АТ &quot;А - БАНК&quot; '!A1" display="АТ &quot;А - БАНК&quot; "/>
    <hyperlink ref="C19" location="' 96АТ &quot;А - БАНК&quot; '!A1" display="307770"/>
    <hyperlink ref="A20" location="'101АКБ &quot;ІНДУСТРІАЛБАНК&quot; '!A1" display="101"/>
    <hyperlink ref="B20" location="'101АКБ &quot;ІНДУСТРІАЛБАНК&quot; '!A1" display="АКБ &quot;ІНДУСТРІАЛБАНК&quot; "/>
    <hyperlink ref="C20" location="'101АКБ &quot;ІНДУСТРІАЛБАНК&quot; '!A1" display="313849"/>
    <hyperlink ref="A21" location="'105ПАТ &quot;МТБ БАНК&quot; '!A1" display="105"/>
    <hyperlink ref="B21" location="'105ПАТ &quot;МТБ БАНК&quot; '!A1" display="ПАТ &quot;МТБ БАНК&quot;"/>
    <hyperlink ref="C21" location="'105ПАТ &quot;МТБ БАНК&quot; '!A1" display="328168"/>
    <hyperlink ref="A22" location="'106Акціонерний банк &quot;Південний'!A1" display="106"/>
    <hyperlink ref="B22" location="'106Акціонерний банк &quot;Південний'!A1" display="Акціонерний банк&quot;Південний&quot;"/>
    <hyperlink ref="C22" location="'106Акціонерний банк &quot;Південний'!A1" display="328209"/>
    <hyperlink ref="A23" location="'113АТ &quot;Полтава-банк&quot; '!A1" display="113"/>
    <hyperlink ref="B23" location="'113АТ &quot;Полтава-банк&quot; '!A1" display="АТ &quot;Полтава-банк&quot; "/>
    <hyperlink ref="C23" location="'113АТ &quot;Полтава-банк&quot; '!A1" display="331489"/>
    <hyperlink ref="A24" location="'115АТ &quot;ПУМБ&quot; '!A1" display="115"/>
    <hyperlink ref="B24" location="'115АТ &quot;ПУМБ&quot; '!A1" display="АT &quot;ПУМБ&quot; "/>
    <hyperlink ref="C24" location="'115АТ &quot;ПУМБ&quot; '!A1" display="334851"/>
    <hyperlink ref="A25" location="'123АТ &quot;БАНК &quot;ГРАНТ&quot; '!A1" display="123"/>
    <hyperlink ref="B25" location="'123АТ &quot;БАНК &quot;ГРАНТ&quot; '!A1" display="АТ &quot;БАНК &quot;ГРАНТ&quot; "/>
    <hyperlink ref="C25" location="'123АТ &quot;БАНК &quot;ГРАНТ&quot; '!A1" display="351607"/>
    <hyperlink ref="A26" location="'128АТ &quot;СКАЙ БАНК&quot; '!A1" display="128"/>
    <hyperlink ref="B26" location="'128АТ &quot;СКАЙ БАНК&quot; '!A1" display="АТ &quot;СКАЙ БАНК&quot; "/>
    <hyperlink ref="C26" location="'128АТ &quot;СКАЙ БАНК&quot; '!A1" display="351254"/>
    <hyperlink ref="A27" location="'129АТ &quot;БТА Банк&quot; '!A1" display="129"/>
    <hyperlink ref="B27" location="'129АТ &quot;БТА Банк&quot; '!A1" display="АТ &quot;БТА БАНК&quot; "/>
    <hyperlink ref="C27" location="'129АТ &quot;БТА Банк&quot; '!A1" display="321723"/>
    <hyperlink ref="A28" location="'133АТ &quot;АСВІО БАНК&quot; '!A1" display="133"/>
    <hyperlink ref="B28" location="'133АТ &quot;АСВІО БАНК&quot; '!A1" display="АТ &quot;АСВІО БАНК&quot; "/>
    <hyperlink ref="C28" location="'133АТ &quot;АСВІО БАНК&quot; '!A1" display="353489"/>
    <hyperlink ref="A29" location="'136АТ &quot;УкрСиббанк&quot; '!A1" display="136"/>
    <hyperlink ref="B29" location="'136АТ &quot;УкрСиббанк&quot; '!A1" display="АТ &quot;УКРСИББАНК&quot; "/>
    <hyperlink ref="C29" location="'136АТ &quot;УкрСиббанк&quot; '!A1" display="351005"/>
    <hyperlink ref="A30" location="'142АТ &quot;Ідея Банк&quot; '!A1" display="142"/>
    <hyperlink ref="B30" location="'142АТ &quot;Ідея Банк&quot; '!A1" display="АТ &quot;Ідея Банк&quot; "/>
    <hyperlink ref="C30" location="'142АТ &quot;Ідея Банк&quot; '!A1" display="336310"/>
    <hyperlink ref="A31" location="'146АТ &quot;БАНК &quot;УКРАЇНСЬКИЙ КАПІТ'!A1" display="146"/>
    <hyperlink ref="B31" location="'146АТ &quot;БАНК &quot;УКРАЇНСЬКИЙ КАПІТ'!A1" display="АТ&quot;БАНК &quot;УКРАЇНСЬКИЙ КАПІТАЛ&quot; "/>
    <hyperlink ref="C31" location="'146АТ &quot;БАНК &quot;УКРАЇНСЬКИЙ КАПІТ'!A1" display="320371"/>
    <hyperlink ref="A32" location="'153АТ &quot;ПРАВЕКС БАНК&quot; '!A1" display="153"/>
    <hyperlink ref="B32" location="'153АТ &quot;ПРАВЕКС БАНК&quot; '!A1" display="АТ &quot;ПРАВЕКС БАНК&quot; "/>
    <hyperlink ref="C32" location="'153АТ &quot;ПРАВЕКС БАНК&quot; '!A1" display="380838"/>
    <hyperlink ref="A33" location="'171АТ &quot;КРЕДІ АГРІКОЛЬ БАНК&quot; '!A1" display="171"/>
    <hyperlink ref="B33" location="'171АТ &quot;КРЕДІ АГРІКОЛЬ БАНК&quot; '!A1" display="АТ &quot;КРЕДІ АГРІКОЛЬ БАНК&quot; "/>
    <hyperlink ref="C33" location="'171АТ &quot;КРЕДІ АГРІКОЛЬ БАНК&quot; '!A1" display="300614"/>
    <hyperlink ref="A34" location="'205АТ &quot;МетаБанк&quot; '!A1" display="205"/>
    <hyperlink ref="B34" location="'205АТ &quot;МетаБанк&quot; '!A1" display="АТ &quot;МетаБанк&quot; "/>
    <hyperlink ref="C34" location="'205АТ &quot;МетаБанк&quot; '!A1" display="313582"/>
    <hyperlink ref="A35" location="'231АТ &quot;ЮНЕКС БАНК&quot; '!A1" display="231"/>
    <hyperlink ref="B35" location="'231АТ &quot;ЮНЕКС БАНК&quot; '!A1" display="АТ &quot;ЮНЕКС БАНК&quot; "/>
    <hyperlink ref="C35" location="'231АТ &quot;ЮНЕКС БАНК&quot; '!A1" display="322539"/>
    <hyperlink ref="A36" location="'240АТ &quot;КОМІНБАНК&quot; '!A1" display="240"/>
    <hyperlink ref="B36" location="'240АТ &quot;КОМІНБАНК&quot; '!A1" display="АТ &quot;КОМІНБАНК&quot; "/>
    <hyperlink ref="C36" location="'240АТ &quot;КОМІНБАНК&quot; '!A1" display="322540"/>
    <hyperlink ref="A37" location="'242АТ &quot;УНІВЕРСАЛ БАНК&quot; '!A1" display="242"/>
    <hyperlink ref="B37" location="'242АТ &quot;УНІВЕРСАЛ БАНК&quot; '!A1" display="АТ &quot;УНІВЕРСАЛ БАНК&quot;"/>
    <hyperlink ref="C37" location="'242АТ &quot;УНІВЕРСАЛ БАНК&quot; '!A1" display="322001"/>
    <hyperlink ref="A38" location="'251АТ &quot;ПІРЕУС БАНК МКБ&quot; '!A1" display="251"/>
    <hyperlink ref="B38" location="'251АТ &quot;ПІРЕУС БАНК МКБ&quot; '!A1" display="АТ &quot;ПІРЕУС БАНК МКБ&quot; "/>
    <hyperlink ref="C38" location="'251АТ &quot;ПІРЕУС БАНК МКБ&quot; '!A1" display="300658"/>
    <hyperlink ref="A39" location="'270АТ &quot;БАНК КРЕДИТ ДНІПРО&quot; '!A1" display="270"/>
    <hyperlink ref="B39" location="'270АТ &quot;БАНК КРЕДИТ ДНІПРО&quot; '!A1" display="АТ &quot;БАНК КРЕДИТ ДНІПРО&quot; "/>
    <hyperlink ref="C39" location="'270АТ &quot;БАНК КРЕДИТ ДНІПРО&quot; '!A1" display="305749"/>
    <hyperlink ref="A40" location="'272АТ &quot;СЕНС БАНК&quot; '!A1" display="272"/>
    <hyperlink ref="B40" location="'272АТ &quot;СЕНС БАНК&quot; '!A1" display="АТ &quot;СЕНС БАНК&quot; "/>
    <hyperlink ref="C40" location="'272АТ &quot;СЕНС БАНК&quot; '!A1" display="300346"/>
    <hyperlink ref="A41" location="'274АБ &quot;УКРГАЗБАНК&quot; '!A1" display="274"/>
    <hyperlink ref="B41" location="'274АБ &quot;УКРГАЗБАНК&quot; '!A1" display="АБ &quot;УКРГАЗБАНК&quot; "/>
    <hyperlink ref="C41" location="'274АБ &quot;УКРГАЗБАНК&quot; '!A1" display="320478"/>
    <hyperlink ref="A42" location="'286АТ &quot;АБ &quot;РАДАБАНК&quot; '!A1" display="286"/>
    <hyperlink ref="B42" location="'286АТ &quot;АБ &quot;РАДАБАНК&quot; '!A1" display="АТ &quot;АБ &quot;РАДАБАНК&quot; "/>
    <hyperlink ref="C42" location="'286АТ &quot;АБ &quot;РАДАБАНК&quot; '!A1" display="306500"/>
    <hyperlink ref="A43" location="'288АБ &quot;КЛІРИНГОВИЙ ДІМ&quot; '!A1" display="288"/>
    <hyperlink ref="B43" location="'288АБ &quot;КЛІРИНГОВИЙ ДІМ&quot; '!A1" display="АБ &quot;КЛІРИНГОВИЙ ДІМ&quot; "/>
    <hyperlink ref="C43" location="'288АБ &quot;КЛІРИНГОВИЙ ДІМ&quot; '!A1" display="300647"/>
    <hyperlink ref="A44" location="'290АТ &quot;ПЕРШИЙ ІНВЕСТИЦІЙНИЙ БА'!A1" display="290"/>
    <hyperlink ref="B44" location="'290АТ &quot;ПЕРШИЙ ІНВЕСТИЦІЙНИЙ БА'!A1" display="АТ &quot;ПЕРШИЙ ІНВЕСТИЦІЙНИЙ БАНК&quot;"/>
    <hyperlink ref="C44" location="'290АТ &quot;ПЕРШИЙ ІНВЕСТИЦІЙНИЙ БА'!A1" display="300506"/>
    <hyperlink ref="A45" location="'295АТ &quot;ІНГ Банк Україна&quot; '!A1" display="295"/>
    <hyperlink ref="B45" location="'295АТ &quot;ІНГ Банк Україна&quot; '!A1" display="АТ &quot;ІНГ Банк Україна&quot; "/>
    <hyperlink ref="C45" location="'295АТ &quot;ІНГ Банк Україна&quot; '!A1" display="300539"/>
    <hyperlink ref="A46" location="'296АТ &quot;ОТП БАНК&quot; '!A1" display="296"/>
    <hyperlink ref="B46" location="'296АТ &quot;ОТП БАНК&quot; '!A1" display="АТ &quot;ОТП БАНК&quot; "/>
    <hyperlink ref="C46" location="'296АТ &quot;ОТП БАНК&quot; '!A1" display="300528"/>
    <hyperlink ref="A47" location="'297АТ &quot;СІТІБАНК&quot; '!A1" display="297"/>
    <hyperlink ref="B47" location="'297АТ &quot;СІТІБАНК&quot; '!A1" display="АТ &quot;СІТІБАНК&quot; "/>
    <hyperlink ref="C47" location="'297АТ &quot;СІТІБАНК&quot; '!A1" display="300584"/>
    <hyperlink ref="A48" location="'298АТ &quot;ПРОКРЕДИТ БАНК&quot; '!A1" display="298"/>
    <hyperlink ref="B48" location="'298АТ &quot;ПРОКРЕДИТ БАНК&quot; '!A1" display="АТ &quot;ПРОКРЕДИТ БАНК&quot; "/>
    <hyperlink ref="C48" location="'298АТ &quot;ПРОКРЕДИТ БАНК&quot; '!A1" display="320984"/>
    <hyperlink ref="A49" location="'305АТ &quot;ВСТ БАНК&quot; '!A1" display="305"/>
    <hyperlink ref="B49" location="'305АТ &quot;ВСТ БАНК&quot; '!A1" display="АТ &quot;ВСТ БАНК&quot; "/>
    <hyperlink ref="C49" location="'305АТ &quot;ВСТ БАНК&quot; '!A1" display="307123"/>
    <hyperlink ref="A50" location="'311АТ &quot;БАНК ТРАСТ-КАПІТАЛ&quot; '!A1" display="311"/>
    <hyperlink ref="B50" location="'311АТ &quot;БАНК ТРАСТ-КАПІТАЛ&quot; '!A1" display="АТ &quot;БАНК ТРАСТ-КАПІТАЛ&quot; "/>
    <hyperlink ref="C50" location="'311АТ &quot;БАНК ТРАСТ-КАПІТАЛ&quot; '!A1" display="380106"/>
    <hyperlink ref="A51" location="'313АТ &quot;УБРР&quot; '!A1" display="313"/>
    <hyperlink ref="B51" location="'313АТ &quot;УБРР&quot; '!A1" display="АТ &quot;УБРР&quot;"/>
    <hyperlink ref="C51" location="'313АТ &quot;УБРР&quot; '!A1" display="380883"/>
    <hyperlink ref="A52" location="'320АТ &quot;БІЗБАНК&quot; '!A1" display="320"/>
    <hyperlink ref="B52" location="'320АТ &quot;БІЗБАНК&quot; '!A1" display="АТ 'БІЗБАНК&quot;"/>
    <hyperlink ref="C52" location="'320АТ &quot;БІЗБАНК&quot; '!A1" display="380281"/>
    <hyperlink ref="A53" location="'329АТ &quot;НЕКСЕНТ БАНК&quot; '!A1" display="329"/>
    <hyperlink ref="B53" location="'329АТ &quot;НЕКСЕНТ БАНК&quot; '!A1" display="АТ &quot;НЕКСЕНТ БАНК&quot; "/>
    <hyperlink ref="C53" location="'329АТ &quot;НЕКСЕНТ БАНК&quot; '!A1" display="380366"/>
    <hyperlink ref="A54" location="'331АТ &quot;КРЕДИТВЕСТ БАНК&quot; '!A1" display="331"/>
    <hyperlink ref="B54" location="'331АТ &quot;КРЕДИТВЕСТ БАНК&quot; '!A1" display="АТ &quot;КРЕДИТВЕСТ БАНК&quot; "/>
    <hyperlink ref="C54" location="'331АТ &quot;КРЕДИТВЕСТ БАНК&quot; '!A1" display="380441"/>
    <hyperlink ref="A55" location="'381АТ &quot;МОТОР-БАНК&quot; '!A1" display="381"/>
    <hyperlink ref="B55" location="'381АТ &quot;МОТОР-БАНК&quot; '!A1" display="АТ &quot;МОТОР-БАНК&quot; "/>
    <hyperlink ref="C55" location="'381АТ &quot;МОТОР-БАНК&quot; '!A1" display="313009"/>
    <hyperlink ref="A56" location="'386АТ &quot;КБ &quot;ГЛОБУС&quot; '!A1" display="386"/>
    <hyperlink ref="B56" location="'386АТ &quot;КБ &quot;ГЛОБУС&quot; '!A1" display="АТ &quot;КБ &quot;ГЛОБУС&quot; "/>
    <hyperlink ref="C56" location="'386АТ &quot;КБ &quot;ГЛОБУС&quot; '!A1" display="380526"/>
    <hyperlink ref="A57" location="'387АТ &quot;АГРОПРОСПЕРІС БАНК&quot; '!A1" display="387"/>
    <hyperlink ref="B57" location="'387АТ &quot;АГРОПРОСПЕРІС БАНК&quot; '!A1" display="АТ &quot;АГРОПРОСПЕРІС БАНК&quot; "/>
    <hyperlink ref="C57" location="'387АТ &quot;АГРОПРОСПЕРІС БАНК&quot; '!A1" display="380548"/>
    <hyperlink ref="A58" location="'389АТ &quot;МІБ&quot; '!A1" display="389"/>
    <hyperlink ref="B58" location="'389АТ &quot;МІБ&quot; '!A1" display="АТ &quot;МІБ&quot; "/>
    <hyperlink ref="C58" location="'389АТ &quot;МІБ&quot; '!A1" display="380582"/>
    <hyperlink ref="A59" location="'392ПуАТ &quot;КБ &quot;АКОРДБАНК&quot; '!A1" display="392"/>
    <hyperlink ref="B59" location="'392ПуАТ &quot;КБ &quot;АКОРДБАНК&quot; '!A1" display="ПуАТ &quot;КБ &quot;АКОРДБАНК&quot; "/>
    <hyperlink ref="C59" location="'392ПуАТ &quot;КБ &quot;АКОРДБАНК&quot; '!A1" display="380634"/>
    <hyperlink ref="A60" location="'394АТ &quot;БАНК 34&quot; '!A1" display="394"/>
    <hyperlink ref="B60" location="'394АТ &quot;БАНК 34&quot; '!A1" display="АТ &quot;БАНК 3/4&quot; "/>
    <hyperlink ref="C60" location="'394АТ &quot;БАНК 34&quot; '!A1" display="380645"/>
    <hyperlink ref="A61" location="'395АТ &quot;ЄПБ&quot; '!A1" display="395"/>
    <hyperlink ref="B61" location="'395АТ &quot;ЄПБ&quot; '!A1" display="АТ &quot;ЄПБ&quot; "/>
    <hyperlink ref="C61" location="'395АТ &quot;ЄПБ&quot; '!A1" display="377090"/>
    <hyperlink ref="A62" location="'407АТ &quot;Дойче Банк ДБУ&quot; '!A1" display="407"/>
    <hyperlink ref="B62" location="'407АТ &quot;Дойче Банк ДБУ&quot; '!A1" display="АТ &quot;Дойче Банк ДБУ&quot; "/>
    <hyperlink ref="C62" location="'407АТ &quot;Дойче Банк ДБУ&quot; '!A1" display="380731"/>
    <hyperlink ref="A63" location="'455АТ &quot;СЕБ КОРПОРАТИВНИЙ БАНК&quot;'!A1" display="455"/>
    <hyperlink ref="B63" location="'455АТ &quot;СЕБ КОРПОРАТИВНИЙ БАНК&quot;'!A1" display="АТ&quot;СЕБ КОРПОРАТИВНИЙ БАНК&quot;"/>
    <hyperlink ref="C63" location="'455АТ &quot;СЕБ КОРПОРАТИВНИЙ БАНК&quot;'!A1" display="380797"/>
    <hyperlink ref="A64" location="'553АТ &quot;БАНК АВАНГАРД&quot; '!A1" display="553"/>
    <hyperlink ref="B64" location="'553АТ &quot;БАНК АВАНГАРД&quot; '!A1" display="АТ &quot;БАНК АВАНГАРД&quot; "/>
    <hyperlink ref="C64" location="'553АТ &quot;БАНК АВАНГАРД&quot; '!A1" display="380946"/>
    <hyperlink ref="A65" location="'694АТ &quot;КРИСТАЛБАНК&quot; '!A1" display="694"/>
    <hyperlink ref="B65" location="'694АТ &quot;КРИСТАЛБАНК&quot; '!A1" display="АТ &quot;КРИСТАЛБАНК&quot; "/>
    <hyperlink ref="C65" location="'694АТ &quot;КРИСТАЛБАНК&quot; '!A1" display="339050"/>
    <hyperlink ref="A66" location="'774АТ &quot;РВС БАНК&quot;нпб'!A1" display="774"/>
    <hyperlink ref="B66" location="'774АТ &quot;РВС БАНК&quot;нпб'!A1" display="АТ &quot;РВС БАНК&quot;* "/>
    <hyperlink ref="C66" location="'774АТ &quot;РВС БАНК&quot;нпб'!A1" display="339072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rowBreaks count="1" manualBreakCount="1">
    <brk id="35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T1164"/>
  <sheetViews>
    <sheetView showFormulas="0" showGridLines="1" showRowColHeaders="1" showZeros="1" rightToLeft="0" tabSelected="1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6" customWidth="1" style="83" min="1" max="1"/>
    <col width="10.78" customWidth="1" style="83" min="2" max="2"/>
    <col width="7.76" customWidth="1" style="83" min="3" max="3"/>
    <col width="8.880000000000001" customWidth="1" style="83" min="4" max="4"/>
    <col width="4.79" customWidth="1" style="83" min="5" max="5"/>
    <col width="10.78" customWidth="1" style="83" min="6" max="6"/>
    <col width="2.77" customWidth="1" style="83" min="7" max="7"/>
    <col width="74.77" customWidth="1" style="83" min="8" max="8"/>
    <col width="6.77" customWidth="1" style="83" min="9" max="9"/>
    <col width="18.79" customWidth="1" style="83" min="10" max="10"/>
    <col width="13.76" customWidth="1" style="83" min="11" max="12"/>
    <col width="3.76" customWidth="1" style="83" min="13" max="13"/>
    <col width="13.76" customWidth="1" style="83" min="14" max="19"/>
    <col width="169.33" customWidth="1" style="83" min="20" max="20"/>
  </cols>
  <sheetData>
    <row r="1" ht="15.75" customHeight="1" s="52">
      <c r="A1" s="84" t="inlineStr">
        <is>
          <t>Зміст</t>
        </is>
      </c>
      <c r="B1" s="85" t="n"/>
      <c r="T1" s="86" t="n"/>
    </row>
    <row r="2" ht="15.75" customHeight="1" s="52">
      <c r="A2" s="87" t="n"/>
      <c r="B2" s="88" t="inlineStr">
        <is>
          <t>Оборотно-сальдовий баланс банку АТ "Укрексімбанк" за станом на 01.12.2025</t>
        </is>
      </c>
      <c r="T2" s="86" t="n"/>
    </row>
    <row r="3" ht="15" customHeight="1" s="52">
      <c r="B3" s="89" t="inlineStr">
        <is>
          <t>(тис грн)</t>
        </is>
      </c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90" t="n"/>
      <c r="N3" s="90" t="n"/>
      <c r="O3" s="90" t="n"/>
      <c r="P3" s="90" t="n"/>
      <c r="Q3" s="90" t="n"/>
      <c r="R3" s="90" t="n"/>
      <c r="S3" s="90" t="n"/>
    </row>
    <row r="4" ht="9.75" customHeight="1" s="52">
      <c r="A4" s="91" t="inlineStr">
        <is>
          <t>Номер з/п</t>
        </is>
      </c>
      <c r="B4" s="92" t="inlineStr">
        <is>
          <t>Клас/ розділ/ група/ рахунок</t>
        </is>
      </c>
      <c r="C4" s="93" t="n"/>
      <c r="D4" s="93" t="n"/>
      <c r="E4" s="93" t="n"/>
      <c r="F4" s="93" t="n"/>
      <c r="G4" s="93" t="n"/>
      <c r="H4" s="94" t="n"/>
      <c r="I4" s="92" t="inlineStr">
        <is>
          <t>Актив/ пасив</t>
        </is>
      </c>
      <c r="J4" s="92" t="inlineStr">
        <is>
          <t>Обороти за місяць</t>
        </is>
      </c>
      <c r="K4" s="95" t="n"/>
      <c r="L4" s="95" t="n"/>
      <c r="M4" s="95" t="n"/>
      <c r="N4" s="95" t="n"/>
      <c r="O4" s="95" t="n"/>
      <c r="P4" s="96" t="n"/>
      <c r="Q4" s="92" t="inlineStr">
        <is>
          <t>Сальдо</t>
        </is>
      </c>
      <c r="R4" s="95" t="n"/>
      <c r="S4" s="96" t="n"/>
      <c r="T4" s="97" t="n"/>
    </row>
    <row r="5" ht="9.75" customHeight="1" s="52">
      <c r="A5" s="98" t="n"/>
      <c r="B5" s="99" t="n"/>
      <c r="C5" s="90" t="n"/>
      <c r="D5" s="90" t="n"/>
      <c r="E5" s="90" t="n"/>
      <c r="F5" s="90" t="n"/>
      <c r="G5" s="90" t="n"/>
      <c r="H5" s="100" t="n"/>
      <c r="I5" s="98" t="n"/>
      <c r="J5" s="92" t="inlineStr">
        <is>
          <t>дебет</t>
        </is>
      </c>
      <c r="K5" s="95" t="n"/>
      <c r="L5" s="96" t="n"/>
      <c r="M5" s="92" t="inlineStr">
        <is>
          <t>кредит</t>
        </is>
      </c>
      <c r="N5" s="95" t="n"/>
      <c r="O5" s="95" t="n"/>
      <c r="P5" s="96" t="n"/>
      <c r="Q5" s="92" t="inlineStr">
        <is>
          <t>усього</t>
        </is>
      </c>
      <c r="R5" s="92" t="inlineStr">
        <is>
          <t>НВ</t>
        </is>
      </c>
      <c r="S5" s="92" t="inlineStr">
        <is>
          <t>ІВ</t>
        </is>
      </c>
      <c r="T5" s="97" t="n"/>
    </row>
    <row r="6" ht="12" customHeight="1" s="52">
      <c r="A6" s="101" t="n"/>
      <c r="B6" s="92" t="inlineStr">
        <is>
          <t>номер</t>
        </is>
      </c>
      <c r="C6" s="95" t="n"/>
      <c r="D6" s="95" t="n"/>
      <c r="E6" s="96" t="n"/>
      <c r="F6" s="92" t="inlineStr">
        <is>
          <t>назва</t>
        </is>
      </c>
      <c r="G6" s="95" t="n"/>
      <c r="H6" s="96" t="n"/>
      <c r="I6" s="101" t="n"/>
      <c r="J6" s="102" t="inlineStr">
        <is>
          <t>усього</t>
        </is>
      </c>
      <c r="K6" s="102" t="inlineStr">
        <is>
          <t>НВ</t>
        </is>
      </c>
      <c r="L6" s="102" t="inlineStr">
        <is>
          <t>ІВ</t>
        </is>
      </c>
      <c r="M6" s="92" t="inlineStr">
        <is>
          <t>усього</t>
        </is>
      </c>
      <c r="N6" s="96" t="n"/>
      <c r="O6" s="102" t="inlineStr">
        <is>
          <t>НВ</t>
        </is>
      </c>
      <c r="P6" s="102" t="inlineStr">
        <is>
          <t>ІВ</t>
        </is>
      </c>
      <c r="Q6" s="101" t="n"/>
      <c r="R6" s="101" t="n"/>
      <c r="S6" s="101" t="n"/>
      <c r="T6" s="97" t="n"/>
    </row>
    <row r="7" ht="12.75" customHeight="1" s="52">
      <c r="A7" s="91" t="n">
        <v>1</v>
      </c>
      <c r="B7" s="92" t="inlineStr">
        <is>
          <t>2</t>
        </is>
      </c>
      <c r="C7" s="95" t="n"/>
      <c r="D7" s="95" t="n"/>
      <c r="E7" s="96" t="n"/>
      <c r="F7" s="92" t="inlineStr">
        <is>
          <t>3</t>
        </is>
      </c>
      <c r="G7" s="95" t="n"/>
      <c r="H7" s="96" t="n"/>
      <c r="I7" s="103" t="inlineStr">
        <is>
          <t>4</t>
        </is>
      </c>
      <c r="J7" s="103" t="inlineStr">
        <is>
          <t>5</t>
        </is>
      </c>
      <c r="K7" s="103" t="inlineStr">
        <is>
          <t>6</t>
        </is>
      </c>
      <c r="L7" s="103" t="inlineStr">
        <is>
          <t>7</t>
        </is>
      </c>
      <c r="M7" s="92" t="inlineStr">
        <is>
          <t>8</t>
        </is>
      </c>
      <c r="N7" s="96" t="n"/>
      <c r="O7" s="103" t="inlineStr">
        <is>
          <t>9</t>
        </is>
      </c>
      <c r="P7" s="103" t="inlineStr">
        <is>
          <t>10</t>
        </is>
      </c>
      <c r="Q7" s="103" t="inlineStr">
        <is>
          <t>11</t>
        </is>
      </c>
      <c r="R7" s="103" t="inlineStr">
        <is>
          <t>12</t>
        </is>
      </c>
      <c r="S7" s="92" t="inlineStr">
        <is>
          <t>13</t>
        </is>
      </c>
      <c r="T7" s="97" t="n"/>
    </row>
    <row r="8" ht="12" customHeight="1" s="52">
      <c r="A8" s="104" t="n">
        <v>1</v>
      </c>
      <c r="B8" s="105" t="inlineStr">
        <is>
          <t>Балансові рахунки</t>
        </is>
      </c>
      <c r="C8" s="106" t="n"/>
      <c r="D8" s="106" t="n"/>
      <c r="E8" s="106" t="n"/>
      <c r="F8" s="106" t="n"/>
      <c r="G8" s="106" t="n"/>
      <c r="H8" s="107" t="n"/>
      <c r="I8" s="108" t="n"/>
      <c r="J8" s="108" t="n"/>
      <c r="K8" s="108" t="n"/>
      <c r="L8" s="108" t="n"/>
      <c r="M8" s="109" t="n"/>
      <c r="N8" s="108" t="n"/>
      <c r="O8" s="108" t="n"/>
      <c r="P8" s="108" t="n"/>
      <c r="Q8" s="108" t="n"/>
      <c r="R8" s="108" t="n"/>
      <c r="S8" s="108" t="n"/>
      <c r="T8" s="110" t="n"/>
    </row>
    <row r="9" ht="13.5" customHeight="1" s="52">
      <c r="A9" s="104" t="n">
        <v>2</v>
      </c>
      <c r="B9" s="105" t="inlineStr">
        <is>
          <t>Активи</t>
        </is>
      </c>
      <c r="C9" s="106" t="n"/>
      <c r="D9" s="106" t="n"/>
      <c r="E9" s="106" t="n"/>
      <c r="F9" s="106" t="n"/>
      <c r="G9" s="106" t="n"/>
      <c r="H9" s="107" t="n"/>
      <c r="I9" s="111" t="n"/>
      <c r="J9" s="111" t="n"/>
      <c r="K9" s="111" t="n"/>
      <c r="L9" s="111" t="n"/>
      <c r="M9" s="112" t="n"/>
      <c r="N9" s="111" t="n"/>
      <c r="O9" s="111" t="n"/>
      <c r="P9" s="111" t="n"/>
      <c r="Q9" s="111" t="n"/>
      <c r="R9" s="111" t="n"/>
      <c r="S9" s="111" t="n"/>
      <c r="T9" s="110" t="n"/>
    </row>
    <row r="10" ht="17.25" customHeight="1" s="52">
      <c r="A10" s="104" t="n">
        <v>3</v>
      </c>
      <c r="B10" s="113" t="inlineStr">
        <is>
          <t>Класи 1 - 4</t>
        </is>
      </c>
      <c r="H10" s="114" t="n"/>
      <c r="I10" s="108" t="n"/>
      <c r="J10" s="108" t="n"/>
      <c r="K10" s="108" t="n"/>
      <c r="L10" s="108" t="n"/>
      <c r="M10" s="109" t="n"/>
      <c r="N10" s="108" t="n"/>
      <c r="O10" s="108" t="n"/>
      <c r="P10" s="108" t="n"/>
      <c r="Q10" s="108" t="n"/>
      <c r="R10" s="108" t="n"/>
      <c r="S10" s="108" t="n"/>
      <c r="T10" s="110" t="n"/>
    </row>
    <row r="11" ht="13.5" customHeight="1" s="52">
      <c r="A11" s="104" t="n">
        <v>4</v>
      </c>
      <c r="B11" s="115" t="inlineStr">
        <is>
          <t>Клас 1</t>
        </is>
      </c>
      <c r="C11" s="115" t="inlineStr">
        <is>
          <t>10</t>
        </is>
      </c>
      <c r="D11" s="115" t="inlineStr">
        <is>
          <t>100</t>
        </is>
      </c>
      <c r="E11" s="116" t="n"/>
      <c r="F11" s="115" t="inlineStr">
        <is>
          <t>1001</t>
        </is>
      </c>
      <c r="G11" s="116" t="n"/>
      <c r="H11" s="115" t="inlineStr">
        <is>
          <t>Банкноти та монети в касі банку</t>
        </is>
      </c>
      <c r="I11" s="115" t="inlineStr">
        <is>
          <t>А</t>
        </is>
      </c>
      <c r="J11" s="117" t="n">
        <v>2881154.47915</v>
      </c>
      <c r="K11" s="117" t="n">
        <v>1258377.27175</v>
      </c>
      <c r="L11" s="117" t="n">
        <v>1622777.2074</v>
      </c>
      <c r="M11" s="117" t="n">
        <v>2741564.62351</v>
      </c>
      <c r="N11" s="116" t="n"/>
      <c r="O11" s="117" t="n">
        <v>1220518.44135</v>
      </c>
      <c r="P11" s="117" t="n">
        <v>1521046.18216</v>
      </c>
      <c r="Q11" s="117" t="n">
        <v>827366.57703</v>
      </c>
      <c r="R11" s="117" t="n">
        <v>181416.63295</v>
      </c>
      <c r="S11" s="118" t="n">
        <v>645949.94408</v>
      </c>
      <c r="T11" s="110" t="n"/>
    </row>
    <row r="12" ht="13.5" customHeight="1" s="52">
      <c r="A12" s="104" t="n">
        <v>5</v>
      </c>
      <c r="B12" s="119" t="n"/>
      <c r="C12" s="119" t="n"/>
      <c r="D12" s="119" t="n"/>
      <c r="F12" s="115" t="inlineStr">
        <is>
          <t>1002</t>
        </is>
      </c>
      <c r="G12" s="116" t="n"/>
      <c r="H12" s="115" t="inlineStr">
        <is>
          <t>Банкноти та монети в касі відділень банку</t>
        </is>
      </c>
      <c r="I12" s="115" t="inlineStr">
        <is>
          <t>А</t>
        </is>
      </c>
      <c r="J12" s="117" t="n">
        <v>421596.77406</v>
      </c>
      <c r="K12" s="117" t="n">
        <v>177262.10269</v>
      </c>
      <c r="L12" s="117" t="n">
        <v>244334.67137</v>
      </c>
      <c r="M12" s="117" t="n">
        <v>420605.53698</v>
      </c>
      <c r="N12" s="116" t="n"/>
      <c r="O12" s="117" t="n">
        <v>178404.18309</v>
      </c>
      <c r="P12" s="117" t="n">
        <v>242201.35389</v>
      </c>
      <c r="Q12" s="117" t="n">
        <v>68413.23142</v>
      </c>
      <c r="R12" s="117" t="n">
        <v>15938.65122</v>
      </c>
      <c r="S12" s="118" t="n">
        <v>52474.5802</v>
      </c>
      <c r="T12" s="110" t="n"/>
    </row>
    <row r="13" ht="14.25" customHeight="1" s="52">
      <c r="A13" s="104" t="n">
        <v>6</v>
      </c>
      <c r="B13" s="119" t="n"/>
      <c r="C13" s="119" t="n"/>
      <c r="D13" s="119" t="n"/>
      <c r="F13" s="115" t="inlineStr">
        <is>
          <t>1004</t>
        </is>
      </c>
      <c r="G13" s="116" t="n"/>
      <c r="H13" s="115" t="inlineStr">
        <is>
          <t>Банкноти та монети в банкоматах</t>
        </is>
      </c>
      <c r="I13" s="115" t="inlineStr">
        <is>
          <t>А</t>
        </is>
      </c>
      <c r="J13" s="117" t="n">
        <v>1424777.44</v>
      </c>
      <c r="K13" s="117" t="n">
        <v>1424777.44</v>
      </c>
      <c r="L13" s="117" t="n">
        <v>0</v>
      </c>
      <c r="M13" s="117" t="n">
        <v>1427186.24</v>
      </c>
      <c r="N13" s="116" t="n"/>
      <c r="O13" s="117" t="n">
        <v>1427186.24</v>
      </c>
      <c r="P13" s="117" t="n">
        <v>0</v>
      </c>
      <c r="Q13" s="117" t="n">
        <v>345970.885</v>
      </c>
      <c r="R13" s="117" t="n">
        <v>345970.885</v>
      </c>
      <c r="S13" s="118" t="n">
        <v>0</v>
      </c>
      <c r="T13" s="110" t="n"/>
    </row>
    <row r="14" ht="13.5" customHeight="1" s="52">
      <c r="A14" s="104" t="n">
        <v>7</v>
      </c>
      <c r="B14" s="119" t="n"/>
      <c r="C14" s="119" t="n"/>
      <c r="D14" s="119" t="n"/>
      <c r="F14" s="115" t="inlineStr">
        <is>
          <t>1005</t>
        </is>
      </c>
      <c r="G14" s="116" t="n"/>
      <c r="H14" s="115" t="inlineStr">
        <is>
          <t>Банкноти та монети, інкасовані до перерахування</t>
        </is>
      </c>
      <c r="I14" s="115" t="inlineStr">
        <is>
          <t>А</t>
        </is>
      </c>
      <c r="J14" s="117" t="n">
        <v>94970.07799999999</v>
      </c>
      <c r="K14" s="117" t="n">
        <v>94970.07799999999</v>
      </c>
      <c r="L14" s="117" t="n">
        <v>0</v>
      </c>
      <c r="M14" s="117" t="n">
        <v>94970.07799999999</v>
      </c>
      <c r="N14" s="116" t="n"/>
      <c r="O14" s="117" t="n">
        <v>94970.07799999999</v>
      </c>
      <c r="P14" s="117" t="n">
        <v>0</v>
      </c>
      <c r="Q14" s="117" t="n">
        <v>0</v>
      </c>
      <c r="R14" s="117" t="n">
        <v>0</v>
      </c>
      <c r="S14" s="118" t="n">
        <v>0</v>
      </c>
      <c r="T14" s="110" t="n"/>
    </row>
    <row r="15" ht="13.5" customHeight="1" s="52">
      <c r="A15" s="104" t="n">
        <v>8</v>
      </c>
      <c r="B15" s="119" t="n"/>
      <c r="C15" s="119" t="n"/>
      <c r="D15" s="119" t="n"/>
      <c r="F15" s="115" t="inlineStr">
        <is>
          <t>1006</t>
        </is>
      </c>
      <c r="G15" s="116" t="n"/>
      <c r="H15" s="115" t="inlineStr">
        <is>
          <t>Банкноти та монети на зберіганні в інкасаторській компанії</t>
        </is>
      </c>
      <c r="I15" s="115" t="inlineStr">
        <is>
          <t>А</t>
        </is>
      </c>
      <c r="J15" s="117" t="n">
        <v>0</v>
      </c>
      <c r="K15" s="117" t="n">
        <v>0</v>
      </c>
      <c r="L15" s="117" t="n">
        <v>0</v>
      </c>
      <c r="M15" s="117" t="n">
        <v>0</v>
      </c>
      <c r="N15" s="116" t="n"/>
      <c r="O15" s="117" t="n">
        <v>0</v>
      </c>
      <c r="P15" s="117" t="n">
        <v>0</v>
      </c>
      <c r="Q15" s="117" t="n">
        <v>0</v>
      </c>
      <c r="R15" s="117" t="n">
        <v>0</v>
      </c>
      <c r="S15" s="118" t="n">
        <v>0</v>
      </c>
      <c r="T15" s="110" t="n"/>
    </row>
    <row r="16" ht="13.5" customHeight="1" s="52">
      <c r="A16" s="104" t="n">
        <v>9</v>
      </c>
      <c r="B16" s="119" t="n"/>
      <c r="C16" s="119" t="n"/>
      <c r="D16" s="119" t="n"/>
      <c r="F16" s="115" t="inlineStr">
        <is>
          <t>1007</t>
        </is>
      </c>
      <c r="G16" s="116" t="n"/>
      <c r="H16" s="115" t="inlineStr">
        <is>
          <t>Банкноти та монети в дорозі</t>
        </is>
      </c>
      <c r="I16" s="115" t="inlineStr">
        <is>
          <t>А</t>
        </is>
      </c>
      <c r="J16" s="117" t="n">
        <v>880991.48218</v>
      </c>
      <c r="K16" s="117" t="n">
        <v>256979.6484</v>
      </c>
      <c r="L16" s="117" t="n">
        <v>624011.83378</v>
      </c>
      <c r="M16" s="117" t="n">
        <v>911560.79834</v>
      </c>
      <c r="N16" s="116" t="n"/>
      <c r="O16" s="117" t="n">
        <v>261956.4484</v>
      </c>
      <c r="P16" s="117" t="n">
        <v>649604.34994</v>
      </c>
      <c r="Q16" s="117" t="n">
        <v>0</v>
      </c>
      <c r="R16" s="117" t="n">
        <v>0</v>
      </c>
      <c r="S16" s="118" t="n">
        <v>0</v>
      </c>
      <c r="T16" s="110" t="n"/>
    </row>
    <row r="17" ht="13.5" customHeight="1" s="52">
      <c r="A17" s="104" t="n">
        <v>10</v>
      </c>
      <c r="B17" s="119" t="n"/>
      <c r="C17" s="119" t="n"/>
      <c r="D17" s="119" t="n"/>
      <c r="F17" s="120" t="inlineStr">
        <is>
          <t>Група 100 - Усього</t>
        </is>
      </c>
      <c r="G17" s="116" t="n"/>
      <c r="H17" s="116" t="n"/>
      <c r="I17" s="120" t="n"/>
      <c r="J17" s="121" t="n">
        <v>5703490.25339</v>
      </c>
      <c r="K17" s="121" t="n">
        <v>3212366.54084</v>
      </c>
      <c r="L17" s="121" t="n">
        <v>2491123.71255</v>
      </c>
      <c r="M17" s="121" t="n">
        <v>5595887.27683</v>
      </c>
      <c r="N17" s="116" t="n"/>
      <c r="O17" s="121" t="n">
        <v>3183035.39084</v>
      </c>
      <c r="P17" s="121" t="n">
        <v>2412851.88599</v>
      </c>
      <c r="Q17" s="121" t="n">
        <v>1241750.69345</v>
      </c>
      <c r="R17" s="121" t="n">
        <v>543326.16917</v>
      </c>
      <c r="S17" s="122" t="n">
        <v>698424.52428</v>
      </c>
      <c r="T17" s="110" t="n"/>
    </row>
    <row r="18" ht="14.25" customHeight="1" s="52">
      <c r="A18" s="104" t="n">
        <v>11</v>
      </c>
      <c r="B18" s="119" t="n"/>
      <c r="C18" s="119" t="n"/>
      <c r="D18" s="115" t="inlineStr">
        <is>
          <t>101</t>
        </is>
      </c>
      <c r="E18" s="116" t="n"/>
      <c r="F18" s="115" t="inlineStr">
        <is>
          <t>1011</t>
        </is>
      </c>
      <c r="G18" s="116" t="n"/>
      <c r="H18" s="115" t="inlineStr">
        <is>
          <t>Дорожні чеки в касі банку</t>
        </is>
      </c>
      <c r="I18" s="115" t="inlineStr">
        <is>
          <t>А</t>
        </is>
      </c>
      <c r="J18" s="117" t="n">
        <v>0</v>
      </c>
      <c r="K18" s="117" t="n">
        <v>0</v>
      </c>
      <c r="L18" s="117" t="n">
        <v>0</v>
      </c>
      <c r="M18" s="117" t="n">
        <v>0</v>
      </c>
      <c r="N18" s="116" t="n"/>
      <c r="O18" s="117" t="n">
        <v>0</v>
      </c>
      <c r="P18" s="117" t="n">
        <v>0</v>
      </c>
      <c r="Q18" s="117" t="n">
        <v>0</v>
      </c>
      <c r="R18" s="117" t="n">
        <v>0</v>
      </c>
      <c r="S18" s="118" t="n">
        <v>0</v>
      </c>
      <c r="T18" s="110" t="n"/>
    </row>
    <row r="19" ht="13.5" customHeight="1" s="52">
      <c r="A19" s="104" t="n">
        <v>12</v>
      </c>
      <c r="B19" s="119" t="n"/>
      <c r="C19" s="119" t="n"/>
      <c r="D19" s="119" t="n"/>
      <c r="F19" s="115" t="inlineStr">
        <is>
          <t>1012</t>
        </is>
      </c>
      <c r="G19" s="116" t="n"/>
      <c r="H19" s="115" t="inlineStr">
        <is>
          <t>Дорожні чеки в касі відділень банку</t>
        </is>
      </c>
      <c r="I19" s="115" t="inlineStr">
        <is>
          <t>А</t>
        </is>
      </c>
      <c r="J19" s="117" t="n">
        <v>0</v>
      </c>
      <c r="K19" s="117" t="n">
        <v>0</v>
      </c>
      <c r="L19" s="117" t="n">
        <v>0</v>
      </c>
      <c r="M19" s="117" t="n">
        <v>0</v>
      </c>
      <c r="N19" s="116" t="n"/>
      <c r="O19" s="117" t="n">
        <v>0</v>
      </c>
      <c r="P19" s="117" t="n">
        <v>0</v>
      </c>
      <c r="Q19" s="117" t="n">
        <v>0</v>
      </c>
      <c r="R19" s="117" t="n">
        <v>0</v>
      </c>
      <c r="S19" s="118" t="n">
        <v>0</v>
      </c>
      <c r="T19" s="110" t="n"/>
    </row>
    <row r="20" ht="13.5" customHeight="1" s="52">
      <c r="A20" s="104" t="n">
        <v>13</v>
      </c>
      <c r="B20" s="119" t="n"/>
      <c r="C20" s="119" t="n"/>
      <c r="D20" s="119" t="n"/>
      <c r="F20" s="120" t="inlineStr">
        <is>
          <t>Група 101 - Усього</t>
        </is>
      </c>
      <c r="G20" s="116" t="n"/>
      <c r="H20" s="116" t="n"/>
      <c r="I20" s="120" t="n"/>
      <c r="J20" s="121" t="n">
        <v>0</v>
      </c>
      <c r="K20" s="121" t="n">
        <v>0</v>
      </c>
      <c r="L20" s="121" t="n">
        <v>0</v>
      </c>
      <c r="M20" s="121" t="n">
        <v>0</v>
      </c>
      <c r="N20" s="116" t="n"/>
      <c r="O20" s="121" t="n">
        <v>0</v>
      </c>
      <c r="P20" s="121" t="n">
        <v>0</v>
      </c>
      <c r="Q20" s="121" t="n">
        <v>0</v>
      </c>
      <c r="R20" s="121" t="n">
        <v>0</v>
      </c>
      <c r="S20" s="122" t="n">
        <v>0</v>
      </c>
      <c r="T20" s="110" t="n"/>
    </row>
    <row r="21" ht="13.5" customHeight="1" s="52">
      <c r="A21" s="104" t="n">
        <v>14</v>
      </c>
      <c r="B21" s="119" t="n"/>
      <c r="C21" s="119" t="n"/>
      <c r="D21" s="115" t="inlineStr">
        <is>
          <t>109</t>
        </is>
      </c>
      <c r="E21" s="116" t="n"/>
      <c r="F21" s="115" t="inlineStr">
        <is>
          <t>1090</t>
        </is>
      </c>
      <c r="G21" s="116" t="n"/>
      <c r="H21" s="115" t="inlineStr">
        <is>
          <t>Резерви за готівковими коштами, наявність яких є непідтвердженою</t>
        </is>
      </c>
      <c r="I21" s="115" t="inlineStr">
        <is>
          <t>П</t>
        </is>
      </c>
      <c r="J21" s="117" t="n">
        <v>533.62252</v>
      </c>
      <c r="K21" s="117" t="n">
        <v>0</v>
      </c>
      <c r="L21" s="117" t="n">
        <v>533.62252</v>
      </c>
      <c r="M21" s="117" t="n">
        <v>785.03309</v>
      </c>
      <c r="N21" s="116" t="n"/>
      <c r="O21" s="117" t="n">
        <v>0</v>
      </c>
      <c r="P21" s="117" t="n">
        <v>785.03309</v>
      </c>
      <c r="Q21" s="117" t="n">
        <v>-50810.58854</v>
      </c>
      <c r="R21" s="117" t="n">
        <v>-5377.89987</v>
      </c>
      <c r="S21" s="118" t="n">
        <v>-45432.68867</v>
      </c>
      <c r="T21" s="110" t="n"/>
    </row>
    <row r="22" ht="13.5" customHeight="1" s="52">
      <c r="A22" s="104" t="n">
        <v>15</v>
      </c>
      <c r="B22" s="119" t="n"/>
      <c r="C22" s="119" t="n"/>
      <c r="D22" s="119" t="n"/>
      <c r="F22" s="120" t="inlineStr">
        <is>
          <t>Група 109 - Усього</t>
        </is>
      </c>
      <c r="G22" s="116" t="n"/>
      <c r="H22" s="116" t="n"/>
      <c r="I22" s="120" t="n"/>
      <c r="J22" s="121" t="n">
        <v>533.62252</v>
      </c>
      <c r="K22" s="121" t="n">
        <v>0</v>
      </c>
      <c r="L22" s="121" t="n">
        <v>533.62252</v>
      </c>
      <c r="M22" s="121" t="n">
        <v>785.03309</v>
      </c>
      <c r="N22" s="116" t="n"/>
      <c r="O22" s="121" t="n">
        <v>0</v>
      </c>
      <c r="P22" s="121" t="n">
        <v>785.03309</v>
      </c>
      <c r="Q22" s="121" t="n">
        <v>-50810.58854</v>
      </c>
      <c r="R22" s="121" t="n">
        <v>-5377.89987</v>
      </c>
      <c r="S22" s="122" t="n">
        <v>-45432.68867</v>
      </c>
      <c r="T22" s="110" t="n"/>
    </row>
    <row r="23" ht="18.75" customHeight="1" s="52">
      <c r="A23" s="104" t="n">
        <v>16</v>
      </c>
      <c r="B23" s="119" t="n"/>
      <c r="C23" s="119" t="n"/>
      <c r="D23" s="120" t="inlineStr">
        <is>
          <t>Розділ 10 - Усього</t>
        </is>
      </c>
      <c r="E23" s="116" t="n"/>
      <c r="F23" s="120" t="n"/>
      <c r="G23" s="116" t="n"/>
      <c r="H23" s="116" t="n"/>
      <c r="I23" s="120" t="n"/>
      <c r="J23" s="121" t="n">
        <v>5704023.87591</v>
      </c>
      <c r="K23" s="121" t="n">
        <v>3212366.54084</v>
      </c>
      <c r="L23" s="121" t="n">
        <v>2491657.33507</v>
      </c>
      <c r="M23" s="121" t="n">
        <v>5596672.30992</v>
      </c>
      <c r="N23" s="116" t="n"/>
      <c r="O23" s="121" t="n">
        <v>3183035.39084</v>
      </c>
      <c r="P23" s="121" t="n">
        <v>2413636.91908</v>
      </c>
      <c r="Q23" s="121" t="n">
        <v>1190940.10491</v>
      </c>
      <c r="R23" s="121" t="n">
        <v>537948.2693</v>
      </c>
      <c r="S23" s="122" t="n">
        <v>652991.83561</v>
      </c>
      <c r="T23" s="110" t="n"/>
    </row>
    <row r="24" ht="13.5" customHeight="1" s="52">
      <c r="A24" s="104" t="n">
        <v>17</v>
      </c>
      <c r="B24" s="119" t="n"/>
      <c r="C24" s="115" t="inlineStr">
        <is>
          <t>11</t>
        </is>
      </c>
      <c r="D24" s="115" t="inlineStr">
        <is>
          <t>110</t>
        </is>
      </c>
      <c r="E24" s="116" t="n"/>
      <c r="F24" s="115" t="inlineStr">
        <is>
          <t>1101</t>
        </is>
      </c>
      <c r="G24" s="116" t="n"/>
      <c r="H24" s="115" t="inlineStr">
        <is>
          <t>Банківські метали в банку</t>
        </is>
      </c>
      <c r="I24" s="115" t="inlineStr">
        <is>
          <t>А</t>
        </is>
      </c>
      <c r="J24" s="117" t="n">
        <v>0</v>
      </c>
      <c r="K24" s="117" t="n">
        <v>0</v>
      </c>
      <c r="L24" s="117" t="n">
        <v>0</v>
      </c>
      <c r="M24" s="117" t="n">
        <v>0</v>
      </c>
      <c r="N24" s="116" t="n"/>
      <c r="O24" s="117" t="n">
        <v>0</v>
      </c>
      <c r="P24" s="117" t="n">
        <v>0</v>
      </c>
      <c r="Q24" s="117" t="n">
        <v>0</v>
      </c>
      <c r="R24" s="117" t="n">
        <v>0</v>
      </c>
      <c r="S24" s="118" t="n">
        <v>0</v>
      </c>
      <c r="T24" s="110" t="n"/>
    </row>
    <row r="25" ht="13.5" customHeight="1" s="52">
      <c r="A25" s="104" t="n">
        <v>18</v>
      </c>
      <c r="B25" s="119" t="n"/>
      <c r="C25" s="119" t="n"/>
      <c r="D25" s="119" t="n"/>
      <c r="F25" s="115" t="inlineStr">
        <is>
          <t>1102</t>
        </is>
      </c>
      <c r="G25" s="116" t="n"/>
      <c r="H25" s="115" t="inlineStr">
        <is>
          <t>Банківські метали у відділенні банку</t>
        </is>
      </c>
      <c r="I25" s="115" t="inlineStr">
        <is>
          <t>А</t>
        </is>
      </c>
      <c r="J25" s="117" t="n">
        <v>0</v>
      </c>
      <c r="K25" s="117" t="n">
        <v>0</v>
      </c>
      <c r="L25" s="117" t="n">
        <v>0</v>
      </c>
      <c r="M25" s="117" t="n">
        <v>0</v>
      </c>
      <c r="N25" s="116" t="n"/>
      <c r="O25" s="117" t="n">
        <v>0</v>
      </c>
      <c r="P25" s="117" t="n">
        <v>0</v>
      </c>
      <c r="Q25" s="117" t="n">
        <v>0</v>
      </c>
      <c r="R25" s="117" t="n">
        <v>0</v>
      </c>
      <c r="S25" s="118" t="n">
        <v>0</v>
      </c>
      <c r="T25" s="110" t="n"/>
    </row>
    <row r="26" ht="13.5" customHeight="1" s="52">
      <c r="A26" s="104" t="n">
        <v>19</v>
      </c>
      <c r="B26" s="119" t="n"/>
      <c r="C26" s="119" t="n"/>
      <c r="D26" s="119" t="n"/>
      <c r="F26" s="115" t="inlineStr">
        <is>
          <t>1107</t>
        </is>
      </c>
      <c r="G26" s="116" t="n"/>
      <c r="H26" s="115" t="inlineStr">
        <is>
          <t>Банківські метали в дорозі</t>
        </is>
      </c>
      <c r="I26" s="115" t="inlineStr">
        <is>
          <t>А</t>
        </is>
      </c>
      <c r="J26" s="117" t="n">
        <v>0</v>
      </c>
      <c r="K26" s="117" t="n">
        <v>0</v>
      </c>
      <c r="L26" s="117" t="n">
        <v>0</v>
      </c>
      <c r="M26" s="117" t="n">
        <v>0</v>
      </c>
      <c r="N26" s="116" t="n"/>
      <c r="O26" s="117" t="n">
        <v>0</v>
      </c>
      <c r="P26" s="117" t="n">
        <v>0</v>
      </c>
      <c r="Q26" s="117" t="n">
        <v>0</v>
      </c>
      <c r="R26" s="117" t="n">
        <v>0</v>
      </c>
      <c r="S26" s="118" t="n">
        <v>0</v>
      </c>
      <c r="T26" s="110" t="n"/>
    </row>
    <row r="27" ht="13.5" customHeight="1" s="52">
      <c r="A27" s="104" t="n">
        <v>20</v>
      </c>
      <c r="B27" s="119" t="n"/>
      <c r="C27" s="119" t="n"/>
      <c r="D27" s="119" t="n"/>
      <c r="F27" s="120" t="inlineStr">
        <is>
          <t>Група 110 - Усього</t>
        </is>
      </c>
      <c r="G27" s="116" t="n"/>
      <c r="H27" s="116" t="n"/>
      <c r="I27" s="120" t="n"/>
      <c r="J27" s="121" t="n">
        <v>0</v>
      </c>
      <c r="K27" s="121" t="n">
        <v>0</v>
      </c>
      <c r="L27" s="121" t="n">
        <v>0</v>
      </c>
      <c r="M27" s="121" t="n">
        <v>0</v>
      </c>
      <c r="N27" s="116" t="n"/>
      <c r="O27" s="121" t="n">
        <v>0</v>
      </c>
      <c r="P27" s="121" t="n">
        <v>0</v>
      </c>
      <c r="Q27" s="121" t="n">
        <v>0</v>
      </c>
      <c r="R27" s="121" t="n">
        <v>0</v>
      </c>
      <c r="S27" s="122" t="n">
        <v>0</v>
      </c>
      <c r="T27" s="110" t="n"/>
    </row>
    <row r="28" ht="14.25" customHeight="1" s="52">
      <c r="A28" s="104" t="n">
        <v>21</v>
      </c>
      <c r="B28" s="119" t="n"/>
      <c r="C28" s="119" t="n"/>
      <c r="D28" s="115" t="inlineStr">
        <is>
          <t>119</t>
        </is>
      </c>
      <c r="E28" s="116" t="n"/>
      <c r="F28" s="115" t="inlineStr">
        <is>
          <t>1190</t>
        </is>
      </c>
      <c r="G28" s="116" t="n"/>
      <c r="H28" s="115" t="inlineStr">
        <is>
          <t>Резерви за банківськими металами, наявність яких є непідтвердженою</t>
        </is>
      </c>
      <c r="I28" s="115" t="inlineStr">
        <is>
          <t>П</t>
        </is>
      </c>
      <c r="J28" s="117" t="n">
        <v>0</v>
      </c>
      <c r="K28" s="117" t="n">
        <v>0</v>
      </c>
      <c r="L28" s="117" t="n">
        <v>0</v>
      </c>
      <c r="M28" s="117" t="n">
        <v>0</v>
      </c>
      <c r="N28" s="116" t="n"/>
      <c r="O28" s="117" t="n">
        <v>0</v>
      </c>
      <c r="P28" s="117" t="n">
        <v>0</v>
      </c>
      <c r="Q28" s="117" t="n">
        <v>0</v>
      </c>
      <c r="R28" s="117" t="n">
        <v>0</v>
      </c>
      <c r="S28" s="118" t="n">
        <v>0</v>
      </c>
      <c r="T28" s="110" t="n"/>
    </row>
    <row r="29" ht="13.5" customHeight="1" s="52">
      <c r="A29" s="104" t="n">
        <v>22</v>
      </c>
      <c r="B29" s="119" t="n"/>
      <c r="C29" s="119" t="n"/>
      <c r="D29" s="119" t="n"/>
      <c r="F29" s="120" t="inlineStr">
        <is>
          <t>Група 119 - Усього</t>
        </is>
      </c>
      <c r="G29" s="116" t="n"/>
      <c r="H29" s="116" t="n"/>
      <c r="I29" s="120" t="n"/>
      <c r="J29" s="121" t="n">
        <v>0</v>
      </c>
      <c r="K29" s="121" t="n">
        <v>0</v>
      </c>
      <c r="L29" s="121" t="n">
        <v>0</v>
      </c>
      <c r="M29" s="121" t="n">
        <v>0</v>
      </c>
      <c r="N29" s="116" t="n"/>
      <c r="O29" s="121" t="n">
        <v>0</v>
      </c>
      <c r="P29" s="121" t="n">
        <v>0</v>
      </c>
      <c r="Q29" s="121" t="n">
        <v>0</v>
      </c>
      <c r="R29" s="121" t="n">
        <v>0</v>
      </c>
      <c r="S29" s="122" t="n">
        <v>0</v>
      </c>
      <c r="T29" s="110" t="n"/>
    </row>
    <row r="30" ht="22.5" customHeight="1" s="52">
      <c r="A30" s="104" t="n">
        <v>23</v>
      </c>
      <c r="B30" s="119" t="n"/>
      <c r="C30" s="119" t="n"/>
      <c r="D30" s="120" t="inlineStr">
        <is>
          <t>Розділ 11 - Усього</t>
        </is>
      </c>
      <c r="E30" s="116" t="n"/>
      <c r="F30" s="120" t="n"/>
      <c r="G30" s="116" t="n"/>
      <c r="H30" s="116" t="n"/>
      <c r="I30" s="120" t="n"/>
      <c r="J30" s="121" t="n">
        <v>0</v>
      </c>
      <c r="K30" s="121" t="n">
        <v>0</v>
      </c>
      <c r="L30" s="121" t="n">
        <v>0</v>
      </c>
      <c r="M30" s="121" t="n">
        <v>0</v>
      </c>
      <c r="N30" s="116" t="n"/>
      <c r="O30" s="121" t="n">
        <v>0</v>
      </c>
      <c r="P30" s="121" t="n">
        <v>0</v>
      </c>
      <c r="Q30" s="121" t="n">
        <v>0</v>
      </c>
      <c r="R30" s="121" t="n">
        <v>0</v>
      </c>
      <c r="S30" s="122" t="n">
        <v>0</v>
      </c>
      <c r="T30" s="110" t="n"/>
    </row>
    <row r="31" ht="13.5" customHeight="1" s="52">
      <c r="A31" s="104" t="n">
        <v>24</v>
      </c>
      <c r="B31" s="119" t="n"/>
      <c r="C31" s="115" t="inlineStr">
        <is>
          <t>12</t>
        </is>
      </c>
      <c r="D31" s="115" t="inlineStr">
        <is>
          <t>120</t>
        </is>
      </c>
      <c r="E31" s="116" t="n"/>
      <c r="F31" s="115" t="inlineStr">
        <is>
          <t>1200</t>
        </is>
      </c>
      <c r="G31" s="116" t="n"/>
      <c r="H31" s="115" t="inlineStr">
        <is>
          <t>Кореспондентський рахунок банку в Національному банку України</t>
        </is>
      </c>
      <c r="I31" s="115" t="inlineStr">
        <is>
          <t>А</t>
        </is>
      </c>
      <c r="J31" s="117" t="n">
        <v>566066911.3183</v>
      </c>
      <c r="K31" s="117" t="n">
        <v>566066911.3183</v>
      </c>
      <c r="L31" s="117" t="n">
        <v>0</v>
      </c>
      <c r="M31" s="117" t="n">
        <v>561617095.44981</v>
      </c>
      <c r="N31" s="116" t="n"/>
      <c r="O31" s="117" t="n">
        <v>561617095.44981</v>
      </c>
      <c r="P31" s="117" t="n">
        <v>0</v>
      </c>
      <c r="Q31" s="117" t="n">
        <v>22042209.74529</v>
      </c>
      <c r="R31" s="117" t="n">
        <v>22042209.74529</v>
      </c>
      <c r="S31" s="118" t="n">
        <v>0</v>
      </c>
      <c r="T31" s="110" t="n"/>
    </row>
    <row r="32" ht="13.5" customHeight="1" s="52">
      <c r="A32" s="104" t="n">
        <v>25</v>
      </c>
      <c r="B32" s="119" t="n"/>
      <c r="C32" s="119" t="n"/>
      <c r="D32" s="119" t="n"/>
      <c r="F32" s="115" t="inlineStr">
        <is>
          <t>1202</t>
        </is>
      </c>
      <c r="G32" s="116" t="n"/>
      <c r="H32" s="115" t="inlineStr">
        <is>
          <t>Кошти банків за рахунками умовного зберігання (ескроу) у Національному банку України</t>
        </is>
      </c>
      <c r="I32" s="115" t="inlineStr">
        <is>
          <t>А</t>
        </is>
      </c>
      <c r="J32" s="117" t="n">
        <v>0</v>
      </c>
      <c r="K32" s="117" t="n">
        <v>0</v>
      </c>
      <c r="L32" s="117" t="n">
        <v>0</v>
      </c>
      <c r="M32" s="117" t="n">
        <v>0</v>
      </c>
      <c r="N32" s="116" t="n"/>
      <c r="O32" s="117" t="n">
        <v>0</v>
      </c>
      <c r="P32" s="117" t="n">
        <v>0</v>
      </c>
      <c r="Q32" s="117" t="n">
        <v>0</v>
      </c>
      <c r="R32" s="117" t="n">
        <v>0</v>
      </c>
      <c r="S32" s="118" t="n">
        <v>0</v>
      </c>
      <c r="T32" s="110" t="n"/>
    </row>
    <row r="33" ht="14.25" customHeight="1" s="52">
      <c r="A33" s="104" t="n">
        <v>26</v>
      </c>
      <c r="B33" s="119" t="n"/>
      <c r="C33" s="119" t="n"/>
      <c r="D33" s="119" t="n"/>
      <c r="F33" s="115" t="inlineStr">
        <is>
          <t>1205</t>
        </is>
      </c>
      <c r="G33" s="116" t="n"/>
      <c r="H33" s="115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15" t="inlineStr">
        <is>
          <t>А</t>
        </is>
      </c>
      <c r="J33" s="117" t="n">
        <v>0</v>
      </c>
      <c r="K33" s="117" t="n">
        <v>0</v>
      </c>
      <c r="L33" s="117" t="n">
        <v>0</v>
      </c>
      <c r="M33" s="117" t="n">
        <v>0</v>
      </c>
      <c r="N33" s="116" t="n"/>
      <c r="O33" s="117" t="n">
        <v>0</v>
      </c>
      <c r="P33" s="117" t="n">
        <v>0</v>
      </c>
      <c r="Q33" s="117" t="n">
        <v>0</v>
      </c>
      <c r="R33" s="117" t="n">
        <v>0</v>
      </c>
      <c r="S33" s="118" t="n">
        <v>0</v>
      </c>
      <c r="T33" s="110" t="n"/>
    </row>
    <row r="34" ht="13.5" customHeight="1" s="52">
      <c r="A34" s="104" t="n">
        <v>27</v>
      </c>
      <c r="B34" s="119" t="n"/>
      <c r="C34" s="119" t="n"/>
      <c r="D34" s="119" t="n"/>
      <c r="F34" s="115" t="inlineStr">
        <is>
          <t>1208</t>
        </is>
      </c>
      <c r="G34" s="116" t="n"/>
      <c r="H34" s="115" t="inlineStr">
        <is>
          <t>Нараховані доходи за коштами на вимогу в Національному банку України</t>
        </is>
      </c>
      <c r="I34" s="115" t="inlineStr">
        <is>
          <t>А</t>
        </is>
      </c>
      <c r="J34" s="117" t="n">
        <v>0</v>
      </c>
      <c r="K34" s="117" t="n">
        <v>0</v>
      </c>
      <c r="L34" s="117" t="n">
        <v>0</v>
      </c>
      <c r="M34" s="117" t="n">
        <v>0</v>
      </c>
      <c r="N34" s="116" t="n"/>
      <c r="O34" s="117" t="n">
        <v>0</v>
      </c>
      <c r="P34" s="117" t="n">
        <v>0</v>
      </c>
      <c r="Q34" s="117" t="n">
        <v>0</v>
      </c>
      <c r="R34" s="117" t="n">
        <v>0</v>
      </c>
      <c r="S34" s="118" t="n">
        <v>0</v>
      </c>
      <c r="T34" s="110" t="n"/>
    </row>
    <row r="35" ht="13.5" customHeight="1" s="52">
      <c r="A35" s="104" t="n">
        <v>28</v>
      </c>
      <c r="B35" s="119" t="n"/>
      <c r="C35" s="119" t="n"/>
      <c r="D35" s="119" t="n"/>
      <c r="F35" s="120" t="inlineStr">
        <is>
          <t>Група 120 - Усього</t>
        </is>
      </c>
      <c r="G35" s="116" t="n"/>
      <c r="H35" s="116" t="n"/>
      <c r="I35" s="120" t="n"/>
      <c r="J35" s="121" t="n">
        <v>566066911.3183</v>
      </c>
      <c r="K35" s="121" t="n">
        <v>566066911.3183</v>
      </c>
      <c r="L35" s="121" t="n">
        <v>0</v>
      </c>
      <c r="M35" s="121" t="n">
        <v>561617095.44981</v>
      </c>
      <c r="N35" s="116" t="n"/>
      <c r="O35" s="121" t="n">
        <v>561617095.44981</v>
      </c>
      <c r="P35" s="121" t="n">
        <v>0</v>
      </c>
      <c r="Q35" s="121" t="n">
        <v>22042209.74529</v>
      </c>
      <c r="R35" s="121" t="n">
        <v>22042209.74529</v>
      </c>
      <c r="S35" s="122" t="n">
        <v>0</v>
      </c>
      <c r="T35" s="110" t="n"/>
    </row>
    <row r="36" ht="17.25" customHeight="1" s="52">
      <c r="A36" s="104" t="n">
        <v>29</v>
      </c>
      <c r="B36" s="119" t="n"/>
      <c r="C36" s="119" t="n"/>
      <c r="D36" s="120" t="inlineStr">
        <is>
          <t>Розділ 12 - Усього</t>
        </is>
      </c>
      <c r="E36" s="116" t="n"/>
      <c r="F36" s="120" t="n"/>
      <c r="G36" s="116" t="n"/>
      <c r="H36" s="116" t="n"/>
      <c r="I36" s="120" t="n"/>
      <c r="J36" s="121" t="n">
        <v>566066911.3183</v>
      </c>
      <c r="K36" s="121" t="n">
        <v>566066911.3183</v>
      </c>
      <c r="L36" s="121" t="n">
        <v>0</v>
      </c>
      <c r="M36" s="121" t="n">
        <v>561617095.44981</v>
      </c>
      <c r="N36" s="116" t="n"/>
      <c r="O36" s="121" t="n">
        <v>561617095.44981</v>
      </c>
      <c r="P36" s="121" t="n">
        <v>0</v>
      </c>
      <c r="Q36" s="121" t="n">
        <v>22042209.74529</v>
      </c>
      <c r="R36" s="121" t="n">
        <v>22042209.74529</v>
      </c>
      <c r="S36" s="122" t="n">
        <v>0</v>
      </c>
      <c r="T36" s="110" t="n"/>
    </row>
    <row r="37" ht="13.5" customHeight="1" s="52">
      <c r="A37" s="104" t="n">
        <v>30</v>
      </c>
      <c r="B37" s="119" t="n"/>
      <c r="C37" s="115" t="inlineStr">
        <is>
          <t>14</t>
        </is>
      </c>
      <c r="D37" s="115" t="inlineStr">
        <is>
          <t>140</t>
        </is>
      </c>
      <c r="E37" s="116" t="n"/>
      <c r="F37" s="115" t="inlineStr">
        <is>
          <t>1400</t>
        </is>
      </c>
      <c r="G37" s="116" t="n"/>
      <c r="H37" s="115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15" t="inlineStr">
        <is>
          <t>А</t>
        </is>
      </c>
      <c r="J37" s="117" t="n">
        <v>9461457.3838</v>
      </c>
      <c r="K37" s="117" t="n">
        <v>5951813</v>
      </c>
      <c r="L37" s="117" t="n">
        <v>3509644.3838</v>
      </c>
      <c r="M37" s="117" t="n">
        <v>12068323.2333</v>
      </c>
      <c r="N37" s="116" t="n"/>
      <c r="O37" s="117" t="n">
        <v>8995306</v>
      </c>
      <c r="P37" s="117" t="n">
        <v>3073017.2333</v>
      </c>
      <c r="Q37" s="117" t="n">
        <v>13863167.8837</v>
      </c>
      <c r="R37" s="117" t="n">
        <v>13246549</v>
      </c>
      <c r="S37" s="118" t="n">
        <v>616618.8837</v>
      </c>
      <c r="T37" s="110" t="n"/>
    </row>
    <row r="38" ht="14.25" customHeight="1" s="52">
      <c r="A38" s="104" t="n">
        <v>31</v>
      </c>
      <c r="B38" s="119" t="n"/>
      <c r="C38" s="119" t="n"/>
      <c r="D38" s="119" t="n"/>
      <c r="F38" s="115" t="inlineStr">
        <is>
          <t>1405</t>
        </is>
      </c>
      <c r="G38" s="116" t="n"/>
      <c r="H38" s="115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15" t="inlineStr">
        <is>
          <t>А</t>
        </is>
      </c>
      <c r="J38" s="117" t="n">
        <v>374584.69016</v>
      </c>
      <c r="K38" s="117" t="n">
        <v>372410.19064</v>
      </c>
      <c r="L38" s="117" t="n">
        <v>2174.49952</v>
      </c>
      <c r="M38" s="117" t="n">
        <v>2627750.77248</v>
      </c>
      <c r="N38" s="116" t="n"/>
      <c r="O38" s="117" t="n">
        <v>2625165.23745</v>
      </c>
      <c r="P38" s="117" t="n">
        <v>2585.53503</v>
      </c>
      <c r="Q38" s="117" t="n">
        <v>6054103.613</v>
      </c>
      <c r="R38" s="117" t="n">
        <v>6053531.03124</v>
      </c>
      <c r="S38" s="118" t="n">
        <v>572.58176</v>
      </c>
      <c r="T38" s="110" t="n"/>
    </row>
    <row r="39" ht="13.5" customHeight="1" s="52">
      <c r="A39" s="104" t="n">
        <v>32</v>
      </c>
      <c r="B39" s="119" t="n"/>
      <c r="C39" s="119" t="n"/>
      <c r="D39" s="119" t="n"/>
      <c r="F39" s="119" t="n"/>
      <c r="H39" s="119" t="n"/>
      <c r="I39" s="115" t="inlineStr">
        <is>
          <t>П</t>
        </is>
      </c>
      <c r="J39" s="117" t="n">
        <v>0</v>
      </c>
      <c r="K39" s="117" t="n">
        <v>0</v>
      </c>
      <c r="L39" s="117" t="n">
        <v>0</v>
      </c>
      <c r="M39" s="117" t="n">
        <v>0</v>
      </c>
      <c r="N39" s="116" t="n"/>
      <c r="O39" s="117" t="n">
        <v>0</v>
      </c>
      <c r="P39" s="117" t="n">
        <v>0</v>
      </c>
      <c r="Q39" s="117" t="n">
        <v>-57653.27248</v>
      </c>
      <c r="R39" s="117" t="n">
        <v>-57281.83197</v>
      </c>
      <c r="S39" s="118" t="n">
        <v>-371.44051</v>
      </c>
      <c r="T39" s="110" t="n"/>
    </row>
    <row r="40" ht="13.5" customHeight="1" s="52">
      <c r="A40" s="104" t="n">
        <v>33</v>
      </c>
      <c r="B40" s="119" t="n"/>
      <c r="C40" s="119" t="n"/>
      <c r="D40" s="119" t="n"/>
      <c r="F40" s="115" t="inlineStr">
        <is>
          <t>1406</t>
        </is>
      </c>
      <c r="G40" s="116" t="n"/>
      <c r="H40" s="11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15" t="inlineStr">
        <is>
          <t>А</t>
        </is>
      </c>
      <c r="J40" s="117" t="n">
        <v>76966.68584999999</v>
      </c>
      <c r="K40" s="117" t="n">
        <v>72049.04496</v>
      </c>
      <c r="L40" s="117" t="n">
        <v>4917.64089</v>
      </c>
      <c r="M40" s="117" t="n">
        <v>60453.48178</v>
      </c>
      <c r="N40" s="116" t="n"/>
      <c r="O40" s="117" t="n">
        <v>56658.2972</v>
      </c>
      <c r="P40" s="117" t="n">
        <v>3795.18458</v>
      </c>
      <c r="Q40" s="117" t="n">
        <v>704401.0690200001</v>
      </c>
      <c r="R40" s="117" t="n">
        <v>703238.50844</v>
      </c>
      <c r="S40" s="118" t="n">
        <v>1162.56058</v>
      </c>
      <c r="T40" s="110" t="n"/>
    </row>
    <row r="41" ht="13.5" customHeight="1" s="52">
      <c r="A41" s="104" t="n">
        <v>34</v>
      </c>
      <c r="B41" s="119" t="n"/>
      <c r="C41" s="119" t="n"/>
      <c r="D41" s="119" t="n"/>
      <c r="F41" s="119" t="n"/>
      <c r="H41" s="119" t="n"/>
      <c r="I41" s="115" t="inlineStr">
        <is>
          <t>П</t>
        </is>
      </c>
      <c r="J41" s="117" t="n">
        <v>0</v>
      </c>
      <c r="K41" s="117" t="n">
        <v>0</v>
      </c>
      <c r="L41" s="117" t="n">
        <v>0</v>
      </c>
      <c r="M41" s="117" t="n">
        <v>0</v>
      </c>
      <c r="N41" s="116" t="n"/>
      <c r="O41" s="117" t="n">
        <v>0</v>
      </c>
      <c r="P41" s="117" t="n">
        <v>0</v>
      </c>
      <c r="Q41" s="117" t="n">
        <v>-15932.68556</v>
      </c>
      <c r="R41" s="117" t="n">
        <v>-15929.24291</v>
      </c>
      <c r="S41" s="118" t="n">
        <v>-3.44265</v>
      </c>
      <c r="T41" s="110" t="n"/>
    </row>
    <row r="42" ht="13.5" customHeight="1" s="52">
      <c r="A42" s="104" t="n">
        <v>35</v>
      </c>
      <c r="B42" s="119" t="n"/>
      <c r="C42" s="119" t="n"/>
      <c r="D42" s="119" t="n"/>
      <c r="F42" s="115" t="inlineStr">
        <is>
          <t>1408</t>
        </is>
      </c>
      <c r="G42" s="116" t="n"/>
      <c r="H42" s="115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15" t="inlineStr">
        <is>
          <t>А</t>
        </is>
      </c>
      <c r="J42" s="117" t="n">
        <v>412462.00163</v>
      </c>
      <c r="K42" s="117" t="n">
        <v>356747.43829</v>
      </c>
      <c r="L42" s="117" t="n">
        <v>55714.56334</v>
      </c>
      <c r="M42" s="117" t="n">
        <v>447665.85482</v>
      </c>
      <c r="N42" s="116" t="n"/>
      <c r="O42" s="117" t="n">
        <v>400664.44041</v>
      </c>
      <c r="P42" s="117" t="n">
        <v>47001.41441</v>
      </c>
      <c r="Q42" s="117" t="n">
        <v>385140.92485</v>
      </c>
      <c r="R42" s="117" t="n">
        <v>375182.19512</v>
      </c>
      <c r="S42" s="118" t="n">
        <v>9958.729729999999</v>
      </c>
      <c r="T42" s="110" t="n"/>
    </row>
    <row r="43" ht="14.25" customHeight="1" s="52">
      <c r="A43" s="104" t="n">
        <v>36</v>
      </c>
      <c r="B43" s="119" t="n"/>
      <c r="C43" s="119" t="n"/>
      <c r="D43" s="119" t="n"/>
      <c r="F43" s="120" t="inlineStr">
        <is>
          <t>Група 140 - Усього</t>
        </is>
      </c>
      <c r="G43" s="116" t="n"/>
      <c r="H43" s="116" t="n"/>
      <c r="I43" s="120" t="n"/>
      <c r="J43" s="121" t="n">
        <v>10325470.76144</v>
      </c>
      <c r="K43" s="121" t="n">
        <v>6753019.67389</v>
      </c>
      <c r="L43" s="121" t="n">
        <v>3572451.08755</v>
      </c>
      <c r="M43" s="121" t="n">
        <v>15204193.34238</v>
      </c>
      <c r="N43" s="116" t="n"/>
      <c r="O43" s="121" t="n">
        <v>12077793.97506</v>
      </c>
      <c r="P43" s="121" t="n">
        <v>3126399.36732</v>
      </c>
      <c r="Q43" s="121" t="n">
        <v>20933227.53253</v>
      </c>
      <c r="R43" s="121" t="n">
        <v>20305289.65992</v>
      </c>
      <c r="S43" s="122" t="n">
        <v>627937.87261</v>
      </c>
      <c r="T43" s="110" t="n"/>
    </row>
    <row r="44" ht="13.5" customHeight="1" s="52">
      <c r="A44" s="104" t="n">
        <v>37</v>
      </c>
      <c r="B44" s="119" t="n"/>
      <c r="C44" s="119" t="n"/>
      <c r="D44" s="115" t="inlineStr">
        <is>
          <t>141</t>
        </is>
      </c>
      <c r="E44" s="116" t="n"/>
      <c r="F44" s="115" t="inlineStr">
        <is>
          <t>1410</t>
        </is>
      </c>
      <c r="G44" s="116" t="n"/>
      <c r="H44" s="115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15" t="inlineStr">
        <is>
          <t>А</t>
        </is>
      </c>
      <c r="J44" s="117" t="n">
        <v>0</v>
      </c>
      <c r="K44" s="117" t="n">
        <v>0</v>
      </c>
      <c r="L44" s="117" t="n">
        <v>0</v>
      </c>
      <c r="M44" s="117" t="n">
        <v>720998</v>
      </c>
      <c r="N44" s="116" t="n"/>
      <c r="O44" s="117" t="n">
        <v>720998</v>
      </c>
      <c r="P44" s="117" t="n">
        <v>0</v>
      </c>
      <c r="Q44" s="117" t="n">
        <v>19225235</v>
      </c>
      <c r="R44" s="117" t="n">
        <v>19225235</v>
      </c>
      <c r="S44" s="118" t="n">
        <v>0</v>
      </c>
      <c r="T44" s="110" t="n"/>
    </row>
    <row r="45" ht="13.5" customHeight="1" s="52">
      <c r="A45" s="104" t="n">
        <v>38</v>
      </c>
      <c r="B45" s="119" t="n"/>
      <c r="C45" s="119" t="n"/>
      <c r="D45" s="119" t="n"/>
      <c r="F45" s="115" t="inlineStr">
        <is>
          <t>1411</t>
        </is>
      </c>
      <c r="G45" s="116" t="n"/>
      <c r="H45" s="115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15" t="inlineStr">
        <is>
          <t>А</t>
        </is>
      </c>
      <c r="J45" s="117" t="n">
        <v>0</v>
      </c>
      <c r="K45" s="117" t="n">
        <v>0</v>
      </c>
      <c r="L45" s="117" t="n">
        <v>0</v>
      </c>
      <c r="M45" s="117" t="n">
        <v>0</v>
      </c>
      <c r="N45" s="116" t="n"/>
      <c r="O45" s="117" t="n">
        <v>0</v>
      </c>
      <c r="P45" s="117" t="n">
        <v>0</v>
      </c>
      <c r="Q45" s="117" t="n">
        <v>0</v>
      </c>
      <c r="R45" s="117" t="n">
        <v>0</v>
      </c>
      <c r="S45" s="118" t="n">
        <v>0</v>
      </c>
      <c r="T45" s="110" t="n"/>
    </row>
    <row r="46" ht="13.5" customHeight="1" s="52">
      <c r="A46" s="104" t="n">
        <v>39</v>
      </c>
      <c r="B46" s="119" t="n"/>
      <c r="C46" s="119" t="n"/>
      <c r="D46" s="119" t="n"/>
      <c r="F46" s="115" t="inlineStr">
        <is>
          <t>1412</t>
        </is>
      </c>
      <c r="G46" s="116" t="n"/>
      <c r="H46" s="115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15" t="inlineStr">
        <is>
          <t>А</t>
        </is>
      </c>
      <c r="J46" s="117" t="n">
        <v>0</v>
      </c>
      <c r="K46" s="117" t="n">
        <v>0</v>
      </c>
      <c r="L46" s="117" t="n">
        <v>0</v>
      </c>
      <c r="M46" s="117" t="n">
        <v>0</v>
      </c>
      <c r="N46" s="116" t="n"/>
      <c r="O46" s="117" t="n">
        <v>0</v>
      </c>
      <c r="P46" s="117" t="n">
        <v>0</v>
      </c>
      <c r="Q46" s="117" t="n">
        <v>0</v>
      </c>
      <c r="R46" s="117" t="n">
        <v>0</v>
      </c>
      <c r="S46" s="118" t="n">
        <v>0</v>
      </c>
      <c r="T46" s="110" t="n"/>
    </row>
    <row r="47" ht="13.5" customHeight="1" s="52">
      <c r="A47" s="104" t="n">
        <v>40</v>
      </c>
      <c r="B47" s="119" t="n"/>
      <c r="C47" s="119" t="n"/>
      <c r="D47" s="119" t="n"/>
      <c r="F47" s="115" t="inlineStr">
        <is>
          <t>1415</t>
        </is>
      </c>
      <c r="G47" s="116" t="n"/>
      <c r="H47" s="115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15" t="inlineStr">
        <is>
          <t>А</t>
        </is>
      </c>
      <c r="J47" s="117" t="n">
        <v>116132.23044</v>
      </c>
      <c r="K47" s="117" t="n">
        <v>116132.23044</v>
      </c>
      <c r="L47" s="117" t="n">
        <v>0</v>
      </c>
      <c r="M47" s="117" t="n">
        <v>126706.94988</v>
      </c>
      <c r="N47" s="116" t="n"/>
      <c r="O47" s="117" t="n">
        <v>126706.94988</v>
      </c>
      <c r="P47" s="117" t="n">
        <v>0</v>
      </c>
      <c r="Q47" s="117" t="n">
        <v>483199.9239</v>
      </c>
      <c r="R47" s="117" t="n">
        <v>483199.9239</v>
      </c>
      <c r="S47" s="118" t="n">
        <v>0</v>
      </c>
      <c r="T47" s="110" t="n"/>
    </row>
    <row r="48" ht="14.25" customHeight="1" s="52">
      <c r="A48" s="104" t="n">
        <v>41</v>
      </c>
      <c r="B48" s="119" t="n"/>
      <c r="C48" s="119" t="n"/>
      <c r="D48" s="119" t="n"/>
      <c r="F48" s="119" t="n"/>
      <c r="H48" s="119" t="n"/>
      <c r="I48" s="115" t="inlineStr">
        <is>
          <t>П</t>
        </is>
      </c>
      <c r="J48" s="117" t="n">
        <v>0</v>
      </c>
      <c r="K48" s="117" t="n">
        <v>0</v>
      </c>
      <c r="L48" s="117" t="n">
        <v>0</v>
      </c>
      <c r="M48" s="117" t="n">
        <v>0</v>
      </c>
      <c r="N48" s="116" t="n"/>
      <c r="O48" s="117" t="n">
        <v>0</v>
      </c>
      <c r="P48" s="117" t="n">
        <v>0</v>
      </c>
      <c r="Q48" s="117" t="n">
        <v>-387951.20024</v>
      </c>
      <c r="R48" s="117" t="n">
        <v>-387951.20024</v>
      </c>
      <c r="S48" s="118" t="n">
        <v>0</v>
      </c>
      <c r="T48" s="110" t="n"/>
    </row>
    <row r="49" ht="13.5" customHeight="1" s="52">
      <c r="A49" s="104" t="n">
        <v>42</v>
      </c>
      <c r="B49" s="119" t="n"/>
      <c r="C49" s="119" t="n"/>
      <c r="D49" s="119" t="n"/>
      <c r="F49" s="115" t="inlineStr">
        <is>
          <t>1416</t>
        </is>
      </c>
      <c r="G49" s="116" t="n"/>
      <c r="H49" s="11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15" t="inlineStr">
        <is>
          <t>А</t>
        </is>
      </c>
      <c r="J49" s="117" t="n">
        <v>1309.7475</v>
      </c>
      <c r="K49" s="117" t="n">
        <v>1309.7475</v>
      </c>
      <c r="L49" s="117" t="n">
        <v>0</v>
      </c>
      <c r="M49" s="117" t="n">
        <v>7620.90615</v>
      </c>
      <c r="N49" s="116" t="n"/>
      <c r="O49" s="117" t="n">
        <v>7620.90615</v>
      </c>
      <c r="P49" s="117" t="n">
        <v>0</v>
      </c>
      <c r="Q49" s="117" t="n">
        <v>113011.67395</v>
      </c>
      <c r="R49" s="117" t="n">
        <v>113011.67395</v>
      </c>
      <c r="S49" s="118" t="n">
        <v>0</v>
      </c>
      <c r="T49" s="110" t="n"/>
    </row>
    <row r="50" ht="13.5" customHeight="1" s="52">
      <c r="A50" s="104" t="n">
        <v>43</v>
      </c>
      <c r="B50" s="119" t="n"/>
      <c r="C50" s="119" t="n"/>
      <c r="D50" s="119" t="n"/>
      <c r="F50" s="119" t="n"/>
      <c r="H50" s="119" t="n"/>
      <c r="I50" s="115" t="inlineStr">
        <is>
          <t>П</t>
        </is>
      </c>
      <c r="J50" s="117" t="n">
        <v>0</v>
      </c>
      <c r="K50" s="117" t="n">
        <v>0</v>
      </c>
      <c r="L50" s="117" t="n">
        <v>0</v>
      </c>
      <c r="M50" s="117" t="n">
        <v>0</v>
      </c>
      <c r="N50" s="116" t="n"/>
      <c r="O50" s="117" t="n">
        <v>0</v>
      </c>
      <c r="P50" s="117" t="n">
        <v>0</v>
      </c>
      <c r="Q50" s="117" t="n">
        <v>-4001.65487</v>
      </c>
      <c r="R50" s="117" t="n">
        <v>-4001.65487</v>
      </c>
      <c r="S50" s="118" t="n">
        <v>0</v>
      </c>
      <c r="T50" s="110" t="n"/>
    </row>
    <row r="51" ht="13.5" customHeight="1" s="52">
      <c r="A51" s="104" t="n">
        <v>44</v>
      </c>
      <c r="B51" s="119" t="n"/>
      <c r="C51" s="119" t="n"/>
      <c r="D51" s="119" t="n"/>
      <c r="F51" s="115" t="inlineStr">
        <is>
          <t>1418</t>
        </is>
      </c>
      <c r="G51" s="116" t="n"/>
      <c r="H51" s="115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15" t="inlineStr">
        <is>
          <t>А</t>
        </is>
      </c>
      <c r="J51" s="117" t="n">
        <v>251493.08497</v>
      </c>
      <c r="K51" s="117" t="n">
        <v>251493.08497</v>
      </c>
      <c r="L51" s="117" t="n">
        <v>0</v>
      </c>
      <c r="M51" s="117" t="n">
        <v>114050.988</v>
      </c>
      <c r="N51" s="116" t="n"/>
      <c r="O51" s="117" t="n">
        <v>114050.988</v>
      </c>
      <c r="P51" s="117" t="n">
        <v>0</v>
      </c>
      <c r="Q51" s="117" t="n">
        <v>861921.32546</v>
      </c>
      <c r="R51" s="117" t="n">
        <v>861921.32546</v>
      </c>
      <c r="S51" s="118" t="n">
        <v>0</v>
      </c>
      <c r="T51" s="110" t="n"/>
    </row>
    <row r="52" ht="13.5" customHeight="1" s="52">
      <c r="A52" s="104" t="n">
        <v>45</v>
      </c>
      <c r="B52" s="119" t="n"/>
      <c r="C52" s="119" t="n"/>
      <c r="D52" s="119" t="n"/>
      <c r="F52" s="115" t="inlineStr">
        <is>
          <t>1419</t>
        </is>
      </c>
      <c r="G52" s="116" t="n"/>
      <c r="H52" s="115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15" t="inlineStr">
        <is>
          <t>П</t>
        </is>
      </c>
      <c r="J52" s="117" t="n">
        <v>15901.21284</v>
      </c>
      <c r="K52" s="117" t="n">
        <v>15901.21284</v>
      </c>
      <c r="L52" s="117" t="n">
        <v>0</v>
      </c>
      <c r="M52" s="117" t="n">
        <v>5274.73071</v>
      </c>
      <c r="N52" s="116" t="n"/>
      <c r="O52" s="117" t="n">
        <v>5274.73071</v>
      </c>
      <c r="P52" s="117" t="n">
        <v>0</v>
      </c>
      <c r="Q52" s="117" t="n">
        <v>-847399.97219</v>
      </c>
      <c r="R52" s="117" t="n">
        <v>-847399.97219</v>
      </c>
      <c r="S52" s="118" t="n">
        <v>0</v>
      </c>
      <c r="T52" s="110" t="n"/>
    </row>
    <row r="53" ht="14.25" customHeight="1" s="52">
      <c r="A53" s="104" t="n">
        <v>46</v>
      </c>
      <c r="B53" s="119" t="n"/>
      <c r="C53" s="119" t="n"/>
      <c r="D53" s="119" t="n"/>
      <c r="F53" s="120" t="inlineStr">
        <is>
          <t>Група 141 - Усього</t>
        </is>
      </c>
      <c r="G53" s="116" t="n"/>
      <c r="H53" s="116" t="n"/>
      <c r="I53" s="120" t="n"/>
      <c r="J53" s="121" t="n">
        <v>384836.27575</v>
      </c>
      <c r="K53" s="121" t="n">
        <v>384836.27575</v>
      </c>
      <c r="L53" s="121" t="n">
        <v>0</v>
      </c>
      <c r="M53" s="121" t="n">
        <v>974651.57474</v>
      </c>
      <c r="N53" s="116" t="n"/>
      <c r="O53" s="121" t="n">
        <v>974651.57474</v>
      </c>
      <c r="P53" s="121" t="n">
        <v>0</v>
      </c>
      <c r="Q53" s="121" t="n">
        <v>19444015.09601</v>
      </c>
      <c r="R53" s="121" t="n">
        <v>19444015.09601</v>
      </c>
      <c r="S53" s="122" t="n">
        <v>0</v>
      </c>
      <c r="T53" s="110" t="n"/>
    </row>
    <row r="54" ht="13.5" customHeight="1" s="52">
      <c r="A54" s="104" t="n">
        <v>47</v>
      </c>
      <c r="B54" s="119" t="n"/>
      <c r="C54" s="119" t="n"/>
      <c r="D54" s="115" t="inlineStr">
        <is>
          <t>142</t>
        </is>
      </c>
      <c r="E54" s="116" t="n"/>
      <c r="F54" s="115" t="inlineStr">
        <is>
          <t>1420</t>
        </is>
      </c>
      <c r="G54" s="116" t="n"/>
      <c r="H54" s="115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15" t="inlineStr">
        <is>
          <t>А</t>
        </is>
      </c>
      <c r="J54" s="117" t="n">
        <v>0</v>
      </c>
      <c r="K54" s="117" t="n">
        <v>0</v>
      </c>
      <c r="L54" s="117" t="n">
        <v>0</v>
      </c>
      <c r="M54" s="117" t="n">
        <v>0</v>
      </c>
      <c r="N54" s="116" t="n"/>
      <c r="O54" s="117" t="n">
        <v>0</v>
      </c>
      <c r="P54" s="117" t="n">
        <v>0</v>
      </c>
      <c r="Q54" s="117" t="n">
        <v>26489557</v>
      </c>
      <c r="R54" s="117" t="n">
        <v>26489557</v>
      </c>
      <c r="S54" s="118" t="n">
        <v>0</v>
      </c>
      <c r="T54" s="110" t="n"/>
    </row>
    <row r="55" ht="13.5" customHeight="1" s="52">
      <c r="A55" s="104" t="n">
        <v>48</v>
      </c>
      <c r="B55" s="119" t="n"/>
      <c r="C55" s="119" t="n"/>
      <c r="D55" s="119" t="n"/>
      <c r="F55" s="115" t="inlineStr">
        <is>
          <t>1426</t>
        </is>
      </c>
      <c r="G55" s="116" t="n"/>
      <c r="H55" s="11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15" t="inlineStr">
        <is>
          <t>А</t>
        </is>
      </c>
      <c r="J55" s="117" t="n">
        <v>1421.72901</v>
      </c>
      <c r="K55" s="117" t="n">
        <v>1421.72901</v>
      </c>
      <c r="L55" s="117" t="n">
        <v>0</v>
      </c>
      <c r="M55" s="117" t="n">
        <v>6213.55395</v>
      </c>
      <c r="N55" s="116" t="n"/>
      <c r="O55" s="117" t="n">
        <v>6213.55395</v>
      </c>
      <c r="P55" s="117" t="n">
        <v>0</v>
      </c>
      <c r="Q55" s="117" t="n">
        <v>145146.67679</v>
      </c>
      <c r="R55" s="117" t="n">
        <v>145146.67679</v>
      </c>
      <c r="S55" s="118" t="n">
        <v>0</v>
      </c>
      <c r="T55" s="110" t="n"/>
    </row>
    <row r="56" ht="13.5" customHeight="1" s="52">
      <c r="A56" s="104" t="n">
        <v>49</v>
      </c>
      <c r="B56" s="119" t="n"/>
      <c r="C56" s="119" t="n"/>
      <c r="D56" s="119" t="n"/>
      <c r="F56" s="119" t="n"/>
      <c r="H56" s="119" t="n"/>
      <c r="I56" s="115" t="inlineStr">
        <is>
          <t>П</t>
        </is>
      </c>
      <c r="J56" s="117" t="n">
        <v>0</v>
      </c>
      <c r="K56" s="117" t="n">
        <v>0</v>
      </c>
      <c r="L56" s="117" t="n">
        <v>0</v>
      </c>
      <c r="M56" s="117" t="n">
        <v>0</v>
      </c>
      <c r="N56" s="116" t="n"/>
      <c r="O56" s="117" t="n">
        <v>0</v>
      </c>
      <c r="P56" s="117" t="n">
        <v>0</v>
      </c>
      <c r="Q56" s="117" t="n">
        <v>-28830.50058</v>
      </c>
      <c r="R56" s="117" t="n">
        <v>-28830.50058</v>
      </c>
      <c r="S56" s="118" t="n">
        <v>0</v>
      </c>
      <c r="T56" s="110" t="n"/>
    </row>
    <row r="57" ht="13.5" customHeight="1" s="52">
      <c r="A57" s="104" t="n">
        <v>50</v>
      </c>
      <c r="B57" s="119" t="n"/>
      <c r="C57" s="119" t="n"/>
      <c r="D57" s="119" t="n"/>
      <c r="F57" s="115" t="inlineStr">
        <is>
          <t>1428</t>
        </is>
      </c>
      <c r="G57" s="116" t="n"/>
      <c r="H57" s="115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15" t="inlineStr">
        <is>
          <t>А</t>
        </is>
      </c>
      <c r="J57" s="117" t="n">
        <v>304571.09635</v>
      </c>
      <c r="K57" s="117" t="n">
        <v>304571.09635</v>
      </c>
      <c r="L57" s="117" t="n">
        <v>0</v>
      </c>
      <c r="M57" s="117" t="n">
        <v>50273.41535</v>
      </c>
      <c r="N57" s="116" t="n"/>
      <c r="O57" s="117" t="n">
        <v>50273.41535</v>
      </c>
      <c r="P57" s="117" t="n">
        <v>0</v>
      </c>
      <c r="Q57" s="117" t="n">
        <v>824636.76807</v>
      </c>
      <c r="R57" s="117" t="n">
        <v>824636.76807</v>
      </c>
      <c r="S57" s="118" t="n">
        <v>0</v>
      </c>
      <c r="T57" s="110" t="n"/>
    </row>
    <row r="58" ht="14.25" customHeight="1" s="52">
      <c r="A58" s="104" t="n">
        <v>51</v>
      </c>
      <c r="B58" s="119" t="n"/>
      <c r="C58" s="119" t="n"/>
      <c r="D58" s="119" t="n"/>
      <c r="F58" s="115" t="inlineStr">
        <is>
          <t>1429</t>
        </is>
      </c>
      <c r="G58" s="116" t="n"/>
      <c r="H58" s="115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15" t="inlineStr">
        <is>
          <t>П</t>
        </is>
      </c>
      <c r="J58" s="117" t="n">
        <v>18908.28538</v>
      </c>
      <c r="K58" s="117" t="n">
        <v>18908.28538</v>
      </c>
      <c r="L58" s="117" t="n">
        <v>0</v>
      </c>
      <c r="M58" s="117" t="n">
        <v>8973.73135</v>
      </c>
      <c r="N58" s="116" t="n"/>
      <c r="O58" s="117" t="n">
        <v>8973.73135</v>
      </c>
      <c r="P58" s="117" t="n">
        <v>0</v>
      </c>
      <c r="Q58" s="117" t="n">
        <v>-1319100.43441</v>
      </c>
      <c r="R58" s="117" t="n">
        <v>-1319100.43441</v>
      </c>
      <c r="S58" s="118" t="n">
        <v>0</v>
      </c>
      <c r="T58" s="110" t="n"/>
    </row>
    <row r="59" ht="13.5" customHeight="1" s="52">
      <c r="A59" s="104" t="n">
        <v>52</v>
      </c>
      <c r="B59" s="119" t="n"/>
      <c r="C59" s="119" t="n"/>
      <c r="D59" s="119" t="n"/>
      <c r="F59" s="120" t="inlineStr">
        <is>
          <t>Група 142 - Усього</t>
        </is>
      </c>
      <c r="G59" s="116" t="n"/>
      <c r="H59" s="116" t="n"/>
      <c r="I59" s="120" t="n"/>
      <c r="J59" s="121" t="n">
        <v>324901.11074</v>
      </c>
      <c r="K59" s="121" t="n">
        <v>324901.11074</v>
      </c>
      <c r="L59" s="121" t="n">
        <v>0</v>
      </c>
      <c r="M59" s="121" t="n">
        <v>65460.70065</v>
      </c>
      <c r="N59" s="116" t="n"/>
      <c r="O59" s="121" t="n">
        <v>65460.70065</v>
      </c>
      <c r="P59" s="121" t="n">
        <v>0</v>
      </c>
      <c r="Q59" s="121" t="n">
        <v>26111409.50987</v>
      </c>
      <c r="R59" s="121" t="n">
        <v>26111409.50987</v>
      </c>
      <c r="S59" s="122" t="n">
        <v>0</v>
      </c>
      <c r="T59" s="110" t="n"/>
    </row>
    <row r="60" ht="13.5" customHeight="1" s="52">
      <c r="A60" s="104" t="n">
        <v>53</v>
      </c>
      <c r="B60" s="119" t="n"/>
      <c r="C60" s="119" t="n"/>
      <c r="D60" s="115" t="inlineStr">
        <is>
          <t>143</t>
        </is>
      </c>
      <c r="E60" s="116" t="n"/>
      <c r="F60" s="115" t="inlineStr">
        <is>
          <t>1430</t>
        </is>
      </c>
      <c r="G60" s="116" t="n"/>
      <c r="H60" s="115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15" t="inlineStr">
        <is>
          <t>А</t>
        </is>
      </c>
      <c r="J60" s="117" t="n">
        <v>0</v>
      </c>
      <c r="K60" s="117" t="n">
        <v>0</v>
      </c>
      <c r="L60" s="117" t="n">
        <v>0</v>
      </c>
      <c r="M60" s="117" t="n">
        <v>0</v>
      </c>
      <c r="N60" s="116" t="n"/>
      <c r="O60" s="117" t="n">
        <v>0</v>
      </c>
      <c r="P60" s="117" t="n">
        <v>0</v>
      </c>
      <c r="Q60" s="117" t="n">
        <v>0</v>
      </c>
      <c r="R60" s="117" t="n">
        <v>0</v>
      </c>
      <c r="S60" s="118" t="n">
        <v>0</v>
      </c>
      <c r="T60" s="110" t="n"/>
    </row>
    <row r="61" ht="13.5" customHeight="1" s="52">
      <c r="A61" s="104" t="n">
        <v>54</v>
      </c>
      <c r="B61" s="119" t="n"/>
      <c r="C61" s="119" t="n"/>
      <c r="D61" s="119" t="n"/>
      <c r="F61" s="115" t="inlineStr">
        <is>
          <t>1435</t>
        </is>
      </c>
      <c r="G61" s="116" t="n"/>
      <c r="H61" s="115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15" t="inlineStr">
        <is>
          <t>А</t>
        </is>
      </c>
      <c r="J61" s="117" t="n">
        <v>0</v>
      </c>
      <c r="K61" s="117" t="n">
        <v>0</v>
      </c>
      <c r="L61" s="117" t="n">
        <v>0</v>
      </c>
      <c r="M61" s="117" t="n">
        <v>0</v>
      </c>
      <c r="N61" s="116" t="n"/>
      <c r="O61" s="117" t="n">
        <v>0</v>
      </c>
      <c r="P61" s="117" t="n">
        <v>0</v>
      </c>
      <c r="Q61" s="117" t="n">
        <v>0</v>
      </c>
      <c r="R61" s="117" t="n">
        <v>0</v>
      </c>
      <c r="S61" s="118" t="n">
        <v>0</v>
      </c>
      <c r="T61" s="110" t="n"/>
    </row>
    <row r="62" ht="13.5" customHeight="1" s="52">
      <c r="A62" s="104" t="n">
        <v>55</v>
      </c>
      <c r="B62" s="119" t="n"/>
      <c r="C62" s="119" t="n"/>
      <c r="D62" s="119" t="n"/>
      <c r="F62" s="115" t="inlineStr">
        <is>
          <t>1436</t>
        </is>
      </c>
      <c r="G62" s="116" t="n"/>
      <c r="H62" s="11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2" s="115" t="inlineStr">
        <is>
          <t>А</t>
        </is>
      </c>
      <c r="J62" s="117" t="n">
        <v>0</v>
      </c>
      <c r="K62" s="117" t="n">
        <v>0</v>
      </c>
      <c r="L62" s="117" t="n">
        <v>0</v>
      </c>
      <c r="M62" s="117" t="n">
        <v>0</v>
      </c>
      <c r="N62" s="116" t="n"/>
      <c r="O62" s="117" t="n">
        <v>0</v>
      </c>
      <c r="P62" s="117" t="n">
        <v>0</v>
      </c>
      <c r="Q62" s="117" t="n">
        <v>0</v>
      </c>
      <c r="R62" s="117" t="n">
        <v>0</v>
      </c>
      <c r="S62" s="118" t="n">
        <v>0</v>
      </c>
      <c r="T62" s="110" t="n"/>
    </row>
    <row r="63" ht="14.25" customHeight="1" s="52">
      <c r="A63" s="104" t="n">
        <v>56</v>
      </c>
      <c r="B63" s="119" t="n"/>
      <c r="C63" s="119" t="n"/>
      <c r="D63" s="119" t="n"/>
      <c r="F63" s="119" t="n"/>
      <c r="H63" s="119" t="n"/>
      <c r="I63" s="115" t="inlineStr">
        <is>
          <t>П</t>
        </is>
      </c>
      <c r="J63" s="117" t="n">
        <v>0</v>
      </c>
      <c r="K63" s="117" t="n">
        <v>0</v>
      </c>
      <c r="L63" s="117" t="n">
        <v>0</v>
      </c>
      <c r="M63" s="117" t="n">
        <v>0</v>
      </c>
      <c r="N63" s="116" t="n"/>
      <c r="O63" s="117" t="n">
        <v>0</v>
      </c>
      <c r="P63" s="117" t="n">
        <v>0</v>
      </c>
      <c r="Q63" s="117" t="n">
        <v>0</v>
      </c>
      <c r="R63" s="117" t="n">
        <v>0</v>
      </c>
      <c r="S63" s="118" t="n">
        <v>0</v>
      </c>
      <c r="T63" s="110" t="n"/>
    </row>
    <row r="64" ht="13.5" customHeight="1" s="52">
      <c r="A64" s="104" t="n">
        <v>57</v>
      </c>
      <c r="B64" s="119" t="n"/>
      <c r="C64" s="119" t="n"/>
      <c r="D64" s="119" t="n"/>
      <c r="F64" s="115" t="inlineStr">
        <is>
          <t>1438</t>
        </is>
      </c>
      <c r="G64" s="116" t="n"/>
      <c r="H64" s="115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4" s="115" t="inlineStr">
        <is>
          <t>А</t>
        </is>
      </c>
      <c r="J64" s="117" t="n">
        <v>0</v>
      </c>
      <c r="K64" s="117" t="n">
        <v>0</v>
      </c>
      <c r="L64" s="117" t="n">
        <v>0</v>
      </c>
      <c r="M64" s="117" t="n">
        <v>0</v>
      </c>
      <c r="N64" s="116" t="n"/>
      <c r="O64" s="117" t="n">
        <v>0</v>
      </c>
      <c r="P64" s="117" t="n">
        <v>0</v>
      </c>
      <c r="Q64" s="117" t="n">
        <v>0</v>
      </c>
      <c r="R64" s="117" t="n">
        <v>0</v>
      </c>
      <c r="S64" s="118" t="n">
        <v>0</v>
      </c>
      <c r="T64" s="110" t="n"/>
    </row>
    <row r="65" ht="13.5" customHeight="1" s="52">
      <c r="A65" s="104" t="n">
        <v>58</v>
      </c>
      <c r="B65" s="119" t="n"/>
      <c r="C65" s="119" t="n"/>
      <c r="D65" s="119" t="n"/>
      <c r="F65" s="120" t="inlineStr">
        <is>
          <t>Група 143 - Усього</t>
        </is>
      </c>
      <c r="G65" s="116" t="n"/>
      <c r="H65" s="116" t="n"/>
      <c r="I65" s="120" t="n"/>
      <c r="J65" s="121" t="n">
        <v>0</v>
      </c>
      <c r="K65" s="121" t="n">
        <v>0</v>
      </c>
      <c r="L65" s="121" t="n">
        <v>0</v>
      </c>
      <c r="M65" s="121" t="n">
        <v>0</v>
      </c>
      <c r="N65" s="116" t="n"/>
      <c r="O65" s="121" t="n">
        <v>0</v>
      </c>
      <c r="P65" s="121" t="n">
        <v>0</v>
      </c>
      <c r="Q65" s="121" t="n">
        <v>0</v>
      </c>
      <c r="R65" s="121" t="n">
        <v>0</v>
      </c>
      <c r="S65" s="122" t="n">
        <v>0</v>
      </c>
      <c r="T65" s="110" t="n"/>
    </row>
    <row r="66" ht="13.5" customHeight="1" s="52">
      <c r="A66" s="104" t="n">
        <v>59</v>
      </c>
      <c r="B66" s="119" t="n"/>
      <c r="C66" s="119" t="n"/>
      <c r="D66" s="115" t="inlineStr">
        <is>
          <t>144</t>
        </is>
      </c>
      <c r="E66" s="116" t="n"/>
      <c r="F66" s="115" t="inlineStr">
        <is>
          <t>1440</t>
        </is>
      </c>
      <c r="G66" s="116" t="n"/>
      <c r="H66" s="115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6" s="115" t="inlineStr">
        <is>
          <t>А</t>
        </is>
      </c>
      <c r="J66" s="117" t="n">
        <v>304000000</v>
      </c>
      <c r="K66" s="117" t="n">
        <v>304000000</v>
      </c>
      <c r="L66" s="117" t="n">
        <v>0</v>
      </c>
      <c r="M66" s="117" t="n">
        <v>299000000</v>
      </c>
      <c r="N66" s="116" t="n"/>
      <c r="O66" s="117" t="n">
        <v>299000000</v>
      </c>
      <c r="P66" s="117" t="n">
        <v>0</v>
      </c>
      <c r="Q66" s="117" t="n">
        <v>25000000</v>
      </c>
      <c r="R66" s="117" t="n">
        <v>25000000</v>
      </c>
      <c r="S66" s="118" t="n">
        <v>0</v>
      </c>
      <c r="T66" s="110" t="n"/>
    </row>
    <row r="67" ht="13.5" customHeight="1" s="52">
      <c r="A67" s="104" t="n">
        <v>60</v>
      </c>
      <c r="B67" s="119" t="n"/>
      <c r="C67" s="119" t="n"/>
      <c r="D67" s="119" t="n"/>
      <c r="F67" s="115" t="inlineStr">
        <is>
          <t>1446</t>
        </is>
      </c>
      <c r="G67" s="116" t="n"/>
      <c r="H67" s="11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7" s="115" t="inlineStr">
        <is>
          <t>А</t>
        </is>
      </c>
      <c r="J67" s="117" t="n">
        <v>17.385</v>
      </c>
      <c r="K67" s="117" t="n">
        <v>17.385</v>
      </c>
      <c r="L67" s="117" t="n">
        <v>0</v>
      </c>
      <c r="M67" s="117" t="n">
        <v>13.785</v>
      </c>
      <c r="N67" s="116" t="n"/>
      <c r="O67" s="117" t="n">
        <v>13.785</v>
      </c>
      <c r="P67" s="117" t="n">
        <v>0</v>
      </c>
      <c r="Q67" s="117" t="n">
        <v>0</v>
      </c>
      <c r="R67" s="117" t="n">
        <v>0</v>
      </c>
      <c r="S67" s="118" t="n">
        <v>0</v>
      </c>
      <c r="T67" s="110" t="n"/>
    </row>
    <row r="68" ht="14.25" customHeight="1" s="52">
      <c r="A68" s="104" t="n">
        <v>61</v>
      </c>
      <c r="B68" s="119" t="n"/>
      <c r="C68" s="119" t="n"/>
      <c r="D68" s="119" t="n"/>
      <c r="F68" s="119" t="n"/>
      <c r="H68" s="119" t="n"/>
      <c r="I68" s="115" t="inlineStr">
        <is>
          <t>П</t>
        </is>
      </c>
      <c r="J68" s="117" t="n">
        <v>0</v>
      </c>
      <c r="K68" s="117" t="n">
        <v>0</v>
      </c>
      <c r="L68" s="117" t="n">
        <v>0</v>
      </c>
      <c r="M68" s="117" t="n">
        <v>0</v>
      </c>
      <c r="N68" s="116" t="n"/>
      <c r="O68" s="117" t="n">
        <v>0</v>
      </c>
      <c r="P68" s="117" t="n">
        <v>0</v>
      </c>
      <c r="Q68" s="117" t="n">
        <v>0</v>
      </c>
      <c r="R68" s="117" t="n">
        <v>0</v>
      </c>
      <c r="S68" s="118" t="n">
        <v>0</v>
      </c>
      <c r="T68" s="110" t="n"/>
    </row>
    <row r="69" ht="13.5" customHeight="1" s="52">
      <c r="A69" s="104" t="n">
        <v>62</v>
      </c>
      <c r="B69" s="119" t="n"/>
      <c r="C69" s="119" t="n"/>
      <c r="D69" s="119" t="n"/>
      <c r="F69" s="115" t="inlineStr">
        <is>
          <t>1448</t>
        </is>
      </c>
      <c r="G69" s="116" t="n"/>
      <c r="H69" s="115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9" s="115" t="inlineStr">
        <is>
          <t>А</t>
        </is>
      </c>
      <c r="J69" s="117" t="n">
        <v>206808.505</v>
      </c>
      <c r="K69" s="117" t="n">
        <v>206808.505</v>
      </c>
      <c r="L69" s="117" t="n">
        <v>0</v>
      </c>
      <c r="M69" s="117" t="n">
        <v>183452.455</v>
      </c>
      <c r="N69" s="116" t="n"/>
      <c r="O69" s="117" t="n">
        <v>183452.455</v>
      </c>
      <c r="P69" s="117" t="n">
        <v>0</v>
      </c>
      <c r="Q69" s="117" t="n">
        <v>31849.25</v>
      </c>
      <c r="R69" s="117" t="n">
        <v>31849.25</v>
      </c>
      <c r="S69" s="118" t="n">
        <v>0</v>
      </c>
      <c r="T69" s="110" t="n"/>
    </row>
    <row r="70" ht="13.5" customHeight="1" s="52">
      <c r="A70" s="104" t="n">
        <v>63</v>
      </c>
      <c r="B70" s="119" t="n"/>
      <c r="C70" s="119" t="n"/>
      <c r="D70" s="119" t="n"/>
      <c r="F70" s="120" t="inlineStr">
        <is>
          <t>Група 144 - Усього</t>
        </is>
      </c>
      <c r="G70" s="116" t="n"/>
      <c r="H70" s="116" t="n"/>
      <c r="I70" s="120" t="n"/>
      <c r="J70" s="121" t="n">
        <v>304206825.89</v>
      </c>
      <c r="K70" s="121" t="n">
        <v>304206825.89</v>
      </c>
      <c r="L70" s="121" t="n">
        <v>0</v>
      </c>
      <c r="M70" s="121" t="n">
        <v>299183466.24</v>
      </c>
      <c r="N70" s="116" t="n"/>
      <c r="O70" s="121" t="n">
        <v>299183466.24</v>
      </c>
      <c r="P70" s="121" t="n">
        <v>0</v>
      </c>
      <c r="Q70" s="121" t="n">
        <v>25031849.25</v>
      </c>
      <c r="R70" s="121" t="n">
        <v>25031849.25</v>
      </c>
      <c r="S70" s="122" t="n">
        <v>0</v>
      </c>
      <c r="T70" s="110" t="n"/>
    </row>
    <row r="71" ht="20.25" customHeight="1" s="52">
      <c r="A71" s="104" t="n">
        <v>64</v>
      </c>
      <c r="B71" s="119" t="n"/>
      <c r="C71" s="119" t="n"/>
      <c r="D71" s="120" t="inlineStr">
        <is>
          <t>Розділ 14 - Усього</t>
        </is>
      </c>
      <c r="E71" s="116" t="n"/>
      <c r="F71" s="120" t="n"/>
      <c r="G71" s="116" t="n"/>
      <c r="H71" s="116" t="n"/>
      <c r="I71" s="120" t="n"/>
      <c r="J71" s="121" t="n">
        <v>315242034.03793</v>
      </c>
      <c r="K71" s="121" t="n">
        <v>311669582.95038</v>
      </c>
      <c r="L71" s="121" t="n">
        <v>3572451.08755</v>
      </c>
      <c r="M71" s="121" t="n">
        <v>315427771.85777</v>
      </c>
      <c r="N71" s="116" t="n"/>
      <c r="O71" s="121" t="n">
        <v>312301372.49045</v>
      </c>
      <c r="P71" s="121" t="n">
        <v>3126399.36732</v>
      </c>
      <c r="Q71" s="121" t="n">
        <v>91520501.38841</v>
      </c>
      <c r="R71" s="121" t="n">
        <v>90892563.5158</v>
      </c>
      <c r="S71" s="122" t="n">
        <v>627937.87261</v>
      </c>
      <c r="T71" s="110" t="n"/>
    </row>
    <row r="72" ht="13.5" customHeight="1" s="52">
      <c r="A72" s="104" t="n">
        <v>65</v>
      </c>
      <c r="B72" s="119" t="n"/>
      <c r="C72" s="115" t="inlineStr">
        <is>
          <t>15</t>
        </is>
      </c>
      <c r="D72" s="115" t="inlineStr">
        <is>
          <t>150</t>
        </is>
      </c>
      <c r="E72" s="116" t="n"/>
      <c r="F72" s="115" t="inlineStr">
        <is>
          <t>1500</t>
        </is>
      </c>
      <c r="G72" s="116" t="n"/>
      <c r="H72" s="115" t="inlineStr">
        <is>
          <t>Кореспондентські рахунки, що відкриті в інших банках</t>
        </is>
      </c>
      <c r="I72" s="115" t="inlineStr">
        <is>
          <t>А</t>
        </is>
      </c>
      <c r="J72" s="117" t="n">
        <v>313638915.98476</v>
      </c>
      <c r="K72" s="117" t="n">
        <v>0</v>
      </c>
      <c r="L72" s="117" t="n">
        <v>313638915.98476</v>
      </c>
      <c r="M72" s="117" t="n">
        <v>326410041.81818</v>
      </c>
      <c r="N72" s="116" t="n"/>
      <c r="O72" s="117" t="n">
        <v>0</v>
      </c>
      <c r="P72" s="117" t="n">
        <v>326410041.81818</v>
      </c>
      <c r="Q72" s="117" t="n">
        <v>19367439.29295</v>
      </c>
      <c r="R72" s="117" t="n">
        <v>0</v>
      </c>
      <c r="S72" s="118" t="n">
        <v>19367439.29295</v>
      </c>
      <c r="T72" s="110" t="n"/>
    </row>
    <row r="73" ht="14.25" customHeight="1" s="52">
      <c r="A73" s="104" t="n">
        <v>66</v>
      </c>
      <c r="B73" s="119" t="n"/>
      <c r="C73" s="119" t="n"/>
      <c r="D73" s="119" t="n"/>
      <c r="F73" s="115" t="inlineStr">
        <is>
          <t>1508</t>
        </is>
      </c>
      <c r="G73" s="116" t="n"/>
      <c r="H73" s="115" t="inlineStr">
        <is>
          <t>Нараховані доходи за коштами на вимогу в інших банках</t>
        </is>
      </c>
      <c r="I73" s="115" t="inlineStr">
        <is>
          <t>А</t>
        </is>
      </c>
      <c r="J73" s="117" t="n">
        <v>0</v>
      </c>
      <c r="K73" s="117" t="n">
        <v>0</v>
      </c>
      <c r="L73" s="117" t="n">
        <v>0</v>
      </c>
      <c r="M73" s="117" t="n">
        <v>0</v>
      </c>
      <c r="N73" s="116" t="n"/>
      <c r="O73" s="117" t="n">
        <v>0</v>
      </c>
      <c r="P73" s="117" t="n">
        <v>0</v>
      </c>
      <c r="Q73" s="117" t="n">
        <v>0</v>
      </c>
      <c r="R73" s="117" t="n">
        <v>0</v>
      </c>
      <c r="S73" s="118" t="n">
        <v>0</v>
      </c>
      <c r="T73" s="110" t="n"/>
    </row>
    <row r="74" ht="13.5" customHeight="1" s="52">
      <c r="A74" s="104" t="n">
        <v>67</v>
      </c>
      <c r="B74" s="119" t="n"/>
      <c r="C74" s="119" t="n"/>
      <c r="D74" s="119" t="n"/>
      <c r="F74" s="115" t="inlineStr">
        <is>
          <t>1509</t>
        </is>
      </c>
      <c r="G74" s="116" t="n"/>
      <c r="H74" s="115" t="inlineStr">
        <is>
          <t>Резерв за коштами на вимогу в інших банках</t>
        </is>
      </c>
      <c r="I74" s="115" t="inlineStr">
        <is>
          <t>П</t>
        </is>
      </c>
      <c r="J74" s="117" t="n">
        <v>9061.193289999999</v>
      </c>
      <c r="K74" s="117" t="n">
        <v>0</v>
      </c>
      <c r="L74" s="117" t="n">
        <v>9061.193289999999</v>
      </c>
      <c r="M74" s="117" t="n">
        <v>1399.00826</v>
      </c>
      <c r="N74" s="116" t="n"/>
      <c r="O74" s="117" t="n">
        <v>0</v>
      </c>
      <c r="P74" s="117" t="n">
        <v>1399.00826</v>
      </c>
      <c r="Q74" s="117" t="n">
        <v>-48755.22465</v>
      </c>
      <c r="R74" s="117" t="n">
        <v>0</v>
      </c>
      <c r="S74" s="118" t="n">
        <v>-48755.22465</v>
      </c>
      <c r="T74" s="110" t="n"/>
    </row>
    <row r="75" ht="13.5" customHeight="1" s="52">
      <c r="A75" s="104" t="n">
        <v>68</v>
      </c>
      <c r="B75" s="119" t="n"/>
      <c r="C75" s="119" t="n"/>
      <c r="D75" s="119" t="n"/>
      <c r="F75" s="120" t="inlineStr">
        <is>
          <t>Група 150 - Усього</t>
        </is>
      </c>
      <c r="G75" s="116" t="n"/>
      <c r="H75" s="116" t="n"/>
      <c r="I75" s="120" t="n"/>
      <c r="J75" s="121" t="n">
        <v>313647977.17805</v>
      </c>
      <c r="K75" s="121" t="n">
        <v>0</v>
      </c>
      <c r="L75" s="121" t="n">
        <v>313647977.17805</v>
      </c>
      <c r="M75" s="121" t="n">
        <v>326411440.82644</v>
      </c>
      <c r="N75" s="116" t="n"/>
      <c r="O75" s="121" t="n">
        <v>0</v>
      </c>
      <c r="P75" s="121" t="n">
        <v>326411440.82644</v>
      </c>
      <c r="Q75" s="121" t="n">
        <v>19318684.0683</v>
      </c>
      <c r="R75" s="121" t="n">
        <v>0</v>
      </c>
      <c r="S75" s="122" t="n">
        <v>19318684.0683</v>
      </c>
      <c r="T75" s="110" t="n"/>
    </row>
    <row r="76" ht="13.5" customHeight="1" s="52">
      <c r="A76" s="104" t="n">
        <v>69</v>
      </c>
      <c r="B76" s="119" t="n"/>
      <c r="C76" s="119" t="n"/>
      <c r="D76" s="115" t="inlineStr">
        <is>
          <t>151</t>
        </is>
      </c>
      <c r="E76" s="116" t="n"/>
      <c r="F76" s="115" t="inlineStr">
        <is>
          <t>1510</t>
        </is>
      </c>
      <c r="G76" s="116" t="n"/>
      <c r="H76" s="115" t="inlineStr">
        <is>
          <t>Депозити овернайт, що розміщені в інших банках, які обліковуються за амортизованою собівартістю</t>
        </is>
      </c>
      <c r="I76" s="115" t="inlineStr">
        <is>
          <t>А</t>
        </is>
      </c>
      <c r="J76" s="117" t="n">
        <v>74603213.59999999</v>
      </c>
      <c r="K76" s="117" t="n">
        <v>0</v>
      </c>
      <c r="L76" s="117" t="n">
        <v>74603213.59999999</v>
      </c>
      <c r="M76" s="117" t="n">
        <v>72046728.06999999</v>
      </c>
      <c r="N76" s="116" t="n"/>
      <c r="O76" s="117" t="n">
        <v>0</v>
      </c>
      <c r="P76" s="117" t="n">
        <v>72046728.06999999</v>
      </c>
      <c r="Q76" s="117" t="n">
        <v>4142955.31</v>
      </c>
      <c r="R76" s="117" t="n">
        <v>0</v>
      </c>
      <c r="S76" s="118" t="n">
        <v>4142955.31</v>
      </c>
      <c r="T76" s="110" t="n"/>
    </row>
    <row r="77" ht="13.5" customHeight="1" s="52">
      <c r="A77" s="104" t="n">
        <v>70</v>
      </c>
      <c r="B77" s="119" t="n"/>
      <c r="C77" s="119" t="n"/>
      <c r="D77" s="119" t="n"/>
      <c r="F77" s="115" t="inlineStr">
        <is>
          <t>1513</t>
        </is>
      </c>
      <c r="G77" s="116" t="n"/>
      <c r="H77" s="115" t="inlineStr">
        <is>
          <t>Строкові вклади (депозити), що розміщені в інших банках, які обліковуються за амортизованою собівартістю</t>
        </is>
      </c>
      <c r="I77" s="115" t="inlineStr">
        <is>
          <t>А</t>
        </is>
      </c>
      <c r="J77" s="117" t="n">
        <v>86228494.7</v>
      </c>
      <c r="K77" s="117" t="n">
        <v>0</v>
      </c>
      <c r="L77" s="117" t="n">
        <v>86228494.7</v>
      </c>
      <c r="M77" s="117" t="n">
        <v>91098119.95</v>
      </c>
      <c r="N77" s="116" t="n"/>
      <c r="O77" s="117" t="n">
        <v>0</v>
      </c>
      <c r="P77" s="117" t="n">
        <v>91098119.95</v>
      </c>
      <c r="Q77" s="117" t="n">
        <v>17639997.65</v>
      </c>
      <c r="R77" s="117" t="n">
        <v>0</v>
      </c>
      <c r="S77" s="118" t="n">
        <v>17639997.65</v>
      </c>
      <c r="T77" s="110" t="n"/>
    </row>
    <row r="78" ht="14.25" customHeight="1" s="52">
      <c r="A78" s="104" t="n">
        <v>71</v>
      </c>
      <c r="B78" s="119" t="n"/>
      <c r="C78" s="119" t="n"/>
      <c r="D78" s="119" t="n"/>
      <c r="F78" s="115" t="inlineStr">
        <is>
          <t>1516</t>
        </is>
      </c>
      <c r="G78" s="116" t="n"/>
      <c r="H78" s="115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8" s="115" t="inlineStr">
        <is>
          <t>А</t>
        </is>
      </c>
      <c r="J78" s="117" t="n">
        <v>4.0487</v>
      </c>
      <c r="K78" s="117" t="n">
        <v>0</v>
      </c>
      <c r="L78" s="117" t="n">
        <v>4.0487</v>
      </c>
      <c r="M78" s="117" t="n">
        <v>3.80429</v>
      </c>
      <c r="N78" s="116" t="n"/>
      <c r="O78" s="117" t="n">
        <v>0</v>
      </c>
      <c r="P78" s="117" t="n">
        <v>3.80429</v>
      </c>
      <c r="Q78" s="117" t="n">
        <v>0</v>
      </c>
      <c r="R78" s="117" t="n">
        <v>0</v>
      </c>
      <c r="S78" s="118" t="n">
        <v>0</v>
      </c>
      <c r="T78" s="110" t="n"/>
    </row>
    <row r="79" ht="13.5" customHeight="1" s="52">
      <c r="A79" s="104" t="n">
        <v>72</v>
      </c>
      <c r="B79" s="119" t="n"/>
      <c r="C79" s="119" t="n"/>
      <c r="D79" s="119" t="n"/>
      <c r="F79" s="119" t="n"/>
      <c r="H79" s="119" t="n"/>
      <c r="I79" s="115" t="inlineStr">
        <is>
          <t>П</t>
        </is>
      </c>
      <c r="J79" s="117" t="n">
        <v>0</v>
      </c>
      <c r="K79" s="117" t="n">
        <v>0</v>
      </c>
      <c r="L79" s="117" t="n">
        <v>0</v>
      </c>
      <c r="M79" s="117" t="n">
        <v>0</v>
      </c>
      <c r="N79" s="116" t="n"/>
      <c r="O79" s="117" t="n">
        <v>0</v>
      </c>
      <c r="P79" s="117" t="n">
        <v>0</v>
      </c>
      <c r="Q79" s="117" t="n">
        <v>-0.41685</v>
      </c>
      <c r="R79" s="117" t="n">
        <v>0</v>
      </c>
      <c r="S79" s="118" t="n">
        <v>-0.41685</v>
      </c>
      <c r="T79" s="110" t="n"/>
    </row>
    <row r="80" ht="13.5" customHeight="1" s="52">
      <c r="A80" s="104" t="n">
        <v>73</v>
      </c>
      <c r="B80" s="119" t="n"/>
      <c r="C80" s="119" t="n"/>
      <c r="D80" s="119" t="n"/>
      <c r="F80" s="115" t="inlineStr">
        <is>
          <t>1518</t>
        </is>
      </c>
      <c r="G80" s="116" t="n"/>
      <c r="H80" s="115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0" s="115" t="inlineStr">
        <is>
          <t>А</t>
        </is>
      </c>
      <c r="J80" s="117" t="n">
        <v>52849.53082</v>
      </c>
      <c r="K80" s="117" t="n">
        <v>0</v>
      </c>
      <c r="L80" s="117" t="n">
        <v>52849.53082</v>
      </c>
      <c r="M80" s="117" t="n">
        <v>49276.99686</v>
      </c>
      <c r="N80" s="116" t="n"/>
      <c r="O80" s="117" t="n">
        <v>0</v>
      </c>
      <c r="P80" s="117" t="n">
        <v>49276.99686</v>
      </c>
      <c r="Q80" s="117" t="n">
        <v>8688.044190000001</v>
      </c>
      <c r="R80" s="117" t="n">
        <v>0</v>
      </c>
      <c r="S80" s="118" t="n">
        <v>8688.044190000001</v>
      </c>
      <c r="T80" s="110" t="n"/>
    </row>
    <row r="81" ht="13.5" customHeight="1" s="52">
      <c r="A81" s="104" t="n">
        <v>74</v>
      </c>
      <c r="B81" s="119" t="n"/>
      <c r="C81" s="119" t="n"/>
      <c r="D81" s="119" t="n"/>
      <c r="F81" s="115" t="inlineStr">
        <is>
          <t>1519</t>
        </is>
      </c>
      <c r="G81" s="116" t="n"/>
      <c r="H81" s="115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1" s="115" t="inlineStr">
        <is>
          <t>П</t>
        </is>
      </c>
      <c r="J81" s="117" t="n">
        <v>17599.60048</v>
      </c>
      <c r="K81" s="117" t="n">
        <v>0</v>
      </c>
      <c r="L81" s="117" t="n">
        <v>17599.60048</v>
      </c>
      <c r="M81" s="117" t="n">
        <v>15879.43852</v>
      </c>
      <c r="N81" s="116" t="n"/>
      <c r="O81" s="117" t="n">
        <v>0</v>
      </c>
      <c r="P81" s="117" t="n">
        <v>15879.43852</v>
      </c>
      <c r="Q81" s="117" t="n">
        <v>-15515.7918</v>
      </c>
      <c r="R81" s="117" t="n">
        <v>0</v>
      </c>
      <c r="S81" s="118" t="n">
        <v>-15515.7918</v>
      </c>
      <c r="T81" s="110" t="n"/>
    </row>
    <row r="82" ht="13.5" customHeight="1" s="52">
      <c r="A82" s="104" t="n">
        <v>75</v>
      </c>
      <c r="B82" s="119" t="n"/>
      <c r="C82" s="119" t="n"/>
      <c r="D82" s="119" t="n"/>
      <c r="F82" s="120" t="inlineStr">
        <is>
          <t>Група 151 - Усього</t>
        </is>
      </c>
      <c r="G82" s="116" t="n"/>
      <c r="H82" s="116" t="n"/>
      <c r="I82" s="120" t="n"/>
      <c r="J82" s="121" t="n">
        <v>160902161.48</v>
      </c>
      <c r="K82" s="121" t="n">
        <v>0</v>
      </c>
      <c r="L82" s="121" t="n">
        <v>160902161.48</v>
      </c>
      <c r="M82" s="121" t="n">
        <v>163210008.25967</v>
      </c>
      <c r="N82" s="116" t="n"/>
      <c r="O82" s="121" t="n">
        <v>0</v>
      </c>
      <c r="P82" s="121" t="n">
        <v>163210008.25967</v>
      </c>
      <c r="Q82" s="121" t="n">
        <v>21776124.79554</v>
      </c>
      <c r="R82" s="121" t="n">
        <v>0</v>
      </c>
      <c r="S82" s="122" t="n">
        <v>21776124.79554</v>
      </c>
      <c r="T82" s="110" t="n"/>
    </row>
    <row r="83" ht="14.25" customHeight="1" s="52">
      <c r="A83" s="104" t="n">
        <v>76</v>
      </c>
      <c r="B83" s="119" t="n"/>
      <c r="C83" s="119" t="n"/>
      <c r="D83" s="115" t="inlineStr">
        <is>
          <t>152</t>
        </is>
      </c>
      <c r="E83" s="116" t="n"/>
      <c r="F83" s="115" t="inlineStr">
        <is>
          <t>1521</t>
        </is>
      </c>
      <c r="G83" s="116" t="n"/>
      <c r="H83" s="115" t="inlineStr">
        <is>
          <t>Кредити овернайт, що надані іншим банкам,які обліковуються за амортизованою собівартістю</t>
        </is>
      </c>
      <c r="I83" s="115" t="inlineStr">
        <is>
          <t>А</t>
        </is>
      </c>
      <c r="J83" s="117" t="n">
        <v>0</v>
      </c>
      <c r="K83" s="117" t="n">
        <v>0</v>
      </c>
      <c r="L83" s="117" t="n">
        <v>0</v>
      </c>
      <c r="M83" s="117" t="n">
        <v>0</v>
      </c>
      <c r="N83" s="116" t="n"/>
      <c r="O83" s="117" t="n">
        <v>0</v>
      </c>
      <c r="P83" s="117" t="n">
        <v>0</v>
      </c>
      <c r="Q83" s="117" t="n">
        <v>0</v>
      </c>
      <c r="R83" s="117" t="n">
        <v>0</v>
      </c>
      <c r="S83" s="118" t="n">
        <v>0</v>
      </c>
      <c r="T83" s="110" t="n"/>
    </row>
    <row r="84" ht="13.5" customHeight="1" s="52">
      <c r="A84" s="104" t="n">
        <v>77</v>
      </c>
      <c r="B84" s="119" t="n"/>
      <c r="C84" s="119" t="n"/>
      <c r="D84" s="119" t="n"/>
      <c r="F84" s="115" t="inlineStr">
        <is>
          <t>1522</t>
        </is>
      </c>
      <c r="G84" s="116" t="n"/>
      <c r="H84" s="115" t="inlineStr">
        <is>
          <t>Кредити, що надані іншим банкам за операціями репо, які обліковуються за амортизованою собівартістю</t>
        </is>
      </c>
      <c r="I84" s="115" t="inlineStr">
        <is>
          <t>А</t>
        </is>
      </c>
      <c r="J84" s="117" t="n">
        <v>0</v>
      </c>
      <c r="K84" s="117" t="n">
        <v>0</v>
      </c>
      <c r="L84" s="117" t="n">
        <v>0</v>
      </c>
      <c r="M84" s="117" t="n">
        <v>0</v>
      </c>
      <c r="N84" s="116" t="n"/>
      <c r="O84" s="117" t="n">
        <v>0</v>
      </c>
      <c r="P84" s="117" t="n">
        <v>0</v>
      </c>
      <c r="Q84" s="117" t="n">
        <v>0</v>
      </c>
      <c r="R84" s="117" t="n">
        <v>0</v>
      </c>
      <c r="S84" s="118" t="n">
        <v>0</v>
      </c>
      <c r="T84" s="110" t="n"/>
    </row>
    <row r="85" ht="13.5" customHeight="1" s="52">
      <c r="A85" s="104" t="n">
        <v>78</v>
      </c>
      <c r="B85" s="119" t="n"/>
      <c r="C85" s="119" t="n"/>
      <c r="D85" s="119" t="n"/>
      <c r="F85" s="115" t="inlineStr">
        <is>
          <t>1524</t>
        </is>
      </c>
      <c r="G85" s="116" t="n"/>
      <c r="H85" s="115" t="inlineStr">
        <is>
          <t>Інші кредити, що надані іншим банкам, які обліковуються за амортизованою собівартістю</t>
        </is>
      </c>
      <c r="I85" s="115" t="inlineStr">
        <is>
          <t>А</t>
        </is>
      </c>
      <c r="J85" s="117" t="n">
        <v>2.02856</v>
      </c>
      <c r="K85" s="117" t="n">
        <v>0</v>
      </c>
      <c r="L85" s="117" t="n">
        <v>2.02856</v>
      </c>
      <c r="M85" s="117" t="n">
        <v>1.34819</v>
      </c>
      <c r="N85" s="116" t="n"/>
      <c r="O85" s="117" t="n">
        <v>0</v>
      </c>
      <c r="P85" s="117" t="n">
        <v>1.34819</v>
      </c>
      <c r="Q85" s="117" t="n">
        <v>128.90196</v>
      </c>
      <c r="R85" s="117" t="n">
        <v>0</v>
      </c>
      <c r="S85" s="118" t="n">
        <v>128.90196</v>
      </c>
      <c r="T85" s="110" t="n"/>
    </row>
    <row r="86" ht="13.5" customHeight="1" s="52">
      <c r="A86" s="104" t="n">
        <v>79</v>
      </c>
      <c r="B86" s="119" t="n"/>
      <c r="C86" s="119" t="n"/>
      <c r="D86" s="119" t="n"/>
      <c r="F86" s="115" t="inlineStr">
        <is>
          <t>1526</t>
        </is>
      </c>
      <c r="G86" s="116" t="n"/>
      <c r="H86" s="115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6" s="115" t="inlineStr">
        <is>
          <t>А</t>
        </is>
      </c>
      <c r="J86" s="117" t="n">
        <v>0</v>
      </c>
      <c r="K86" s="117" t="n">
        <v>0</v>
      </c>
      <c r="L86" s="117" t="n">
        <v>0</v>
      </c>
      <c r="M86" s="117" t="n">
        <v>0</v>
      </c>
      <c r="N86" s="116" t="n"/>
      <c r="O86" s="117" t="n">
        <v>0</v>
      </c>
      <c r="P86" s="117" t="n">
        <v>0</v>
      </c>
      <c r="Q86" s="117" t="n">
        <v>0</v>
      </c>
      <c r="R86" s="117" t="n">
        <v>0</v>
      </c>
      <c r="S86" s="118" t="n">
        <v>0</v>
      </c>
      <c r="T86" s="110" t="n"/>
    </row>
    <row r="87" ht="13.5" customHeight="1" s="52">
      <c r="A87" s="104" t="n">
        <v>80</v>
      </c>
      <c r="B87" s="119" t="n"/>
      <c r="C87" s="119" t="n"/>
      <c r="D87" s="119" t="n"/>
      <c r="F87" s="119" t="n"/>
      <c r="H87" s="119" t="n"/>
      <c r="I87" s="115" t="inlineStr">
        <is>
          <t>П</t>
        </is>
      </c>
      <c r="J87" s="117" t="n">
        <v>0</v>
      </c>
      <c r="K87" s="117" t="n">
        <v>0</v>
      </c>
      <c r="L87" s="117" t="n">
        <v>0</v>
      </c>
      <c r="M87" s="117" t="n">
        <v>0</v>
      </c>
      <c r="N87" s="116" t="n"/>
      <c r="O87" s="117" t="n">
        <v>0</v>
      </c>
      <c r="P87" s="117" t="n">
        <v>0</v>
      </c>
      <c r="Q87" s="117" t="n">
        <v>0</v>
      </c>
      <c r="R87" s="117" t="n">
        <v>0</v>
      </c>
      <c r="S87" s="118" t="n">
        <v>0</v>
      </c>
      <c r="T87" s="110" t="n"/>
    </row>
    <row r="88" ht="14.25" customHeight="1" s="52">
      <c r="A88" s="104" t="n">
        <v>81</v>
      </c>
      <c r="B88" s="119" t="n"/>
      <c r="C88" s="119" t="n"/>
      <c r="D88" s="119" t="n"/>
      <c r="F88" s="115" t="inlineStr">
        <is>
          <t>1528</t>
        </is>
      </c>
      <c r="G88" s="116" t="n"/>
      <c r="H88" s="115" t="inlineStr">
        <is>
          <t>Нараховані доходи за кредитами, що надані іншим банкам, які обліковуються за амортизованою собівартістю</t>
        </is>
      </c>
      <c r="I88" s="115" t="inlineStr">
        <is>
          <t>А</t>
        </is>
      </c>
      <c r="J88" s="117" t="n">
        <v>0</v>
      </c>
      <c r="K88" s="117" t="n">
        <v>0</v>
      </c>
      <c r="L88" s="117" t="n">
        <v>0</v>
      </c>
      <c r="M88" s="117" t="n">
        <v>0</v>
      </c>
      <c r="N88" s="116" t="n"/>
      <c r="O88" s="117" t="n">
        <v>0</v>
      </c>
      <c r="P88" s="117" t="n">
        <v>0</v>
      </c>
      <c r="Q88" s="117" t="n">
        <v>0</v>
      </c>
      <c r="R88" s="117" t="n">
        <v>0</v>
      </c>
      <c r="S88" s="118" t="n">
        <v>0</v>
      </c>
      <c r="T88" s="110" t="n"/>
    </row>
    <row r="89" ht="13.5" customHeight="1" s="52">
      <c r="A89" s="104" t="n">
        <v>82</v>
      </c>
      <c r="B89" s="119" t="n"/>
      <c r="C89" s="119" t="n"/>
      <c r="D89" s="119" t="n"/>
      <c r="F89" s="115" t="inlineStr">
        <is>
          <t>1529</t>
        </is>
      </c>
      <c r="G89" s="116" t="n"/>
      <c r="H89" s="115" t="inlineStr">
        <is>
          <t>Резерв за кредитами, що надані іншим банкам, які обліковуються за амортизованою собівартістю</t>
        </is>
      </c>
      <c r="I89" s="115" t="inlineStr">
        <is>
          <t>П</t>
        </is>
      </c>
      <c r="J89" s="117" t="n">
        <v>1.34819</v>
      </c>
      <c r="K89" s="117" t="n">
        <v>0</v>
      </c>
      <c r="L89" s="117" t="n">
        <v>1.34819</v>
      </c>
      <c r="M89" s="117" t="n">
        <v>2.02856</v>
      </c>
      <c r="N89" s="116" t="n"/>
      <c r="O89" s="117" t="n">
        <v>0</v>
      </c>
      <c r="P89" s="117" t="n">
        <v>2.02856</v>
      </c>
      <c r="Q89" s="117" t="n">
        <v>-128.90196</v>
      </c>
      <c r="R89" s="117" t="n">
        <v>0</v>
      </c>
      <c r="S89" s="118" t="n">
        <v>-128.90196</v>
      </c>
      <c r="T89" s="110" t="n"/>
    </row>
    <row r="90" ht="13.5" customHeight="1" s="52">
      <c r="A90" s="104" t="n">
        <v>83</v>
      </c>
      <c r="B90" s="119" t="n"/>
      <c r="C90" s="119" t="n"/>
      <c r="D90" s="119" t="n"/>
      <c r="F90" s="120" t="inlineStr">
        <is>
          <t>Група 152 - Усього</t>
        </is>
      </c>
      <c r="G90" s="116" t="n"/>
      <c r="H90" s="116" t="n"/>
      <c r="I90" s="120" t="n"/>
      <c r="J90" s="121" t="n">
        <v>3.37675</v>
      </c>
      <c r="K90" s="121" t="n">
        <v>0</v>
      </c>
      <c r="L90" s="121" t="n">
        <v>3.37675</v>
      </c>
      <c r="M90" s="121" t="n">
        <v>3.37675</v>
      </c>
      <c r="N90" s="116" t="n"/>
      <c r="O90" s="121" t="n">
        <v>0</v>
      </c>
      <c r="P90" s="121" t="n">
        <v>3.37675</v>
      </c>
      <c r="Q90" s="121" t="n">
        <v>0</v>
      </c>
      <c r="R90" s="121" t="n">
        <v>0</v>
      </c>
      <c r="S90" s="122" t="n">
        <v>0</v>
      </c>
      <c r="T90" s="110" t="n"/>
    </row>
    <row r="91" ht="20.25" customHeight="1" s="52">
      <c r="A91" s="104" t="n">
        <v>84</v>
      </c>
      <c r="B91" s="119" t="n"/>
      <c r="C91" s="119" t="n"/>
      <c r="D91" s="120" t="inlineStr">
        <is>
          <t>Розділ 15 - Усього</t>
        </is>
      </c>
      <c r="E91" s="116" t="n"/>
      <c r="F91" s="120" t="n"/>
      <c r="G91" s="116" t="n"/>
      <c r="H91" s="116" t="n"/>
      <c r="I91" s="120" t="n"/>
      <c r="J91" s="121" t="n">
        <v>474550142.0348</v>
      </c>
      <c r="K91" s="121" t="n">
        <v>0</v>
      </c>
      <c r="L91" s="121" t="n">
        <v>474550142.0348</v>
      </c>
      <c r="M91" s="121" t="n">
        <v>489621452.46286</v>
      </c>
      <c r="N91" s="116" t="n"/>
      <c r="O91" s="121" t="n">
        <v>0</v>
      </c>
      <c r="P91" s="121" t="n">
        <v>489621452.46286</v>
      </c>
      <c r="Q91" s="121" t="n">
        <v>41094808.86384</v>
      </c>
      <c r="R91" s="121" t="n">
        <v>0</v>
      </c>
      <c r="S91" s="122" t="n">
        <v>41094808.86384</v>
      </c>
      <c r="T91" s="110" t="n"/>
    </row>
    <row r="92" ht="13.5" customHeight="1" s="52">
      <c r="A92" s="104" t="n">
        <v>85</v>
      </c>
      <c r="B92" s="119" t="n"/>
      <c r="C92" s="115" t="inlineStr">
        <is>
          <t>16</t>
        </is>
      </c>
      <c r="D92" s="115" t="inlineStr">
        <is>
          <t>160</t>
        </is>
      </c>
      <c r="E92" s="116" t="n"/>
      <c r="F92" s="115" t="inlineStr">
        <is>
          <t>1600</t>
        </is>
      </c>
      <c r="G92" s="116" t="n"/>
      <c r="H92" s="115" t="inlineStr">
        <is>
          <t>Кореспондентські рахунки інших банків</t>
        </is>
      </c>
      <c r="I92" s="115" t="inlineStr">
        <is>
          <t>А</t>
        </is>
      </c>
      <c r="J92" s="117" t="n">
        <v>177445135.90137</v>
      </c>
      <c r="K92" s="117" t="n">
        <v>116792582.75365</v>
      </c>
      <c r="L92" s="117" t="n">
        <v>60652553.14772</v>
      </c>
      <c r="M92" s="117" t="n">
        <v>179279669.15806</v>
      </c>
      <c r="N92" s="116" t="n"/>
      <c r="O92" s="117" t="n">
        <v>118717152.32294</v>
      </c>
      <c r="P92" s="117" t="n">
        <v>60562516.83512</v>
      </c>
      <c r="Q92" s="117" t="n">
        <v>0</v>
      </c>
      <c r="R92" s="117" t="n">
        <v>0</v>
      </c>
      <c r="S92" s="118" t="n">
        <v>0</v>
      </c>
      <c r="T92" s="110" t="n"/>
    </row>
    <row r="93" ht="14.25" customHeight="1" s="52">
      <c r="A93" s="104" t="n">
        <v>86</v>
      </c>
      <c r="B93" s="119" t="n"/>
      <c r="C93" s="119" t="n"/>
      <c r="D93" s="119" t="n"/>
      <c r="F93" s="120" t="inlineStr">
        <is>
          <t>Група 160 - Усього</t>
        </is>
      </c>
      <c r="G93" s="116" t="n"/>
      <c r="H93" s="116" t="n"/>
      <c r="I93" s="120" t="n"/>
      <c r="J93" s="121" t="n">
        <v>177445135.90137</v>
      </c>
      <c r="K93" s="121" t="n">
        <v>116792582.75365</v>
      </c>
      <c r="L93" s="121" t="n">
        <v>60652553.14772</v>
      </c>
      <c r="M93" s="121" t="n">
        <v>179279669.15806</v>
      </c>
      <c r="N93" s="116" t="n"/>
      <c r="O93" s="121" t="n">
        <v>118717152.32294</v>
      </c>
      <c r="P93" s="121" t="n">
        <v>60562516.83512</v>
      </c>
      <c r="Q93" s="121" t="n">
        <v>0</v>
      </c>
      <c r="R93" s="121" t="n">
        <v>0</v>
      </c>
      <c r="S93" s="122" t="n">
        <v>0</v>
      </c>
      <c r="T93" s="110" t="n"/>
    </row>
    <row r="94" ht="18" customHeight="1" s="52">
      <c r="A94" s="104" t="n">
        <v>87</v>
      </c>
      <c r="B94" s="119" t="n"/>
      <c r="C94" s="119" t="n"/>
      <c r="D94" s="120" t="inlineStr">
        <is>
          <t>Розділ 16 - Усього</t>
        </is>
      </c>
      <c r="E94" s="116" t="n"/>
      <c r="F94" s="120" t="n"/>
      <c r="G94" s="116" t="n"/>
      <c r="H94" s="116" t="n"/>
      <c r="I94" s="120" t="n"/>
      <c r="J94" s="121" t="n">
        <v>177445135.90137</v>
      </c>
      <c r="K94" s="121" t="n">
        <v>116792582.75365</v>
      </c>
      <c r="L94" s="121" t="n">
        <v>60652553.14772</v>
      </c>
      <c r="M94" s="121" t="n">
        <v>179279669.15806</v>
      </c>
      <c r="N94" s="116" t="n"/>
      <c r="O94" s="121" t="n">
        <v>118717152.32294</v>
      </c>
      <c r="P94" s="121" t="n">
        <v>60562516.83512</v>
      </c>
      <c r="Q94" s="121" t="n">
        <v>0</v>
      </c>
      <c r="R94" s="121" t="n">
        <v>0</v>
      </c>
      <c r="S94" s="122" t="n">
        <v>0</v>
      </c>
      <c r="T94" s="110" t="n"/>
    </row>
    <row r="95" ht="13.5" customHeight="1" s="52">
      <c r="A95" s="104" t="n">
        <v>88</v>
      </c>
      <c r="B95" s="119" t="n"/>
      <c r="C95" s="115" t="inlineStr">
        <is>
          <t>18</t>
        </is>
      </c>
      <c r="D95" s="115" t="inlineStr">
        <is>
          <t>181</t>
        </is>
      </c>
      <c r="E95" s="116" t="n"/>
      <c r="F95" s="115" t="inlineStr">
        <is>
          <t>1811</t>
        </is>
      </c>
      <c r="G95" s="116" t="n"/>
      <c r="H95" s="115" t="inlineStr">
        <is>
          <t>Дебіторська заборгованість за операціями з готівкою</t>
        </is>
      </c>
      <c r="I95" s="115" t="inlineStr">
        <is>
          <t>А</t>
        </is>
      </c>
      <c r="J95" s="117" t="n">
        <v>2967453.33068</v>
      </c>
      <c r="K95" s="117" t="n">
        <v>1944259.039</v>
      </c>
      <c r="L95" s="117" t="n">
        <v>1023194.29168</v>
      </c>
      <c r="M95" s="117" t="n">
        <v>2967553.33068</v>
      </c>
      <c r="N95" s="116" t="n"/>
      <c r="O95" s="117" t="n">
        <v>1944359.039</v>
      </c>
      <c r="P95" s="117" t="n">
        <v>1023194.29168</v>
      </c>
      <c r="Q95" s="117" t="n">
        <v>4200</v>
      </c>
      <c r="R95" s="117" t="n">
        <v>4200</v>
      </c>
      <c r="S95" s="118" t="n">
        <v>0</v>
      </c>
      <c r="T95" s="110" t="n"/>
    </row>
    <row r="96" ht="13.5" customHeight="1" s="52">
      <c r="A96" s="104" t="n">
        <v>89</v>
      </c>
      <c r="B96" s="119" t="n"/>
      <c r="C96" s="119" t="n"/>
      <c r="D96" s="119" t="n"/>
      <c r="F96" s="115" t="inlineStr">
        <is>
          <t>1819</t>
        </is>
      </c>
      <c r="G96" s="116" t="n"/>
      <c r="H96" s="115" t="inlineStr">
        <is>
          <t>Інша дебіторська заборгованість за операціями з банками</t>
        </is>
      </c>
      <c r="I96" s="115" t="inlineStr">
        <is>
          <t>А</t>
        </is>
      </c>
      <c r="J96" s="117" t="n">
        <v>34369.64378</v>
      </c>
      <c r="K96" s="117" t="n">
        <v>2968.95121</v>
      </c>
      <c r="L96" s="117" t="n">
        <v>31400.69257</v>
      </c>
      <c r="M96" s="117" t="n">
        <v>14188.13542</v>
      </c>
      <c r="N96" s="116" t="n"/>
      <c r="O96" s="117" t="n">
        <v>2375.05292</v>
      </c>
      <c r="P96" s="117" t="n">
        <v>11813.0825</v>
      </c>
      <c r="Q96" s="117" t="n">
        <v>20181.50836</v>
      </c>
      <c r="R96" s="117" t="n">
        <v>593.89829</v>
      </c>
      <c r="S96" s="118" t="n">
        <v>19587.61007</v>
      </c>
      <c r="T96" s="110" t="n"/>
    </row>
    <row r="97" ht="13.5" customHeight="1" s="52">
      <c r="A97" s="104" t="n">
        <v>90</v>
      </c>
      <c r="B97" s="119" t="n"/>
      <c r="C97" s="119" t="n"/>
      <c r="D97" s="119" t="n"/>
      <c r="F97" s="120" t="inlineStr">
        <is>
          <t>Група 181 - Усього</t>
        </is>
      </c>
      <c r="G97" s="116" t="n"/>
      <c r="H97" s="116" t="n"/>
      <c r="I97" s="120" t="n"/>
      <c r="J97" s="121" t="n">
        <v>3001822.97446</v>
      </c>
      <c r="K97" s="121" t="n">
        <v>1947227.99021</v>
      </c>
      <c r="L97" s="121" t="n">
        <v>1054594.98425</v>
      </c>
      <c r="M97" s="121" t="n">
        <v>2981741.4661</v>
      </c>
      <c r="N97" s="116" t="n"/>
      <c r="O97" s="121" t="n">
        <v>1946734.09192</v>
      </c>
      <c r="P97" s="121" t="n">
        <v>1035007.37418</v>
      </c>
      <c r="Q97" s="121" t="n">
        <v>24381.50836</v>
      </c>
      <c r="R97" s="121" t="n">
        <v>4793.89829</v>
      </c>
      <c r="S97" s="122" t="n">
        <v>19587.61007</v>
      </c>
      <c r="T97" s="110" t="n"/>
    </row>
    <row r="98" ht="14.25" customHeight="1" s="52">
      <c r="A98" s="104" t="n">
        <v>91</v>
      </c>
      <c r="B98" s="119" t="n"/>
      <c r="C98" s="119" t="n"/>
      <c r="D98" s="115" t="inlineStr">
        <is>
          <t>183</t>
        </is>
      </c>
      <c r="E98" s="116" t="n"/>
      <c r="F98" s="115" t="inlineStr">
        <is>
          <t>1832</t>
        </is>
      </c>
      <c r="G98" s="116" t="n"/>
      <c r="H98" s="115" t="inlineStr">
        <is>
          <t>Кошти банків у розрахунках</t>
        </is>
      </c>
      <c r="I98" s="115" t="inlineStr">
        <is>
          <t>А</t>
        </is>
      </c>
      <c r="J98" s="117" t="n">
        <v>18562.83814</v>
      </c>
      <c r="K98" s="117" t="n">
        <v>0</v>
      </c>
      <c r="L98" s="117" t="n">
        <v>18562.83814</v>
      </c>
      <c r="M98" s="117" t="n">
        <v>20387.92957</v>
      </c>
      <c r="N98" s="116" t="n"/>
      <c r="O98" s="117" t="n">
        <v>0</v>
      </c>
      <c r="P98" s="117" t="n">
        <v>20387.92957</v>
      </c>
      <c r="Q98" s="117" t="n">
        <v>954406.2056099999</v>
      </c>
      <c r="R98" s="117" t="n">
        <v>20</v>
      </c>
      <c r="S98" s="118" t="n">
        <v>954386.2056099999</v>
      </c>
      <c r="T98" s="110" t="n"/>
    </row>
    <row r="99" ht="13.5" customHeight="1" s="52">
      <c r="A99" s="104" t="n">
        <v>92</v>
      </c>
      <c r="B99" s="119" t="n"/>
      <c r="C99" s="119" t="n"/>
      <c r="D99" s="119" t="n"/>
      <c r="F99" s="115" t="inlineStr">
        <is>
          <t>1839</t>
        </is>
      </c>
      <c r="G99" s="116" t="n"/>
      <c r="H99" s="115" t="inlineStr">
        <is>
          <t>Резерви за коштами банків у розрахунках</t>
        </is>
      </c>
      <c r="I99" s="115" t="inlineStr">
        <is>
          <t>П</t>
        </is>
      </c>
      <c r="J99" s="117" t="n">
        <v>17.24608</v>
      </c>
      <c r="K99" s="117" t="n">
        <v>0</v>
      </c>
      <c r="L99" s="117" t="n">
        <v>17.24608</v>
      </c>
      <c r="M99" s="117" t="n">
        <v>18.66862</v>
      </c>
      <c r="N99" s="116" t="n"/>
      <c r="O99" s="117" t="n">
        <v>0</v>
      </c>
      <c r="P99" s="117" t="n">
        <v>18.66862</v>
      </c>
      <c r="Q99" s="117" t="n">
        <v>-1049.66831</v>
      </c>
      <c r="R99" s="117" t="n">
        <v>0</v>
      </c>
      <c r="S99" s="118" t="n">
        <v>-1049.66831</v>
      </c>
      <c r="T99" s="110" t="n"/>
    </row>
    <row r="100" ht="13.5" customHeight="1" s="52">
      <c r="A100" s="104" t="n">
        <v>93</v>
      </c>
      <c r="B100" s="119" t="n"/>
      <c r="C100" s="119" t="n"/>
      <c r="D100" s="119" t="n"/>
      <c r="F100" s="120" t="inlineStr">
        <is>
          <t>Група 183 - Усього</t>
        </is>
      </c>
      <c r="G100" s="116" t="n"/>
      <c r="H100" s="116" t="n"/>
      <c r="I100" s="120" t="n"/>
      <c r="J100" s="121" t="n">
        <v>18580.08422</v>
      </c>
      <c r="K100" s="121" t="n">
        <v>0</v>
      </c>
      <c r="L100" s="121" t="n">
        <v>18580.08422</v>
      </c>
      <c r="M100" s="121" t="n">
        <v>20406.59819</v>
      </c>
      <c r="N100" s="116" t="n"/>
      <c r="O100" s="121" t="n">
        <v>0</v>
      </c>
      <c r="P100" s="121" t="n">
        <v>20406.59819</v>
      </c>
      <c r="Q100" s="121" t="n">
        <v>953356.5373</v>
      </c>
      <c r="R100" s="121" t="n">
        <v>20</v>
      </c>
      <c r="S100" s="122" t="n">
        <v>953336.5373</v>
      </c>
      <c r="T100" s="110" t="n"/>
    </row>
    <row r="101" ht="13.5" customHeight="1" s="52">
      <c r="A101" s="104" t="n">
        <v>94</v>
      </c>
      <c r="B101" s="119" t="n"/>
      <c r="C101" s="119" t="n"/>
      <c r="D101" s="115" t="inlineStr">
        <is>
          <t>189</t>
        </is>
      </c>
      <c r="E101" s="116" t="n"/>
      <c r="F101" s="115" t="inlineStr">
        <is>
          <t>1890</t>
        </is>
      </c>
      <c r="G101" s="116" t="n"/>
      <c r="H101" s="115" t="inlineStr">
        <is>
          <t>Резерви під дебіторську заборгованість за операціями з банками</t>
        </is>
      </c>
      <c r="I101" s="115" t="inlineStr">
        <is>
          <t>П</t>
        </is>
      </c>
      <c r="J101" s="117" t="n">
        <v>262.3</v>
      </c>
      <c r="K101" s="117" t="n">
        <v>262.3</v>
      </c>
      <c r="L101" s="117" t="n">
        <v>0</v>
      </c>
      <c r="M101" s="117" t="n">
        <v>1487.27205</v>
      </c>
      <c r="N101" s="116" t="n"/>
      <c r="O101" s="117" t="n">
        <v>292.4278</v>
      </c>
      <c r="P101" s="117" t="n">
        <v>1194.84425</v>
      </c>
      <c r="Q101" s="117" t="n">
        <v>-1487.27205</v>
      </c>
      <c r="R101" s="117" t="n">
        <v>-292.4278</v>
      </c>
      <c r="S101" s="118" t="n">
        <v>-1194.84425</v>
      </c>
      <c r="T101" s="110" t="n"/>
    </row>
    <row r="102" ht="13.5" customHeight="1" s="52">
      <c r="A102" s="104" t="n">
        <v>95</v>
      </c>
      <c r="B102" s="119" t="n"/>
      <c r="C102" s="119" t="n"/>
      <c r="D102" s="119" t="n"/>
      <c r="F102" s="120" t="inlineStr">
        <is>
          <t>Група 189 - Усього</t>
        </is>
      </c>
      <c r="G102" s="116" t="n"/>
      <c r="H102" s="116" t="n"/>
      <c r="I102" s="120" t="n"/>
      <c r="J102" s="121" t="n">
        <v>262.3</v>
      </c>
      <c r="K102" s="121" t="n">
        <v>262.3</v>
      </c>
      <c r="L102" s="121" t="n">
        <v>0</v>
      </c>
      <c r="M102" s="121" t="n">
        <v>1487.27205</v>
      </c>
      <c r="N102" s="116" t="n"/>
      <c r="O102" s="121" t="n">
        <v>292.4278</v>
      </c>
      <c r="P102" s="121" t="n">
        <v>1194.84425</v>
      </c>
      <c r="Q102" s="121" t="n">
        <v>-1487.27205</v>
      </c>
      <c r="R102" s="121" t="n">
        <v>-292.4278</v>
      </c>
      <c r="S102" s="122" t="n">
        <v>-1194.84425</v>
      </c>
      <c r="T102" s="110" t="n"/>
    </row>
    <row r="103" ht="18.75" customHeight="1" s="52">
      <c r="A103" s="104" t="n">
        <v>96</v>
      </c>
      <c r="B103" s="119" t="n"/>
      <c r="C103" s="119" t="n"/>
      <c r="D103" s="120" t="inlineStr">
        <is>
          <t>Розділ 18 - Усього</t>
        </is>
      </c>
      <c r="E103" s="116" t="n"/>
      <c r="F103" s="120" t="n"/>
      <c r="G103" s="116" t="n"/>
      <c r="H103" s="116" t="n"/>
      <c r="I103" s="120" t="n"/>
      <c r="J103" s="121" t="n">
        <v>3020665.35868</v>
      </c>
      <c r="K103" s="121" t="n">
        <v>1947490.29021</v>
      </c>
      <c r="L103" s="121" t="n">
        <v>1073175.06847</v>
      </c>
      <c r="M103" s="121" t="n">
        <v>3003635.33634</v>
      </c>
      <c r="N103" s="116" t="n"/>
      <c r="O103" s="121" t="n">
        <v>1947026.51972</v>
      </c>
      <c r="P103" s="121" t="n">
        <v>1056608.81662</v>
      </c>
      <c r="Q103" s="121" t="n">
        <v>976250.77361</v>
      </c>
      <c r="R103" s="121" t="n">
        <v>4521.47049</v>
      </c>
      <c r="S103" s="122" t="n">
        <v>971729.3031200001</v>
      </c>
      <c r="T103" s="110" t="n"/>
    </row>
    <row r="104" ht="23.25" customHeight="1" s="52">
      <c r="A104" s="104" t="n">
        <v>97</v>
      </c>
      <c r="B104" s="119" t="n"/>
      <c r="C104" s="120" t="inlineStr">
        <is>
          <t xml:space="preserve">  Клас 1 - Усього</t>
        </is>
      </c>
      <c r="D104" s="120" t="n"/>
      <c r="E104" s="116" t="n"/>
      <c r="F104" s="120" t="n"/>
      <c r="G104" s="116" t="n"/>
      <c r="H104" s="116" t="n"/>
      <c r="I104" s="120" t="n"/>
      <c r="J104" s="121" t="n">
        <v>1542028912.52699</v>
      </c>
      <c r="K104" s="121" t="n">
        <v>999688933.85338</v>
      </c>
      <c r="L104" s="121" t="n">
        <v>542339978.67361</v>
      </c>
      <c r="M104" s="121" t="n">
        <v>1554546296.57476</v>
      </c>
      <c r="N104" s="116" t="n"/>
      <c r="O104" s="121" t="n">
        <v>997765682.1737601</v>
      </c>
      <c r="P104" s="121" t="n">
        <v>556780614.401</v>
      </c>
      <c r="Q104" s="121" t="n">
        <v>156824710.87606</v>
      </c>
      <c r="R104" s="121" t="n">
        <v>113477243.00088</v>
      </c>
      <c r="S104" s="122" t="n">
        <v>43347467.87518</v>
      </c>
      <c r="T104" s="110" t="n"/>
    </row>
    <row r="105" ht="13.5" customHeight="1" s="52">
      <c r="A105" s="104" t="n">
        <v>98</v>
      </c>
      <c r="B105" s="115" t="inlineStr">
        <is>
          <t>Клас 2</t>
        </is>
      </c>
      <c r="C105" s="115" t="inlineStr">
        <is>
          <t>20</t>
        </is>
      </c>
      <c r="D105" s="115" t="inlineStr">
        <is>
          <t>201</t>
        </is>
      </c>
      <c r="E105" s="116" t="n"/>
      <c r="F105" s="115" t="inlineStr">
        <is>
          <t>2010</t>
        </is>
      </c>
      <c r="G105" s="116" t="n"/>
      <c r="H105" s="115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5" s="115" t="inlineStr">
        <is>
          <t>А</t>
        </is>
      </c>
      <c r="J105" s="117" t="n">
        <v>94578.82000000001</v>
      </c>
      <c r="K105" s="117" t="n">
        <v>94578.82000000001</v>
      </c>
      <c r="L105" s="117" t="n">
        <v>0</v>
      </c>
      <c r="M105" s="117" t="n">
        <v>94578.82000000001</v>
      </c>
      <c r="N105" s="116" t="n"/>
      <c r="O105" s="117" t="n">
        <v>94578.82000000001</v>
      </c>
      <c r="P105" s="117" t="n">
        <v>0</v>
      </c>
      <c r="Q105" s="117" t="n">
        <v>0</v>
      </c>
      <c r="R105" s="117" t="n">
        <v>0</v>
      </c>
      <c r="S105" s="118" t="n">
        <v>0</v>
      </c>
      <c r="T105" s="110" t="n"/>
    </row>
    <row r="106" ht="13.5" customHeight="1" s="52">
      <c r="A106" s="104" t="n">
        <v>99</v>
      </c>
      <c r="B106" s="119" t="n"/>
      <c r="C106" s="119" t="n"/>
      <c r="D106" s="119" t="n"/>
      <c r="F106" s="115" t="inlineStr">
        <is>
          <t>2016</t>
        </is>
      </c>
      <c r="G106" s="116" t="n"/>
      <c r="H106" s="115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6" s="115" t="inlineStr">
        <is>
          <t>А</t>
        </is>
      </c>
      <c r="J106" s="117" t="n">
        <v>0</v>
      </c>
      <c r="K106" s="117" t="n">
        <v>0</v>
      </c>
      <c r="L106" s="117" t="n">
        <v>0</v>
      </c>
      <c r="M106" s="117" t="n">
        <v>0</v>
      </c>
      <c r="N106" s="116" t="n"/>
      <c r="O106" s="117" t="n">
        <v>0</v>
      </c>
      <c r="P106" s="117" t="n">
        <v>0</v>
      </c>
      <c r="Q106" s="117" t="n">
        <v>0</v>
      </c>
      <c r="R106" s="117" t="n">
        <v>0</v>
      </c>
      <c r="S106" s="118" t="n">
        <v>0</v>
      </c>
      <c r="T106" s="110" t="n"/>
    </row>
    <row r="107" ht="13.5" customHeight="1" s="52">
      <c r="A107" s="104" t="n">
        <v>100</v>
      </c>
      <c r="B107" s="119" t="n"/>
      <c r="C107" s="119" t="n"/>
      <c r="D107" s="119" t="n"/>
      <c r="F107" s="119" t="n"/>
      <c r="H107" s="119" t="n"/>
      <c r="I107" s="115" t="inlineStr">
        <is>
          <t>П</t>
        </is>
      </c>
      <c r="J107" s="117" t="n">
        <v>0</v>
      </c>
      <c r="K107" s="117" t="n">
        <v>0</v>
      </c>
      <c r="L107" s="117" t="n">
        <v>0</v>
      </c>
      <c r="M107" s="117" t="n">
        <v>0</v>
      </c>
      <c r="N107" s="116" t="n"/>
      <c r="O107" s="117" t="n">
        <v>0</v>
      </c>
      <c r="P107" s="117" t="n">
        <v>0</v>
      </c>
      <c r="Q107" s="117" t="n">
        <v>0</v>
      </c>
      <c r="R107" s="117" t="n">
        <v>0</v>
      </c>
      <c r="S107" s="118" t="n">
        <v>0</v>
      </c>
      <c r="T107" s="110" t="n"/>
    </row>
    <row r="108" ht="14.25" customHeight="1" s="52">
      <c r="A108" s="104" t="n">
        <v>101</v>
      </c>
      <c r="B108" s="119" t="n"/>
      <c r="C108" s="119" t="n"/>
      <c r="D108" s="119" t="n"/>
      <c r="F108" s="115" t="inlineStr">
        <is>
          <t>2018</t>
        </is>
      </c>
      <c r="G108" s="116" t="n"/>
      <c r="H108" s="115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8" s="115" t="inlineStr">
        <is>
          <t>А</t>
        </is>
      </c>
      <c r="J108" s="117" t="n">
        <v>42.7567</v>
      </c>
      <c r="K108" s="117" t="n">
        <v>42.7567</v>
      </c>
      <c r="L108" s="117" t="n">
        <v>0</v>
      </c>
      <c r="M108" s="117" t="n">
        <v>42.7567</v>
      </c>
      <c r="N108" s="116" t="n"/>
      <c r="O108" s="117" t="n">
        <v>42.7567</v>
      </c>
      <c r="P108" s="117" t="n">
        <v>0</v>
      </c>
      <c r="Q108" s="117" t="n">
        <v>0</v>
      </c>
      <c r="R108" s="117" t="n">
        <v>0</v>
      </c>
      <c r="S108" s="118" t="n">
        <v>0</v>
      </c>
      <c r="T108" s="110" t="n"/>
    </row>
    <row r="109" ht="13.5" customHeight="1" s="52">
      <c r="A109" s="104" t="n">
        <v>102</v>
      </c>
      <c r="B109" s="119" t="n"/>
      <c r="C109" s="119" t="n"/>
      <c r="D109" s="119" t="n"/>
      <c r="F109" s="115" t="inlineStr">
        <is>
          <t>2019</t>
        </is>
      </c>
      <c r="G109" s="116" t="n"/>
      <c r="H109" s="115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09" s="115" t="inlineStr">
        <is>
          <t>П</t>
        </is>
      </c>
      <c r="J109" s="117" t="n">
        <v>0</v>
      </c>
      <c r="K109" s="117" t="n">
        <v>0</v>
      </c>
      <c r="L109" s="117" t="n">
        <v>0</v>
      </c>
      <c r="M109" s="117" t="n">
        <v>0</v>
      </c>
      <c r="N109" s="116" t="n"/>
      <c r="O109" s="117" t="n">
        <v>0</v>
      </c>
      <c r="P109" s="117" t="n">
        <v>0</v>
      </c>
      <c r="Q109" s="117" t="n">
        <v>0</v>
      </c>
      <c r="R109" s="117" t="n">
        <v>0</v>
      </c>
      <c r="S109" s="118" t="n">
        <v>0</v>
      </c>
      <c r="T109" s="110" t="n"/>
    </row>
    <row r="110" ht="13.5" customHeight="1" s="52">
      <c r="A110" s="104" t="n">
        <v>103</v>
      </c>
      <c r="B110" s="119" t="n"/>
      <c r="C110" s="119" t="n"/>
      <c r="D110" s="119" t="n"/>
      <c r="F110" s="120" t="inlineStr">
        <is>
          <t>Група 201 - Усього</t>
        </is>
      </c>
      <c r="G110" s="116" t="n"/>
      <c r="H110" s="116" t="n"/>
      <c r="I110" s="120" t="n"/>
      <c r="J110" s="121" t="n">
        <v>94621.57670000001</v>
      </c>
      <c r="K110" s="121" t="n">
        <v>94621.57670000001</v>
      </c>
      <c r="L110" s="121" t="n">
        <v>0</v>
      </c>
      <c r="M110" s="121" t="n">
        <v>94621.57670000001</v>
      </c>
      <c r="N110" s="116" t="n"/>
      <c r="O110" s="121" t="n">
        <v>94621.57670000001</v>
      </c>
      <c r="P110" s="121" t="n">
        <v>0</v>
      </c>
      <c r="Q110" s="121" t="n">
        <v>0</v>
      </c>
      <c r="R110" s="121" t="n">
        <v>0</v>
      </c>
      <c r="S110" s="122" t="n">
        <v>0</v>
      </c>
      <c r="T110" s="110" t="n"/>
    </row>
    <row r="111" ht="13.5" customHeight="1" s="52">
      <c r="A111" s="104" t="n">
        <v>104</v>
      </c>
      <c r="B111" s="119" t="n"/>
      <c r="C111" s="119" t="n"/>
      <c r="D111" s="115" t="inlineStr">
        <is>
          <t>202</t>
        </is>
      </c>
      <c r="E111" s="116" t="n"/>
      <c r="F111" s="115" t="inlineStr">
        <is>
          <t>2020</t>
        </is>
      </c>
      <c r="G111" s="116" t="n"/>
      <c r="H111" s="115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1" s="115" t="inlineStr">
        <is>
          <t>А</t>
        </is>
      </c>
      <c r="J111" s="117" t="n">
        <v>0</v>
      </c>
      <c r="K111" s="117" t="n">
        <v>0</v>
      </c>
      <c r="L111" s="117" t="n">
        <v>0</v>
      </c>
      <c r="M111" s="117" t="n">
        <v>0</v>
      </c>
      <c r="N111" s="116" t="n"/>
      <c r="O111" s="117" t="n">
        <v>0</v>
      </c>
      <c r="P111" s="117" t="n">
        <v>0</v>
      </c>
      <c r="Q111" s="117" t="n">
        <v>68711.72744</v>
      </c>
      <c r="R111" s="117" t="n">
        <v>68711.72744</v>
      </c>
      <c r="S111" s="118" t="n">
        <v>0</v>
      </c>
      <c r="T111" s="110" t="n"/>
    </row>
    <row r="112" ht="13.5" customHeight="1" s="52">
      <c r="A112" s="104" t="n">
        <v>105</v>
      </c>
      <c r="B112" s="119" t="n"/>
      <c r="C112" s="119" t="n"/>
      <c r="D112" s="119" t="n"/>
      <c r="F112" s="115" t="inlineStr">
        <is>
          <t>2026</t>
        </is>
      </c>
      <c r="G112" s="116" t="n"/>
      <c r="H112" s="115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2" s="115" t="inlineStr">
        <is>
          <t>А</t>
        </is>
      </c>
      <c r="J112" s="117" t="n">
        <v>0</v>
      </c>
      <c r="K112" s="117" t="n">
        <v>0</v>
      </c>
      <c r="L112" s="117" t="n">
        <v>0</v>
      </c>
      <c r="M112" s="117" t="n">
        <v>0</v>
      </c>
      <c r="N112" s="116" t="n"/>
      <c r="O112" s="117" t="n">
        <v>0</v>
      </c>
      <c r="P112" s="117" t="n">
        <v>0</v>
      </c>
      <c r="Q112" s="117" t="n">
        <v>0</v>
      </c>
      <c r="R112" s="117" t="n">
        <v>0</v>
      </c>
      <c r="S112" s="118" t="n">
        <v>0</v>
      </c>
      <c r="T112" s="110" t="n"/>
    </row>
    <row r="113" ht="14.25" customHeight="1" s="52">
      <c r="A113" s="104" t="n">
        <v>106</v>
      </c>
      <c r="B113" s="119" t="n"/>
      <c r="C113" s="119" t="n"/>
      <c r="D113" s="119" t="n"/>
      <c r="F113" s="119" t="n"/>
      <c r="H113" s="119" t="n"/>
      <c r="I113" s="115" t="inlineStr">
        <is>
          <t>П</t>
        </is>
      </c>
      <c r="J113" s="117" t="n">
        <v>0</v>
      </c>
      <c r="K113" s="117" t="n">
        <v>0</v>
      </c>
      <c r="L113" s="117" t="n">
        <v>0</v>
      </c>
      <c r="M113" s="117" t="n">
        <v>0</v>
      </c>
      <c r="N113" s="116" t="n"/>
      <c r="O113" s="117" t="n">
        <v>0</v>
      </c>
      <c r="P113" s="117" t="n">
        <v>0</v>
      </c>
      <c r="Q113" s="117" t="n">
        <v>0</v>
      </c>
      <c r="R113" s="117" t="n">
        <v>0</v>
      </c>
      <c r="S113" s="118" t="n">
        <v>0</v>
      </c>
      <c r="T113" s="110" t="n"/>
    </row>
    <row r="114" ht="13.5" customHeight="1" s="52">
      <c r="A114" s="104" t="n">
        <v>107</v>
      </c>
      <c r="B114" s="119" t="n"/>
      <c r="C114" s="119" t="n"/>
      <c r="D114" s="119" t="n"/>
      <c r="F114" s="115" t="inlineStr">
        <is>
          <t>2028</t>
        </is>
      </c>
      <c r="G114" s="116" t="n"/>
      <c r="H114" s="115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4" s="115" t="inlineStr">
        <is>
          <t>А</t>
        </is>
      </c>
      <c r="J114" s="117" t="n">
        <v>0</v>
      </c>
      <c r="K114" s="117" t="n">
        <v>0</v>
      </c>
      <c r="L114" s="117" t="n">
        <v>0</v>
      </c>
      <c r="M114" s="117" t="n">
        <v>0</v>
      </c>
      <c r="N114" s="116" t="n"/>
      <c r="O114" s="117" t="n">
        <v>0</v>
      </c>
      <c r="P114" s="117" t="n">
        <v>0</v>
      </c>
      <c r="Q114" s="117" t="n">
        <v>9756.12902</v>
      </c>
      <c r="R114" s="117" t="n">
        <v>9756.12902</v>
      </c>
      <c r="S114" s="118" t="n">
        <v>0</v>
      </c>
      <c r="T114" s="110" t="n"/>
    </row>
    <row r="115" ht="13.5" customHeight="1" s="52">
      <c r="A115" s="104" t="n">
        <v>108</v>
      </c>
      <c r="B115" s="119" t="n"/>
      <c r="C115" s="119" t="n"/>
      <c r="D115" s="119" t="n"/>
      <c r="F115" s="115" t="inlineStr">
        <is>
          <t>2029</t>
        </is>
      </c>
      <c r="G115" s="116" t="n"/>
      <c r="H115" s="115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15" t="inlineStr">
        <is>
          <t>П</t>
        </is>
      </c>
      <c r="J115" s="117" t="n">
        <v>0</v>
      </c>
      <c r="K115" s="117" t="n">
        <v>0</v>
      </c>
      <c r="L115" s="117" t="n">
        <v>0</v>
      </c>
      <c r="M115" s="117" t="n">
        <v>0</v>
      </c>
      <c r="N115" s="116" t="n"/>
      <c r="O115" s="117" t="n">
        <v>0</v>
      </c>
      <c r="P115" s="117" t="n">
        <v>0</v>
      </c>
      <c r="Q115" s="117" t="n">
        <v>-78467.85646</v>
      </c>
      <c r="R115" s="117" t="n">
        <v>-78467.85646</v>
      </c>
      <c r="S115" s="118" t="n">
        <v>0</v>
      </c>
      <c r="T115" s="110" t="n"/>
    </row>
    <row r="116" ht="13.5" customHeight="1" s="52">
      <c r="A116" s="104" t="n">
        <v>109</v>
      </c>
      <c r="B116" s="119" t="n"/>
      <c r="C116" s="119" t="n"/>
      <c r="D116" s="119" t="n"/>
      <c r="F116" s="120" t="inlineStr">
        <is>
          <t>Група 202 - Усього</t>
        </is>
      </c>
      <c r="G116" s="116" t="n"/>
      <c r="H116" s="116" t="n"/>
      <c r="I116" s="120" t="n"/>
      <c r="J116" s="121" t="n">
        <v>0</v>
      </c>
      <c r="K116" s="121" t="n">
        <v>0</v>
      </c>
      <c r="L116" s="121" t="n">
        <v>0</v>
      </c>
      <c r="M116" s="121" t="n">
        <v>0</v>
      </c>
      <c r="N116" s="116" t="n"/>
      <c r="O116" s="121" t="n">
        <v>0</v>
      </c>
      <c r="P116" s="121" t="n">
        <v>0</v>
      </c>
      <c r="Q116" s="121" t="n">
        <v>1.45519152283669e-11</v>
      </c>
      <c r="R116" s="121" t="n">
        <v>1.45519152283669e-11</v>
      </c>
      <c r="S116" s="122" t="n">
        <v>0</v>
      </c>
      <c r="T116" s="110" t="n"/>
    </row>
    <row r="117" ht="13.5" customHeight="1" s="52">
      <c r="A117" s="104" t="n">
        <v>110</v>
      </c>
      <c r="B117" s="119" t="n"/>
      <c r="C117" s="119" t="n"/>
      <c r="D117" s="115" t="inlineStr">
        <is>
          <t>203</t>
        </is>
      </c>
      <c r="E117" s="116" t="n"/>
      <c r="F117" s="115" t="inlineStr">
        <is>
          <t>2030</t>
        </is>
      </c>
      <c r="G117" s="116" t="n"/>
      <c r="H117" s="115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7" s="115" t="inlineStr">
        <is>
          <t>А</t>
        </is>
      </c>
      <c r="J117" s="117" t="n">
        <v>0</v>
      </c>
      <c r="K117" s="117" t="n">
        <v>0</v>
      </c>
      <c r="L117" s="117" t="n">
        <v>0</v>
      </c>
      <c r="M117" s="117" t="n">
        <v>0</v>
      </c>
      <c r="N117" s="116" t="n"/>
      <c r="O117" s="117" t="n">
        <v>0</v>
      </c>
      <c r="P117" s="117" t="n">
        <v>0</v>
      </c>
      <c r="Q117" s="117" t="n">
        <v>0</v>
      </c>
      <c r="R117" s="117" t="n">
        <v>0</v>
      </c>
      <c r="S117" s="118" t="n">
        <v>0</v>
      </c>
      <c r="T117" s="110" t="n"/>
    </row>
    <row r="118" ht="14.25" customHeight="1" s="52">
      <c r="A118" s="104" t="n">
        <v>111</v>
      </c>
      <c r="B118" s="119" t="n"/>
      <c r="C118" s="119" t="n"/>
      <c r="D118" s="119" t="n"/>
      <c r="F118" s="115" t="inlineStr">
        <is>
          <t>2036</t>
        </is>
      </c>
      <c r="G118" s="116" t="n"/>
      <c r="H118" s="115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8" s="115" t="inlineStr">
        <is>
          <t>А</t>
        </is>
      </c>
      <c r="J118" s="117" t="n">
        <v>0</v>
      </c>
      <c r="K118" s="117" t="n">
        <v>0</v>
      </c>
      <c r="L118" s="117" t="n">
        <v>0</v>
      </c>
      <c r="M118" s="117" t="n">
        <v>0</v>
      </c>
      <c r="N118" s="116" t="n"/>
      <c r="O118" s="117" t="n">
        <v>0</v>
      </c>
      <c r="P118" s="117" t="n">
        <v>0</v>
      </c>
      <c r="Q118" s="117" t="n">
        <v>0</v>
      </c>
      <c r="R118" s="117" t="n">
        <v>0</v>
      </c>
      <c r="S118" s="118" t="n">
        <v>0</v>
      </c>
      <c r="T118" s="110" t="n"/>
    </row>
    <row r="119" ht="13.5" customHeight="1" s="52">
      <c r="A119" s="104" t="n">
        <v>112</v>
      </c>
      <c r="B119" s="119" t="n"/>
      <c r="C119" s="119" t="n"/>
      <c r="D119" s="119" t="n"/>
      <c r="F119" s="119" t="n"/>
      <c r="H119" s="119" t="n"/>
      <c r="I119" s="115" t="inlineStr">
        <is>
          <t>П</t>
        </is>
      </c>
      <c r="J119" s="117" t="n">
        <v>0</v>
      </c>
      <c r="K119" s="117" t="n">
        <v>0</v>
      </c>
      <c r="L119" s="117" t="n">
        <v>0</v>
      </c>
      <c r="M119" s="117" t="n">
        <v>0</v>
      </c>
      <c r="N119" s="116" t="n"/>
      <c r="O119" s="117" t="n">
        <v>0</v>
      </c>
      <c r="P119" s="117" t="n">
        <v>0</v>
      </c>
      <c r="Q119" s="117" t="n">
        <v>0</v>
      </c>
      <c r="R119" s="117" t="n">
        <v>0</v>
      </c>
      <c r="S119" s="118" t="n">
        <v>0</v>
      </c>
      <c r="T119" s="110" t="n"/>
    </row>
    <row r="120" ht="13.5" customHeight="1" s="52">
      <c r="A120" s="104" t="n">
        <v>113</v>
      </c>
      <c r="B120" s="119" t="n"/>
      <c r="C120" s="119" t="n"/>
      <c r="D120" s="119" t="n"/>
      <c r="F120" s="115" t="inlineStr">
        <is>
          <t>2038</t>
        </is>
      </c>
      <c r="G120" s="116" t="n"/>
      <c r="H120" s="115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0" s="115" t="inlineStr">
        <is>
          <t>А</t>
        </is>
      </c>
      <c r="J120" s="117" t="n">
        <v>0</v>
      </c>
      <c r="K120" s="117" t="n">
        <v>0</v>
      </c>
      <c r="L120" s="117" t="n">
        <v>0</v>
      </c>
      <c r="M120" s="117" t="n">
        <v>0</v>
      </c>
      <c r="N120" s="116" t="n"/>
      <c r="O120" s="117" t="n">
        <v>0</v>
      </c>
      <c r="P120" s="117" t="n">
        <v>0</v>
      </c>
      <c r="Q120" s="117" t="n">
        <v>0</v>
      </c>
      <c r="R120" s="117" t="n">
        <v>0</v>
      </c>
      <c r="S120" s="118" t="n">
        <v>0</v>
      </c>
      <c r="T120" s="110" t="n"/>
    </row>
    <row r="121" ht="13.5" customHeight="1" s="52">
      <c r="A121" s="104" t="n">
        <v>114</v>
      </c>
      <c r="B121" s="119" t="n"/>
      <c r="C121" s="119" t="n"/>
      <c r="D121" s="119" t="n"/>
      <c r="F121" s="115" t="inlineStr">
        <is>
          <t>2039</t>
        </is>
      </c>
      <c r="G121" s="116" t="n"/>
      <c r="H121" s="115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15" t="inlineStr">
        <is>
          <t>П</t>
        </is>
      </c>
      <c r="J121" s="117" t="n">
        <v>0</v>
      </c>
      <c r="K121" s="117" t="n">
        <v>0</v>
      </c>
      <c r="L121" s="117" t="n">
        <v>0</v>
      </c>
      <c r="M121" s="117" t="n">
        <v>0</v>
      </c>
      <c r="N121" s="116" t="n"/>
      <c r="O121" s="117" t="n">
        <v>0</v>
      </c>
      <c r="P121" s="117" t="n">
        <v>0</v>
      </c>
      <c r="Q121" s="117" t="n">
        <v>0</v>
      </c>
      <c r="R121" s="117" t="n">
        <v>0</v>
      </c>
      <c r="S121" s="118" t="n">
        <v>0</v>
      </c>
      <c r="T121" s="110" t="n"/>
    </row>
    <row r="122" ht="13.5" customHeight="1" s="52">
      <c r="A122" s="104" t="n">
        <v>115</v>
      </c>
      <c r="B122" s="119" t="n"/>
      <c r="C122" s="119" t="n"/>
      <c r="D122" s="119" t="n"/>
      <c r="F122" s="120" t="inlineStr">
        <is>
          <t>Група 203 - Усього</t>
        </is>
      </c>
      <c r="G122" s="116" t="n"/>
      <c r="H122" s="116" t="n"/>
      <c r="I122" s="120" t="n"/>
      <c r="J122" s="121" t="n">
        <v>0</v>
      </c>
      <c r="K122" s="121" t="n">
        <v>0</v>
      </c>
      <c r="L122" s="121" t="n">
        <v>0</v>
      </c>
      <c r="M122" s="121" t="n">
        <v>0</v>
      </c>
      <c r="N122" s="116" t="n"/>
      <c r="O122" s="121" t="n">
        <v>0</v>
      </c>
      <c r="P122" s="121" t="n">
        <v>0</v>
      </c>
      <c r="Q122" s="121" t="n">
        <v>0</v>
      </c>
      <c r="R122" s="121" t="n">
        <v>0</v>
      </c>
      <c r="S122" s="122" t="n">
        <v>0</v>
      </c>
      <c r="T122" s="110" t="n"/>
    </row>
    <row r="123" ht="14.25" customHeight="1" s="52">
      <c r="A123" s="104" t="n">
        <v>116</v>
      </c>
      <c r="B123" s="119" t="n"/>
      <c r="C123" s="119" t="n"/>
      <c r="D123" s="115" t="inlineStr">
        <is>
          <t>204</t>
        </is>
      </c>
      <c r="E123" s="116" t="n"/>
      <c r="F123" s="115" t="inlineStr">
        <is>
          <t>2043</t>
        </is>
      </c>
      <c r="G123" s="116" t="n"/>
      <c r="H123" s="115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3" s="115" t="inlineStr">
        <is>
          <t>А</t>
        </is>
      </c>
      <c r="J123" s="117" t="n">
        <v>93233.66649</v>
      </c>
      <c r="K123" s="117" t="n">
        <v>13033</v>
      </c>
      <c r="L123" s="117" t="n">
        <v>80200.66649</v>
      </c>
      <c r="M123" s="117" t="n">
        <v>740457.7487</v>
      </c>
      <c r="N123" s="116" t="n"/>
      <c r="O123" s="117" t="n">
        <v>638275.8282</v>
      </c>
      <c r="P123" s="117" t="n">
        <v>102181.9205</v>
      </c>
      <c r="Q123" s="117" t="n">
        <v>13316480.33294</v>
      </c>
      <c r="R123" s="117" t="n">
        <v>8549270.585820001</v>
      </c>
      <c r="S123" s="118" t="n">
        <v>4767209.74712</v>
      </c>
      <c r="T123" s="110" t="n"/>
    </row>
    <row r="124" ht="13.5" customHeight="1" s="52">
      <c r="A124" s="104" t="n">
        <v>117</v>
      </c>
      <c r="B124" s="119" t="n"/>
      <c r="C124" s="119" t="n"/>
      <c r="D124" s="119" t="n"/>
      <c r="F124" s="115" t="inlineStr">
        <is>
          <t>2044</t>
        </is>
      </c>
      <c r="G124" s="116" t="n"/>
      <c r="H124" s="115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4" s="115" t="inlineStr">
        <is>
          <t>А</t>
        </is>
      </c>
      <c r="J124" s="117" t="n">
        <v>0</v>
      </c>
      <c r="K124" s="117" t="n">
        <v>0</v>
      </c>
      <c r="L124" s="117" t="n">
        <v>0</v>
      </c>
      <c r="M124" s="117" t="n">
        <v>0</v>
      </c>
      <c r="N124" s="116" t="n"/>
      <c r="O124" s="117" t="n">
        <v>0</v>
      </c>
      <c r="P124" s="117" t="n">
        <v>0</v>
      </c>
      <c r="Q124" s="117" t="n">
        <v>0</v>
      </c>
      <c r="R124" s="117" t="n">
        <v>0</v>
      </c>
      <c r="S124" s="118" t="n">
        <v>0</v>
      </c>
      <c r="T124" s="110" t="n"/>
    </row>
    <row r="125" ht="13.5" customHeight="1" s="52">
      <c r="A125" s="104" t="n">
        <v>118</v>
      </c>
      <c r="B125" s="119" t="n"/>
      <c r="C125" s="119" t="n"/>
      <c r="D125" s="119" t="n"/>
      <c r="F125" s="115" t="inlineStr">
        <is>
          <t>2045</t>
        </is>
      </c>
      <c r="G125" s="116" t="n"/>
      <c r="H125" s="115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5" s="115" t="inlineStr">
        <is>
          <t>А</t>
        </is>
      </c>
      <c r="J125" s="117" t="n">
        <v>0</v>
      </c>
      <c r="K125" s="117" t="n">
        <v>0</v>
      </c>
      <c r="L125" s="117" t="n">
        <v>0</v>
      </c>
      <c r="M125" s="117" t="n">
        <v>211.44401</v>
      </c>
      <c r="N125" s="116" t="n"/>
      <c r="O125" s="117" t="n">
        <v>211.44401</v>
      </c>
      <c r="P125" s="117" t="n">
        <v>0</v>
      </c>
      <c r="Q125" s="117" t="n">
        <v>69657.52323000001</v>
      </c>
      <c r="R125" s="117" t="n">
        <v>69657.52323000001</v>
      </c>
      <c r="S125" s="118" t="n">
        <v>0</v>
      </c>
      <c r="T125" s="110" t="n"/>
    </row>
    <row r="126" ht="13.5" customHeight="1" s="52">
      <c r="A126" s="104" t="n">
        <v>119</v>
      </c>
      <c r="B126" s="119" t="n"/>
      <c r="C126" s="119" t="n"/>
      <c r="D126" s="119" t="n"/>
      <c r="F126" s="115" t="inlineStr">
        <is>
          <t>2046</t>
        </is>
      </c>
      <c r="G126" s="116" t="n"/>
      <c r="H126" s="115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6" s="115" t="inlineStr">
        <is>
          <t>А</t>
        </is>
      </c>
      <c r="J126" s="117" t="n">
        <v>144992.40596</v>
      </c>
      <c r="K126" s="117" t="n">
        <v>112678.36743</v>
      </c>
      <c r="L126" s="117" t="n">
        <v>32314.03853</v>
      </c>
      <c r="M126" s="117" t="n">
        <v>47737.13849</v>
      </c>
      <c r="N126" s="116" t="n"/>
      <c r="O126" s="117" t="n">
        <v>1381.03995</v>
      </c>
      <c r="P126" s="117" t="n">
        <v>46356.09854</v>
      </c>
      <c r="Q126" s="117" t="n">
        <v>0</v>
      </c>
      <c r="R126" s="117" t="n">
        <v>0</v>
      </c>
      <c r="S126" s="118" t="n">
        <v>0</v>
      </c>
      <c r="T126" s="110" t="n"/>
    </row>
    <row r="127" ht="13.5" customHeight="1" s="52">
      <c r="A127" s="104" t="n">
        <v>120</v>
      </c>
      <c r="B127" s="119" t="n"/>
      <c r="C127" s="119" t="n"/>
      <c r="D127" s="119" t="n"/>
      <c r="F127" s="119" t="n"/>
      <c r="H127" s="119" t="n"/>
      <c r="I127" s="115" t="inlineStr">
        <is>
          <t>П</t>
        </is>
      </c>
      <c r="J127" s="117" t="n">
        <v>0</v>
      </c>
      <c r="K127" s="117" t="n">
        <v>0</v>
      </c>
      <c r="L127" s="117" t="n">
        <v>0</v>
      </c>
      <c r="M127" s="117" t="n">
        <v>0</v>
      </c>
      <c r="N127" s="116" t="n"/>
      <c r="O127" s="117" t="n">
        <v>0</v>
      </c>
      <c r="P127" s="117" t="n">
        <v>0</v>
      </c>
      <c r="Q127" s="117" t="n">
        <v>-10686512.16421</v>
      </c>
      <c r="R127" s="117" t="n">
        <v>-7979064.90729</v>
      </c>
      <c r="S127" s="118" t="n">
        <v>-2707447.25692</v>
      </c>
      <c r="T127" s="110" t="n"/>
    </row>
    <row r="128" ht="14.25" customHeight="1" s="52">
      <c r="A128" s="104" t="n">
        <v>121</v>
      </c>
      <c r="B128" s="119" t="n"/>
      <c r="C128" s="119" t="n"/>
      <c r="D128" s="119" t="n"/>
      <c r="F128" s="115" t="inlineStr">
        <is>
          <t>2048</t>
        </is>
      </c>
      <c r="G128" s="116" t="n"/>
      <c r="H128" s="115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8" s="115" t="inlineStr">
        <is>
          <t>А</t>
        </is>
      </c>
      <c r="J128" s="117" t="n">
        <v>71963.90225</v>
      </c>
      <c r="K128" s="117" t="n">
        <v>43820.34343</v>
      </c>
      <c r="L128" s="117" t="n">
        <v>28143.55882</v>
      </c>
      <c r="M128" s="117" t="n">
        <v>80514.72758999999</v>
      </c>
      <c r="N128" s="116" t="n"/>
      <c r="O128" s="117" t="n">
        <v>52494.74825</v>
      </c>
      <c r="P128" s="117" t="n">
        <v>28019.97934</v>
      </c>
      <c r="Q128" s="117" t="n">
        <v>6030433.55283</v>
      </c>
      <c r="R128" s="117" t="n">
        <v>5728426.22712</v>
      </c>
      <c r="S128" s="118" t="n">
        <v>302007.32571</v>
      </c>
      <c r="T128" s="110" t="n"/>
    </row>
    <row r="129" ht="13.5" customHeight="1" s="52">
      <c r="A129" s="104" t="n">
        <v>122</v>
      </c>
      <c r="B129" s="119" t="n"/>
      <c r="C129" s="119" t="n"/>
      <c r="D129" s="119" t="n"/>
      <c r="F129" s="115" t="inlineStr">
        <is>
          <t>2049</t>
        </is>
      </c>
      <c r="G129" s="116" t="n"/>
      <c r="H129" s="115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15" t="inlineStr">
        <is>
          <t>А</t>
        </is>
      </c>
      <c r="J129" s="117" t="n">
        <v>175483.25253</v>
      </c>
      <c r="K129" s="117" t="n">
        <v>140623.75125</v>
      </c>
      <c r="L129" s="117" t="n">
        <v>34859.50128</v>
      </c>
      <c r="M129" s="117" t="n">
        <v>63799.64649</v>
      </c>
      <c r="N129" s="116" t="n"/>
      <c r="O129" s="117" t="n">
        <v>20410.81314</v>
      </c>
      <c r="P129" s="117" t="n">
        <v>43388.83335</v>
      </c>
      <c r="Q129" s="117" t="n">
        <v>517322.51649</v>
      </c>
      <c r="R129" s="117" t="n">
        <v>45249.21502</v>
      </c>
      <c r="S129" s="118" t="n">
        <v>472073.30147</v>
      </c>
      <c r="T129" s="110" t="n"/>
    </row>
    <row r="130" ht="13.5" customHeight="1" s="52">
      <c r="A130" s="104" t="n">
        <v>123</v>
      </c>
      <c r="B130" s="119" t="n"/>
      <c r="C130" s="119" t="n"/>
      <c r="D130" s="119" t="n"/>
      <c r="F130" s="119" t="n"/>
      <c r="H130" s="119" t="n"/>
      <c r="I130" s="115" t="inlineStr">
        <is>
          <t>П</t>
        </is>
      </c>
      <c r="J130" s="117" t="n">
        <v>0</v>
      </c>
      <c r="K130" s="117" t="n">
        <v>0</v>
      </c>
      <c r="L130" s="117" t="n">
        <v>0</v>
      </c>
      <c r="M130" s="117" t="n">
        <v>0</v>
      </c>
      <c r="N130" s="116" t="n"/>
      <c r="O130" s="117" t="n">
        <v>0</v>
      </c>
      <c r="P130" s="117" t="n">
        <v>0</v>
      </c>
      <c r="Q130" s="117" t="n">
        <v>-3299391.21143</v>
      </c>
      <c r="R130" s="117" t="n">
        <v>-2467307.3306</v>
      </c>
      <c r="S130" s="118" t="n">
        <v>-832083.88083</v>
      </c>
      <c r="T130" s="110" t="n"/>
    </row>
    <row r="131" ht="13.5" customHeight="1" s="52">
      <c r="A131" s="104" t="n">
        <v>124</v>
      </c>
      <c r="B131" s="119" t="n"/>
      <c r="C131" s="119" t="n"/>
      <c r="D131" s="119" t="n"/>
      <c r="F131" s="120" t="inlineStr">
        <is>
          <t>Група 204 - Усього</t>
        </is>
      </c>
      <c r="G131" s="116" t="n"/>
      <c r="H131" s="116" t="n"/>
      <c r="I131" s="120" t="n"/>
      <c r="J131" s="121" t="n">
        <v>485673.22723</v>
      </c>
      <c r="K131" s="121" t="n">
        <v>310155.46211</v>
      </c>
      <c r="L131" s="121" t="n">
        <v>175517.76512</v>
      </c>
      <c r="M131" s="121" t="n">
        <v>932720.70528</v>
      </c>
      <c r="N131" s="116" t="n"/>
      <c r="O131" s="121" t="n">
        <v>712773.87355</v>
      </c>
      <c r="P131" s="121" t="n">
        <v>219946.83173</v>
      </c>
      <c r="Q131" s="121" t="n">
        <v>5947990.54985</v>
      </c>
      <c r="R131" s="121" t="n">
        <v>3946231.3133</v>
      </c>
      <c r="S131" s="122" t="n">
        <v>2001759.23655</v>
      </c>
      <c r="T131" s="110" t="n"/>
    </row>
    <row r="132" ht="13.5" customHeight="1" s="52">
      <c r="A132" s="104" t="n">
        <v>125</v>
      </c>
      <c r="B132" s="119" t="n"/>
      <c r="C132" s="119" t="n"/>
      <c r="D132" s="115" t="inlineStr">
        <is>
          <t>206</t>
        </is>
      </c>
      <c r="E132" s="116" t="n"/>
      <c r="F132" s="115" t="inlineStr">
        <is>
          <t>2060</t>
        </is>
      </c>
      <c r="G132" s="116" t="n"/>
      <c r="H132" s="115" t="inlineStr">
        <is>
          <t>Кошти банків в розрахунках у суб'єктів господарювання</t>
        </is>
      </c>
      <c r="I132" s="115" t="inlineStr">
        <is>
          <t>А</t>
        </is>
      </c>
      <c r="J132" s="117" t="n">
        <v>18758702.50004</v>
      </c>
      <c r="K132" s="117" t="n">
        <v>15305409.53341</v>
      </c>
      <c r="L132" s="117" t="n">
        <v>3453292.96663</v>
      </c>
      <c r="M132" s="117" t="n">
        <v>18758702.50004</v>
      </c>
      <c r="N132" s="116" t="n"/>
      <c r="O132" s="117" t="n">
        <v>15305409.53341</v>
      </c>
      <c r="P132" s="117" t="n">
        <v>3453292.96663</v>
      </c>
      <c r="Q132" s="117" t="n">
        <v>0</v>
      </c>
      <c r="R132" s="117" t="n">
        <v>0</v>
      </c>
      <c r="S132" s="118" t="n">
        <v>0</v>
      </c>
      <c r="T132" s="110" t="n"/>
    </row>
    <row r="133" ht="14.25" customHeight="1" s="52">
      <c r="A133" s="104" t="n">
        <v>126</v>
      </c>
      <c r="B133" s="119" t="n"/>
      <c r="C133" s="119" t="n"/>
      <c r="D133" s="119" t="n"/>
      <c r="F133" s="115" t="inlineStr">
        <is>
          <t>2063</t>
        </is>
      </c>
      <c r="G133" s="116" t="n"/>
      <c r="H133" s="115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3" s="115" t="inlineStr">
        <is>
          <t>А</t>
        </is>
      </c>
      <c r="J133" s="117" t="n">
        <v>8298276.28865</v>
      </c>
      <c r="K133" s="117" t="n">
        <v>4705884.24229</v>
      </c>
      <c r="L133" s="117" t="n">
        <v>3592392.04636</v>
      </c>
      <c r="M133" s="117" t="n">
        <v>4594583.98386</v>
      </c>
      <c r="N133" s="116" t="n"/>
      <c r="O133" s="117" t="n">
        <v>1750758.93251</v>
      </c>
      <c r="P133" s="117" t="n">
        <v>2843825.05135</v>
      </c>
      <c r="Q133" s="117" t="n">
        <v>94669919.75606</v>
      </c>
      <c r="R133" s="117" t="n">
        <v>42716141.42988</v>
      </c>
      <c r="S133" s="118" t="n">
        <v>51953778.32618</v>
      </c>
      <c r="T133" s="110" t="n"/>
    </row>
    <row r="134" ht="13.5" customHeight="1" s="52">
      <c r="A134" s="104" t="n">
        <v>127</v>
      </c>
      <c r="B134" s="119" t="n"/>
      <c r="C134" s="119" t="n"/>
      <c r="D134" s="119" t="n"/>
      <c r="F134" s="115" t="inlineStr">
        <is>
          <t>2066</t>
        </is>
      </c>
      <c r="G134" s="116" t="n"/>
      <c r="H134" s="115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4" s="115" t="inlineStr">
        <is>
          <t>А</t>
        </is>
      </c>
      <c r="J134" s="117" t="n">
        <v>32301.76088</v>
      </c>
      <c r="K134" s="117" t="n">
        <v>6997.27098</v>
      </c>
      <c r="L134" s="117" t="n">
        <v>25304.4899</v>
      </c>
      <c r="M134" s="117" t="n">
        <v>213561.7561</v>
      </c>
      <c r="N134" s="116" t="n"/>
      <c r="O134" s="117" t="n">
        <v>8955.40004</v>
      </c>
      <c r="P134" s="117" t="n">
        <v>204606.35606</v>
      </c>
      <c r="Q134" s="117" t="n">
        <v>15034.76826</v>
      </c>
      <c r="R134" s="117" t="n">
        <v>13592.86637</v>
      </c>
      <c r="S134" s="118" t="n">
        <v>1441.90189</v>
      </c>
      <c r="T134" s="110" t="n"/>
    </row>
    <row r="135" ht="13.5" customHeight="1" s="52">
      <c r="A135" s="104" t="n">
        <v>128</v>
      </c>
      <c r="B135" s="119" t="n"/>
      <c r="C135" s="119" t="n"/>
      <c r="D135" s="119" t="n"/>
      <c r="F135" s="119" t="n"/>
      <c r="H135" s="119" t="n"/>
      <c r="I135" s="115" t="inlineStr">
        <is>
          <t>П</t>
        </is>
      </c>
      <c r="J135" s="117" t="n">
        <v>0</v>
      </c>
      <c r="K135" s="117" t="n">
        <v>0</v>
      </c>
      <c r="L135" s="117" t="n">
        <v>0</v>
      </c>
      <c r="M135" s="117" t="n">
        <v>0</v>
      </c>
      <c r="N135" s="116" t="n"/>
      <c r="O135" s="117" t="n">
        <v>0</v>
      </c>
      <c r="P135" s="117" t="n">
        <v>0</v>
      </c>
      <c r="Q135" s="117" t="n">
        <v>-481492.86327</v>
      </c>
      <c r="R135" s="117" t="n">
        <v>-59903.79748</v>
      </c>
      <c r="S135" s="118" t="n">
        <v>-421589.06579</v>
      </c>
      <c r="T135" s="110" t="n"/>
    </row>
    <row r="136" ht="13.5" customHeight="1" s="52">
      <c r="A136" s="104" t="n">
        <v>129</v>
      </c>
      <c r="B136" s="119" t="n"/>
      <c r="C136" s="119" t="n"/>
      <c r="D136" s="119" t="n"/>
      <c r="F136" s="115" t="inlineStr">
        <is>
          <t>2068</t>
        </is>
      </c>
      <c r="G136" s="116" t="n"/>
      <c r="H136" s="115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6" s="115" t="inlineStr">
        <is>
          <t>А</t>
        </is>
      </c>
      <c r="J136" s="117" t="n">
        <v>972960.33452</v>
      </c>
      <c r="K136" s="117" t="n">
        <v>657652.31014</v>
      </c>
      <c r="L136" s="117" t="n">
        <v>315308.02438</v>
      </c>
      <c r="M136" s="117" t="n">
        <v>963104.504</v>
      </c>
      <c r="N136" s="116" t="n"/>
      <c r="O136" s="117" t="n">
        <v>665670.7128100001</v>
      </c>
      <c r="P136" s="117" t="n">
        <v>297433.79119</v>
      </c>
      <c r="Q136" s="117" t="n">
        <v>2864578.71126</v>
      </c>
      <c r="R136" s="117" t="n">
        <v>1327307.77602</v>
      </c>
      <c r="S136" s="118" t="n">
        <v>1537270.93524</v>
      </c>
      <c r="T136" s="110" t="n"/>
    </row>
    <row r="137" ht="13.5" customHeight="1" s="52">
      <c r="A137" s="104" t="n">
        <v>130</v>
      </c>
      <c r="B137" s="119" t="n"/>
      <c r="C137" s="119" t="n"/>
      <c r="D137" s="119" t="n"/>
      <c r="F137" s="115" t="inlineStr">
        <is>
          <t>2069</t>
        </is>
      </c>
      <c r="G137" s="116" t="n"/>
      <c r="H137" s="115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7" s="115" t="inlineStr">
        <is>
          <t>П</t>
        </is>
      </c>
      <c r="J137" s="117" t="n">
        <v>426058.46899</v>
      </c>
      <c r="K137" s="117" t="n">
        <v>28536.54376</v>
      </c>
      <c r="L137" s="117" t="n">
        <v>397521.92523</v>
      </c>
      <c r="M137" s="117" t="n">
        <v>310359.69009</v>
      </c>
      <c r="N137" s="116" t="n"/>
      <c r="O137" s="117" t="n">
        <v>32276.24326</v>
      </c>
      <c r="P137" s="117" t="n">
        <v>278083.44683</v>
      </c>
      <c r="Q137" s="117" t="n">
        <v>-13351842.85974</v>
      </c>
      <c r="R137" s="117" t="n">
        <v>-1699123.38486</v>
      </c>
      <c r="S137" s="118" t="n">
        <v>-11652719.47488</v>
      </c>
      <c r="T137" s="110" t="n"/>
    </row>
    <row r="138" ht="14.25" customHeight="1" s="52">
      <c r="A138" s="104" t="n">
        <v>131</v>
      </c>
      <c r="B138" s="119" t="n"/>
      <c r="C138" s="119" t="n"/>
      <c r="D138" s="119" t="n"/>
      <c r="F138" s="120" t="inlineStr">
        <is>
          <t>Група 206 - Усього</t>
        </is>
      </c>
      <c r="G138" s="116" t="n"/>
      <c r="H138" s="116" t="n"/>
      <c r="I138" s="120" t="n"/>
      <c r="J138" s="121" t="n">
        <v>28488299.35308</v>
      </c>
      <c r="K138" s="121" t="n">
        <v>20704479.90058</v>
      </c>
      <c r="L138" s="121" t="n">
        <v>7783819.4525</v>
      </c>
      <c r="M138" s="121" t="n">
        <v>24840312.43409</v>
      </c>
      <c r="N138" s="116" t="n"/>
      <c r="O138" s="121" t="n">
        <v>17763070.82203</v>
      </c>
      <c r="P138" s="121" t="n">
        <v>7077241.61206</v>
      </c>
      <c r="Q138" s="121" t="n">
        <v>83716197.51256999</v>
      </c>
      <c r="R138" s="121" t="n">
        <v>42298014.88993</v>
      </c>
      <c r="S138" s="122" t="n">
        <v>41418182.62264</v>
      </c>
      <c r="T138" s="110" t="n"/>
    </row>
    <row r="139" ht="13.5" customHeight="1" s="52">
      <c r="A139" s="104" t="n">
        <v>132</v>
      </c>
      <c r="B139" s="119" t="n"/>
      <c r="C139" s="119" t="n"/>
      <c r="D139" s="115" t="inlineStr">
        <is>
          <t>207</t>
        </is>
      </c>
      <c r="E139" s="116" t="n"/>
      <c r="F139" s="115" t="inlineStr">
        <is>
          <t>2071</t>
        </is>
      </c>
      <c r="G139" s="116" t="n"/>
      <c r="H139" s="115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39" s="115" t="inlineStr">
        <is>
          <t>А</t>
        </is>
      </c>
      <c r="J139" s="117" t="n">
        <v>23492.9529</v>
      </c>
      <c r="K139" s="117" t="n">
        <v>23492.9529</v>
      </c>
      <c r="L139" s="117" t="n">
        <v>0</v>
      </c>
      <c r="M139" s="117" t="n">
        <v>65272.25806</v>
      </c>
      <c r="N139" s="116" t="n"/>
      <c r="O139" s="117" t="n">
        <v>65272.25806</v>
      </c>
      <c r="P139" s="117" t="n">
        <v>0</v>
      </c>
      <c r="Q139" s="117" t="n">
        <v>620112.24625</v>
      </c>
      <c r="R139" s="117" t="n">
        <v>620112.24625</v>
      </c>
      <c r="S139" s="118" t="n">
        <v>0</v>
      </c>
      <c r="T139" s="110" t="n"/>
    </row>
    <row r="140" ht="13.5" customHeight="1" s="52">
      <c r="A140" s="104" t="n">
        <v>133</v>
      </c>
      <c r="B140" s="119" t="n"/>
      <c r="C140" s="119" t="n"/>
      <c r="D140" s="119" t="n"/>
      <c r="F140" s="115" t="inlineStr">
        <is>
          <t>2076</t>
        </is>
      </c>
      <c r="G140" s="116" t="n"/>
      <c r="H140" s="115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0" s="115" t="inlineStr">
        <is>
          <t>А</t>
        </is>
      </c>
      <c r="J140" s="117" t="n">
        <v>1208.33182</v>
      </c>
      <c r="K140" s="117" t="n">
        <v>1208.33182</v>
      </c>
      <c r="L140" s="117" t="n">
        <v>0</v>
      </c>
      <c r="M140" s="117" t="n">
        <v>966.64752</v>
      </c>
      <c r="N140" s="116" t="n"/>
      <c r="O140" s="117" t="n">
        <v>966.64752</v>
      </c>
      <c r="P140" s="117" t="n">
        <v>0</v>
      </c>
      <c r="Q140" s="117" t="n">
        <v>9559.182629999999</v>
      </c>
      <c r="R140" s="117" t="n">
        <v>9559.182629999999</v>
      </c>
      <c r="S140" s="118" t="n">
        <v>0</v>
      </c>
      <c r="T140" s="110" t="n"/>
    </row>
    <row r="141" ht="13.5" customHeight="1" s="52">
      <c r="A141" s="104" t="n">
        <v>134</v>
      </c>
      <c r="B141" s="119" t="n"/>
      <c r="C141" s="119" t="n"/>
      <c r="D141" s="119" t="n"/>
      <c r="F141" s="119" t="n"/>
      <c r="H141" s="119" t="n"/>
      <c r="I141" s="115" t="inlineStr">
        <is>
          <t>П</t>
        </is>
      </c>
      <c r="J141" s="117" t="n">
        <v>0</v>
      </c>
      <c r="K141" s="117" t="n">
        <v>0</v>
      </c>
      <c r="L141" s="117" t="n">
        <v>0</v>
      </c>
      <c r="M141" s="117" t="n">
        <v>0</v>
      </c>
      <c r="N141" s="116" t="n"/>
      <c r="O141" s="117" t="n">
        <v>0</v>
      </c>
      <c r="P141" s="117" t="n">
        <v>0</v>
      </c>
      <c r="Q141" s="117" t="n">
        <v>-26.1262</v>
      </c>
      <c r="R141" s="117" t="n">
        <v>-26.1262</v>
      </c>
      <c r="S141" s="118" t="n">
        <v>0</v>
      </c>
      <c r="T141" s="110" t="n"/>
    </row>
    <row r="142" ht="13.5" customHeight="1" s="52">
      <c r="A142" s="104" t="n">
        <v>135</v>
      </c>
      <c r="B142" s="119" t="n"/>
      <c r="C142" s="119" t="n"/>
      <c r="D142" s="119" t="n"/>
      <c r="F142" s="115" t="inlineStr">
        <is>
          <t>2078</t>
        </is>
      </c>
      <c r="G142" s="116" t="n"/>
      <c r="H142" s="115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2" s="115" t="inlineStr">
        <is>
          <t>А</t>
        </is>
      </c>
      <c r="J142" s="117" t="n">
        <v>12916.62534</v>
      </c>
      <c r="K142" s="117" t="n">
        <v>12916.62534</v>
      </c>
      <c r="L142" s="117" t="n">
        <v>0</v>
      </c>
      <c r="M142" s="117" t="n">
        <v>13835.92087</v>
      </c>
      <c r="N142" s="116" t="n"/>
      <c r="O142" s="117" t="n">
        <v>13835.92087</v>
      </c>
      <c r="P142" s="117" t="n">
        <v>0</v>
      </c>
      <c r="Q142" s="117" t="n">
        <v>12740.29097</v>
      </c>
      <c r="R142" s="117" t="n">
        <v>12740.29097</v>
      </c>
      <c r="S142" s="118" t="n">
        <v>0</v>
      </c>
      <c r="T142" s="110" t="n"/>
    </row>
    <row r="143" ht="14.25" customHeight="1" s="52">
      <c r="A143" s="104" t="n">
        <v>136</v>
      </c>
      <c r="B143" s="119" t="n"/>
      <c r="C143" s="119" t="n"/>
      <c r="D143" s="119" t="n"/>
      <c r="F143" s="115" t="inlineStr">
        <is>
          <t>2079</t>
        </is>
      </c>
      <c r="G143" s="116" t="n"/>
      <c r="H143" s="115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3" s="115" t="inlineStr">
        <is>
          <t>П</t>
        </is>
      </c>
      <c r="J143" s="117" t="n">
        <v>453.41972</v>
      </c>
      <c r="K143" s="117" t="n">
        <v>453.41972</v>
      </c>
      <c r="L143" s="117" t="n">
        <v>0</v>
      </c>
      <c r="M143" s="117" t="n">
        <v>226.60388</v>
      </c>
      <c r="N143" s="116" t="n"/>
      <c r="O143" s="117" t="n">
        <v>226.60388</v>
      </c>
      <c r="P143" s="117" t="n">
        <v>0</v>
      </c>
      <c r="Q143" s="117" t="n">
        <v>-4810.81759</v>
      </c>
      <c r="R143" s="117" t="n">
        <v>-4810.81759</v>
      </c>
      <c r="S143" s="118" t="n">
        <v>0</v>
      </c>
      <c r="T143" s="110" t="n"/>
    </row>
    <row r="144" ht="13.5" customHeight="1" s="52">
      <c r="A144" s="104" t="n">
        <v>137</v>
      </c>
      <c r="B144" s="119" t="n"/>
      <c r="C144" s="119" t="n"/>
      <c r="D144" s="119" t="n"/>
      <c r="F144" s="120" t="inlineStr">
        <is>
          <t>Група 207 - Усього</t>
        </is>
      </c>
      <c r="G144" s="116" t="n"/>
      <c r="H144" s="116" t="n"/>
      <c r="I144" s="120" t="n"/>
      <c r="J144" s="121" t="n">
        <v>38071.32978</v>
      </c>
      <c r="K144" s="121" t="n">
        <v>38071.32978</v>
      </c>
      <c r="L144" s="121" t="n">
        <v>0</v>
      </c>
      <c r="M144" s="121" t="n">
        <v>80301.43033</v>
      </c>
      <c r="N144" s="116" t="n"/>
      <c r="O144" s="121" t="n">
        <v>80301.43033</v>
      </c>
      <c r="P144" s="121" t="n">
        <v>0</v>
      </c>
      <c r="Q144" s="121" t="n">
        <v>637574.7760599999</v>
      </c>
      <c r="R144" s="121" t="n">
        <v>637574.7760599999</v>
      </c>
      <c r="S144" s="122" t="n">
        <v>0</v>
      </c>
      <c r="T144" s="110" t="n"/>
    </row>
    <row r="145" ht="13.5" customHeight="1" s="52">
      <c r="A145" s="104" t="n">
        <v>138</v>
      </c>
      <c r="B145" s="119" t="n"/>
      <c r="C145" s="119" t="n"/>
      <c r="D145" s="115" t="inlineStr">
        <is>
          <t>208</t>
        </is>
      </c>
      <c r="E145" s="116" t="n"/>
      <c r="F145" s="115" t="inlineStr">
        <is>
          <t>2083</t>
        </is>
      </c>
      <c r="G145" s="116" t="n"/>
      <c r="H145" s="115" t="inlineStr">
        <is>
          <t>Іпотечні кредити, що надані суб'єктам господарювання, які обліковуються за амортизованою собівартістю</t>
        </is>
      </c>
      <c r="I145" s="115" t="inlineStr">
        <is>
          <t>А</t>
        </is>
      </c>
      <c r="J145" s="117" t="n">
        <v>0</v>
      </c>
      <c r="K145" s="117" t="n">
        <v>0</v>
      </c>
      <c r="L145" s="117" t="n">
        <v>0</v>
      </c>
      <c r="M145" s="117" t="n">
        <v>264.921</v>
      </c>
      <c r="N145" s="116" t="n"/>
      <c r="O145" s="117" t="n">
        <v>264.921</v>
      </c>
      <c r="P145" s="117" t="n">
        <v>0</v>
      </c>
      <c r="Q145" s="117" t="n">
        <v>10534.92235</v>
      </c>
      <c r="R145" s="117" t="n">
        <v>10534.92235</v>
      </c>
      <c r="S145" s="118" t="n">
        <v>0</v>
      </c>
      <c r="T145" s="110" t="n"/>
    </row>
    <row r="146" ht="13.5" customHeight="1" s="52">
      <c r="A146" s="104" t="n">
        <v>139</v>
      </c>
      <c r="B146" s="119" t="n"/>
      <c r="C146" s="119" t="n"/>
      <c r="D146" s="119" t="n"/>
      <c r="F146" s="115" t="inlineStr">
        <is>
          <t>2086</t>
        </is>
      </c>
      <c r="G146" s="116" t="n"/>
      <c r="H146" s="115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6" s="115" t="inlineStr">
        <is>
          <t>А</t>
        </is>
      </c>
      <c r="J146" s="117" t="n">
        <v>2.11831</v>
      </c>
      <c r="K146" s="117" t="n">
        <v>2.11831</v>
      </c>
      <c r="L146" s="117" t="n">
        <v>0</v>
      </c>
      <c r="M146" s="117" t="n">
        <v>0.01589</v>
      </c>
      <c r="N146" s="116" t="n"/>
      <c r="O146" s="117" t="n">
        <v>0.01589</v>
      </c>
      <c r="P146" s="117" t="n">
        <v>0</v>
      </c>
      <c r="Q146" s="117" t="n">
        <v>0</v>
      </c>
      <c r="R146" s="117" t="n">
        <v>0</v>
      </c>
      <c r="S146" s="118" t="n">
        <v>0</v>
      </c>
      <c r="T146" s="110" t="n"/>
    </row>
    <row r="147" ht="13.5" customHeight="1" s="52">
      <c r="A147" s="104" t="n">
        <v>140</v>
      </c>
      <c r="B147" s="119" t="n"/>
      <c r="C147" s="119" t="n"/>
      <c r="D147" s="119" t="n"/>
      <c r="F147" s="119" t="n"/>
      <c r="H147" s="119" t="n"/>
      <c r="I147" s="115" t="inlineStr">
        <is>
          <t>П</t>
        </is>
      </c>
      <c r="J147" s="117" t="n">
        <v>0</v>
      </c>
      <c r="K147" s="117" t="n">
        <v>0</v>
      </c>
      <c r="L147" s="117" t="n">
        <v>0</v>
      </c>
      <c r="M147" s="117" t="n">
        <v>0</v>
      </c>
      <c r="N147" s="116" t="n"/>
      <c r="O147" s="117" t="n">
        <v>0</v>
      </c>
      <c r="P147" s="117" t="n">
        <v>0</v>
      </c>
      <c r="Q147" s="117" t="n">
        <v>-47.53721</v>
      </c>
      <c r="R147" s="117" t="n">
        <v>-47.53721</v>
      </c>
      <c r="S147" s="118" t="n">
        <v>0</v>
      </c>
      <c r="T147" s="110" t="n"/>
    </row>
    <row r="148" ht="14.25" customHeight="1" s="52">
      <c r="A148" s="104" t="n">
        <v>141</v>
      </c>
      <c r="B148" s="119" t="n"/>
      <c r="C148" s="119" t="n"/>
      <c r="D148" s="119" t="n"/>
      <c r="F148" s="115" t="inlineStr">
        <is>
          <t>2088</t>
        </is>
      </c>
      <c r="G148" s="116" t="n"/>
      <c r="H148" s="115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8" s="115" t="inlineStr">
        <is>
          <t>А</t>
        </is>
      </c>
      <c r="J148" s="117" t="n">
        <v>174.81586</v>
      </c>
      <c r="K148" s="117" t="n">
        <v>174.81586</v>
      </c>
      <c r="L148" s="117" t="n">
        <v>0</v>
      </c>
      <c r="M148" s="117" t="n">
        <v>225.2846</v>
      </c>
      <c r="N148" s="116" t="n"/>
      <c r="O148" s="117" t="n">
        <v>225.2846</v>
      </c>
      <c r="P148" s="117" t="n">
        <v>0</v>
      </c>
      <c r="Q148" s="117" t="n">
        <v>494.90848</v>
      </c>
      <c r="R148" s="117" t="n">
        <v>494.90848</v>
      </c>
      <c r="S148" s="118" t="n">
        <v>0</v>
      </c>
      <c r="T148" s="110" t="n"/>
    </row>
    <row r="149" ht="13.5" customHeight="1" s="52">
      <c r="A149" s="104" t="n">
        <v>142</v>
      </c>
      <c r="B149" s="119" t="n"/>
      <c r="C149" s="119" t="n"/>
      <c r="D149" s="119" t="n"/>
      <c r="F149" s="115" t="inlineStr">
        <is>
          <t>2089</t>
        </is>
      </c>
      <c r="G149" s="116" t="n"/>
      <c r="H149" s="115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49" s="115" t="inlineStr">
        <is>
          <t>П</t>
        </is>
      </c>
      <c r="J149" s="117" t="n">
        <v>3.43717</v>
      </c>
      <c r="K149" s="117" t="n">
        <v>3.43717</v>
      </c>
      <c r="L149" s="117" t="n">
        <v>0</v>
      </c>
      <c r="M149" s="117" t="n">
        <v>0</v>
      </c>
      <c r="N149" s="116" t="n"/>
      <c r="O149" s="117" t="n">
        <v>0</v>
      </c>
      <c r="P149" s="117" t="n">
        <v>0</v>
      </c>
      <c r="Q149" s="117" t="n">
        <v>-314.88856</v>
      </c>
      <c r="R149" s="117" t="n">
        <v>-314.88856</v>
      </c>
      <c r="S149" s="118" t="n">
        <v>0</v>
      </c>
      <c r="T149" s="110" t="n"/>
    </row>
    <row r="150" ht="13.5" customHeight="1" s="52">
      <c r="A150" s="104" t="n">
        <v>143</v>
      </c>
      <c r="B150" s="119" t="n"/>
      <c r="C150" s="119" t="n"/>
      <c r="D150" s="119" t="n"/>
      <c r="F150" s="120" t="inlineStr">
        <is>
          <t>Група 208 - Усього</t>
        </is>
      </c>
      <c r="G150" s="116" t="n"/>
      <c r="H150" s="116" t="n"/>
      <c r="I150" s="120" t="n"/>
      <c r="J150" s="121" t="n">
        <v>180.37134</v>
      </c>
      <c r="K150" s="121" t="n">
        <v>180.37134</v>
      </c>
      <c r="L150" s="121" t="n">
        <v>0</v>
      </c>
      <c r="M150" s="121" t="n">
        <v>490.22149</v>
      </c>
      <c r="N150" s="116" t="n"/>
      <c r="O150" s="121" t="n">
        <v>490.22149</v>
      </c>
      <c r="P150" s="121" t="n">
        <v>0</v>
      </c>
      <c r="Q150" s="121" t="n">
        <v>10667.40506</v>
      </c>
      <c r="R150" s="121" t="n">
        <v>10667.40506</v>
      </c>
      <c r="S150" s="122" t="n">
        <v>0</v>
      </c>
      <c r="T150" s="110" t="n"/>
    </row>
    <row r="151" ht="20.25" customHeight="1" s="52">
      <c r="A151" s="104" t="n">
        <v>144</v>
      </c>
      <c r="B151" s="119" t="n"/>
      <c r="C151" s="119" t="n"/>
      <c r="D151" s="120" t="inlineStr">
        <is>
          <t>Розділ 20 - Усього</t>
        </is>
      </c>
      <c r="E151" s="116" t="n"/>
      <c r="F151" s="120" t="n"/>
      <c r="G151" s="116" t="n"/>
      <c r="H151" s="116" t="n"/>
      <c r="I151" s="120" t="n"/>
      <c r="J151" s="121" t="n">
        <v>29106845.85813</v>
      </c>
      <c r="K151" s="121" t="n">
        <v>21147508.64051</v>
      </c>
      <c r="L151" s="121" t="n">
        <v>7959337.21762</v>
      </c>
      <c r="M151" s="121" t="n">
        <v>25948446.36789</v>
      </c>
      <c r="N151" s="116" t="n"/>
      <c r="O151" s="121" t="n">
        <v>18651257.9241</v>
      </c>
      <c r="P151" s="121" t="n">
        <v>7297188.44379</v>
      </c>
      <c r="Q151" s="121" t="n">
        <v>90312430.24354</v>
      </c>
      <c r="R151" s="121" t="n">
        <v>46892488.38435</v>
      </c>
      <c r="S151" s="122" t="n">
        <v>43419941.85919</v>
      </c>
      <c r="T151" s="110" t="n"/>
    </row>
    <row r="152" ht="13.5" customHeight="1" s="52">
      <c r="A152" s="104" t="n">
        <v>145</v>
      </c>
      <c r="B152" s="119" t="n"/>
      <c r="C152" s="115" t="inlineStr">
        <is>
          <t>21</t>
        </is>
      </c>
      <c r="D152" s="115" t="inlineStr">
        <is>
          <t>210</t>
        </is>
      </c>
      <c r="E152" s="116" t="n"/>
      <c r="F152" s="115" t="inlineStr">
        <is>
          <t>2103</t>
        </is>
      </c>
      <c r="G152" s="116" t="n"/>
      <c r="H152" s="115" t="inlineStr">
        <is>
          <t>Кредити, що надані органам державної влади, які обліковуються за амортизованою собівартістю</t>
        </is>
      </c>
      <c r="I152" s="115" t="inlineStr">
        <is>
          <t>А</t>
        </is>
      </c>
      <c r="J152" s="117" t="n">
        <v>28556.91673</v>
      </c>
      <c r="K152" s="117" t="n">
        <v>0</v>
      </c>
      <c r="L152" s="117" t="n">
        <v>28556.91673</v>
      </c>
      <c r="M152" s="117" t="n">
        <v>239511.27768</v>
      </c>
      <c r="N152" s="116" t="n"/>
      <c r="O152" s="117" t="n">
        <v>27777.77778</v>
      </c>
      <c r="P152" s="117" t="n">
        <v>211733.4999</v>
      </c>
      <c r="Q152" s="117" t="n">
        <v>1768230.7815</v>
      </c>
      <c r="R152" s="117" t="n">
        <v>27777.7777</v>
      </c>
      <c r="S152" s="118" t="n">
        <v>1740453.0038</v>
      </c>
      <c r="T152" s="110" t="n"/>
    </row>
    <row r="153" ht="14.25" customHeight="1" s="52">
      <c r="A153" s="104" t="n">
        <v>146</v>
      </c>
      <c r="B153" s="119" t="n"/>
      <c r="C153" s="119" t="n"/>
      <c r="D153" s="119" t="n"/>
      <c r="F153" s="115" t="inlineStr">
        <is>
          <t>2106</t>
        </is>
      </c>
      <c r="G153" s="116" t="n"/>
      <c r="H153" s="115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3" s="115" t="inlineStr">
        <is>
          <t>А</t>
        </is>
      </c>
      <c r="J153" s="117" t="n">
        <v>160.84783</v>
      </c>
      <c r="K153" s="117" t="n">
        <v>2.24768</v>
      </c>
      <c r="L153" s="117" t="n">
        <v>158.60015</v>
      </c>
      <c r="M153" s="117" t="n">
        <v>13.99129</v>
      </c>
      <c r="N153" s="116" t="n"/>
      <c r="O153" s="117" t="n">
        <v>0.91211</v>
      </c>
      <c r="P153" s="117" t="n">
        <v>13.07918</v>
      </c>
      <c r="Q153" s="117" t="n">
        <v>0.29191</v>
      </c>
      <c r="R153" s="117" t="n">
        <v>0.29191</v>
      </c>
      <c r="S153" s="118" t="n">
        <v>0</v>
      </c>
      <c r="T153" s="110" t="n"/>
    </row>
    <row r="154" ht="13.5" customHeight="1" s="52">
      <c r="A154" s="104" t="n">
        <v>147</v>
      </c>
      <c r="B154" s="119" t="n"/>
      <c r="C154" s="119" t="n"/>
      <c r="D154" s="119" t="n"/>
      <c r="F154" s="119" t="n"/>
      <c r="H154" s="119" t="n"/>
      <c r="I154" s="115" t="inlineStr">
        <is>
          <t>П</t>
        </is>
      </c>
      <c r="J154" s="117" t="n">
        <v>0</v>
      </c>
      <c r="K154" s="117" t="n">
        <v>0</v>
      </c>
      <c r="L154" s="117" t="n">
        <v>0</v>
      </c>
      <c r="M154" s="117" t="n">
        <v>0</v>
      </c>
      <c r="N154" s="116" t="n"/>
      <c r="O154" s="117" t="n">
        <v>0</v>
      </c>
      <c r="P154" s="117" t="n">
        <v>0</v>
      </c>
      <c r="Q154" s="117" t="n">
        <v>-685.72498</v>
      </c>
      <c r="R154" s="117" t="n">
        <v>0</v>
      </c>
      <c r="S154" s="118" t="n">
        <v>-685.72498</v>
      </c>
      <c r="T154" s="110" t="n"/>
    </row>
    <row r="155" ht="13.5" customHeight="1" s="52">
      <c r="A155" s="104" t="n">
        <v>148</v>
      </c>
      <c r="B155" s="119" t="n"/>
      <c r="C155" s="119" t="n"/>
      <c r="D155" s="119" t="n"/>
      <c r="F155" s="115" t="inlineStr">
        <is>
          <t>2108</t>
        </is>
      </c>
      <c r="G155" s="116" t="n"/>
      <c r="H155" s="115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5" s="115" t="inlineStr">
        <is>
          <t>А</t>
        </is>
      </c>
      <c r="J155" s="117" t="n">
        <v>8773.93296</v>
      </c>
      <c r="K155" s="117" t="n">
        <v>550.92592</v>
      </c>
      <c r="L155" s="117" t="n">
        <v>8223.00704</v>
      </c>
      <c r="M155" s="117" t="n">
        <v>10455.59839</v>
      </c>
      <c r="N155" s="116" t="n"/>
      <c r="O155" s="117" t="n">
        <v>1037.03704</v>
      </c>
      <c r="P155" s="117" t="n">
        <v>9418.56135</v>
      </c>
      <c r="Q155" s="117" t="n">
        <v>8717.14237</v>
      </c>
      <c r="R155" s="117" t="n">
        <v>550.92592</v>
      </c>
      <c r="S155" s="118" t="n">
        <v>8166.21645</v>
      </c>
      <c r="T155" s="110" t="n"/>
    </row>
    <row r="156" ht="13.5" customHeight="1" s="52">
      <c r="A156" s="104" t="n">
        <v>149</v>
      </c>
      <c r="B156" s="119" t="n"/>
      <c r="C156" s="119" t="n"/>
      <c r="D156" s="119" t="n"/>
      <c r="F156" s="115" t="inlineStr">
        <is>
          <t>2109</t>
        </is>
      </c>
      <c r="G156" s="116" t="n"/>
      <c r="H156" s="115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6" s="115" t="inlineStr">
        <is>
          <t>П</t>
        </is>
      </c>
      <c r="J156" s="117" t="n">
        <v>3544.46799</v>
      </c>
      <c r="K156" s="117" t="n">
        <v>200.14429</v>
      </c>
      <c r="L156" s="117" t="n">
        <v>3344.3237</v>
      </c>
      <c r="M156" s="117" t="n">
        <v>1784.79037</v>
      </c>
      <c r="N156" s="116" t="n"/>
      <c r="O156" s="117" t="n">
        <v>0</v>
      </c>
      <c r="P156" s="117" t="n">
        <v>1784.79037</v>
      </c>
      <c r="Q156" s="117" t="n">
        <v>-95624.33435</v>
      </c>
      <c r="R156" s="117" t="n">
        <v>-101.51696</v>
      </c>
      <c r="S156" s="118" t="n">
        <v>-95522.81739</v>
      </c>
      <c r="T156" s="110" t="n"/>
    </row>
    <row r="157" ht="13.5" customHeight="1" s="52">
      <c r="A157" s="104" t="n">
        <v>150</v>
      </c>
      <c r="B157" s="119" t="n"/>
      <c r="C157" s="119" t="n"/>
      <c r="D157" s="119" t="n"/>
      <c r="F157" s="120" t="inlineStr">
        <is>
          <t>Група 210 - Усього</t>
        </is>
      </c>
      <c r="G157" s="116" t="n"/>
      <c r="H157" s="116" t="n"/>
      <c r="I157" s="120" t="n"/>
      <c r="J157" s="121" t="n">
        <v>41036.16551</v>
      </c>
      <c r="K157" s="121" t="n">
        <v>753.31789</v>
      </c>
      <c r="L157" s="121" t="n">
        <v>40282.84762</v>
      </c>
      <c r="M157" s="121" t="n">
        <v>251765.65773</v>
      </c>
      <c r="N157" s="116" t="n"/>
      <c r="O157" s="121" t="n">
        <v>28815.72693</v>
      </c>
      <c r="P157" s="121" t="n">
        <v>222949.9308</v>
      </c>
      <c r="Q157" s="121" t="n">
        <v>1680638.15645</v>
      </c>
      <c r="R157" s="121" t="n">
        <v>28227.47857</v>
      </c>
      <c r="S157" s="122" t="n">
        <v>1652410.67788</v>
      </c>
      <c r="T157" s="110" t="n"/>
    </row>
    <row r="158" ht="14.25" customHeight="1" s="52">
      <c r="A158" s="104" t="n">
        <v>151</v>
      </c>
      <c r="B158" s="119" t="n"/>
      <c r="C158" s="119" t="n"/>
      <c r="D158" s="115" t="inlineStr">
        <is>
          <t>211</t>
        </is>
      </c>
      <c r="E158" s="116" t="n"/>
      <c r="F158" s="115" t="inlineStr">
        <is>
          <t>2113</t>
        </is>
      </c>
      <c r="G158" s="116" t="n"/>
      <c r="H158" s="115" t="inlineStr">
        <is>
          <t>Кредити, що надані органам місцевого самоврядування, які обліковуються за амортизованою собівартістю</t>
        </is>
      </c>
      <c r="I158" s="115" t="inlineStr">
        <is>
          <t>А</t>
        </is>
      </c>
      <c r="J158" s="117" t="n">
        <v>134945.36301</v>
      </c>
      <c r="K158" s="117" t="n">
        <v>118059.00479</v>
      </c>
      <c r="L158" s="117" t="n">
        <v>16886.35822</v>
      </c>
      <c r="M158" s="117" t="n">
        <v>189652.8194</v>
      </c>
      <c r="N158" s="116" t="n"/>
      <c r="O158" s="117" t="n">
        <v>86463.45772000001</v>
      </c>
      <c r="P158" s="117" t="n">
        <v>103189.36168</v>
      </c>
      <c r="Q158" s="117" t="n">
        <v>898507.29985</v>
      </c>
      <c r="R158" s="117" t="n">
        <v>254480.20364</v>
      </c>
      <c r="S158" s="118" t="n">
        <v>644027.09621</v>
      </c>
      <c r="T158" s="110" t="n"/>
    </row>
    <row r="159" ht="13.5" customHeight="1" s="52">
      <c r="A159" s="104" t="n">
        <v>152</v>
      </c>
      <c r="B159" s="119" t="n"/>
      <c r="C159" s="119" t="n"/>
      <c r="D159" s="119" t="n"/>
      <c r="F159" s="115" t="inlineStr">
        <is>
          <t>2116</t>
        </is>
      </c>
      <c r="G159" s="116" t="n"/>
      <c r="H159" s="115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59" s="115" t="inlineStr">
        <is>
          <t>А</t>
        </is>
      </c>
      <c r="J159" s="117" t="n">
        <v>15.0306</v>
      </c>
      <c r="K159" s="117" t="n">
        <v>9.71166</v>
      </c>
      <c r="L159" s="117" t="n">
        <v>5.31894</v>
      </c>
      <c r="M159" s="117" t="n">
        <v>12.80543</v>
      </c>
      <c r="N159" s="116" t="n"/>
      <c r="O159" s="117" t="n">
        <v>11.22218</v>
      </c>
      <c r="P159" s="117" t="n">
        <v>1.58325</v>
      </c>
      <c r="Q159" s="117" t="n">
        <v>11.11389</v>
      </c>
      <c r="R159" s="117" t="n">
        <v>11.00637</v>
      </c>
      <c r="S159" s="118" t="n">
        <v>0.10752</v>
      </c>
      <c r="T159" s="110" t="n"/>
    </row>
    <row r="160" ht="13.5" customHeight="1" s="52">
      <c r="A160" s="104" t="n">
        <v>153</v>
      </c>
      <c r="B160" s="119" t="n"/>
      <c r="C160" s="119" t="n"/>
      <c r="D160" s="119" t="n"/>
      <c r="F160" s="119" t="n"/>
      <c r="H160" s="119" t="n"/>
      <c r="I160" s="115" t="inlineStr">
        <is>
          <t>П</t>
        </is>
      </c>
      <c r="J160" s="117" t="n">
        <v>0</v>
      </c>
      <c r="K160" s="117" t="n">
        <v>0</v>
      </c>
      <c r="L160" s="117" t="n">
        <v>0</v>
      </c>
      <c r="M160" s="117" t="n">
        <v>0</v>
      </c>
      <c r="N160" s="116" t="n"/>
      <c r="O160" s="117" t="n">
        <v>0</v>
      </c>
      <c r="P160" s="117" t="n">
        <v>0</v>
      </c>
      <c r="Q160" s="117" t="n">
        <v>-43.80282</v>
      </c>
      <c r="R160" s="117" t="n">
        <v>-16.28794</v>
      </c>
      <c r="S160" s="118" t="n">
        <v>-27.51488</v>
      </c>
      <c r="T160" s="110" t="n"/>
    </row>
    <row r="161" ht="13.5" customHeight="1" s="52">
      <c r="A161" s="104" t="n">
        <v>154</v>
      </c>
      <c r="B161" s="119" t="n"/>
      <c r="C161" s="119" t="n"/>
      <c r="D161" s="119" t="n"/>
      <c r="F161" s="115" t="inlineStr">
        <is>
          <t>2118</t>
        </is>
      </c>
      <c r="G161" s="116" t="n"/>
      <c r="H161" s="115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1" s="115" t="inlineStr">
        <is>
          <t>А</t>
        </is>
      </c>
      <c r="J161" s="117" t="n">
        <v>6669.12381</v>
      </c>
      <c r="K161" s="117" t="n">
        <v>3765.77657</v>
      </c>
      <c r="L161" s="117" t="n">
        <v>2903.34724</v>
      </c>
      <c r="M161" s="117" t="n">
        <v>5688.5269</v>
      </c>
      <c r="N161" s="116" t="n"/>
      <c r="O161" s="117" t="n">
        <v>2676.52436</v>
      </c>
      <c r="P161" s="117" t="n">
        <v>3012.00254</v>
      </c>
      <c r="Q161" s="117" t="n">
        <v>6644.63204</v>
      </c>
      <c r="R161" s="117" t="n">
        <v>3765.77657</v>
      </c>
      <c r="S161" s="118" t="n">
        <v>2878.85547</v>
      </c>
      <c r="T161" s="110" t="n"/>
    </row>
    <row r="162" ht="13.5" customHeight="1" s="52">
      <c r="A162" s="104" t="n">
        <v>155</v>
      </c>
      <c r="B162" s="119" t="n"/>
      <c r="C162" s="119" t="n"/>
      <c r="D162" s="119" t="n"/>
      <c r="F162" s="115" t="inlineStr">
        <is>
          <t>2119</t>
        </is>
      </c>
      <c r="G162" s="116" t="n"/>
      <c r="H162" s="115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2" s="115" t="inlineStr">
        <is>
          <t>П</t>
        </is>
      </c>
      <c r="J162" s="117" t="n">
        <v>6340.15648</v>
      </c>
      <c r="K162" s="117" t="n">
        <v>2202.94782</v>
      </c>
      <c r="L162" s="117" t="n">
        <v>4137.20866</v>
      </c>
      <c r="M162" s="117" t="n">
        <v>4189.0341</v>
      </c>
      <c r="N162" s="116" t="n"/>
      <c r="O162" s="117" t="n">
        <v>3506.30591</v>
      </c>
      <c r="P162" s="117" t="n">
        <v>682.72819</v>
      </c>
      <c r="Q162" s="117" t="n">
        <v>-41568.60112</v>
      </c>
      <c r="R162" s="117" t="n">
        <v>-15707.20539</v>
      </c>
      <c r="S162" s="118" t="n">
        <v>-25861.39573</v>
      </c>
      <c r="T162" s="110" t="n"/>
    </row>
    <row r="163" ht="14.25" customHeight="1" s="52">
      <c r="A163" s="104" t="n">
        <v>156</v>
      </c>
      <c r="B163" s="119" t="n"/>
      <c r="C163" s="119" t="n"/>
      <c r="D163" s="119" t="n"/>
      <c r="F163" s="120" t="inlineStr">
        <is>
          <t>Група 211 - Усього</t>
        </is>
      </c>
      <c r="G163" s="116" t="n"/>
      <c r="H163" s="116" t="n"/>
      <c r="I163" s="120" t="n"/>
      <c r="J163" s="121" t="n">
        <v>147969.6739</v>
      </c>
      <c r="K163" s="121" t="n">
        <v>124037.44084</v>
      </c>
      <c r="L163" s="121" t="n">
        <v>23932.23306</v>
      </c>
      <c r="M163" s="121" t="n">
        <v>199543.18583</v>
      </c>
      <c r="N163" s="116" t="n"/>
      <c r="O163" s="121" t="n">
        <v>92657.51016999999</v>
      </c>
      <c r="P163" s="121" t="n">
        <v>106885.67566</v>
      </c>
      <c r="Q163" s="121" t="n">
        <v>863550.6418400001</v>
      </c>
      <c r="R163" s="121" t="n">
        <v>242533.49325</v>
      </c>
      <c r="S163" s="122" t="n">
        <v>621017.14859</v>
      </c>
      <c r="T163" s="110" t="n"/>
    </row>
    <row r="164" ht="13.5" customHeight="1" s="52">
      <c r="A164" s="104" t="n">
        <v>157</v>
      </c>
      <c r="B164" s="119" t="n"/>
      <c r="C164" s="119" t="n"/>
      <c r="D164" s="115" t="inlineStr">
        <is>
          <t>214</t>
        </is>
      </c>
      <c r="E164" s="116" t="n"/>
      <c r="F164" s="115" t="inlineStr">
        <is>
          <t>2146</t>
        </is>
      </c>
      <c r="G164" s="116" t="n"/>
      <c r="H164" s="115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I164" s="115" t="inlineStr">
        <is>
          <t>П</t>
        </is>
      </c>
      <c r="J164" s="117" t="n">
        <v>0</v>
      </c>
      <c r="K164" s="117" t="n">
        <v>0</v>
      </c>
      <c r="L164" s="117" t="n">
        <v>0</v>
      </c>
      <c r="M164" s="117" t="n">
        <v>0</v>
      </c>
      <c r="N164" s="116" t="n"/>
      <c r="O164" s="117" t="n">
        <v>0</v>
      </c>
      <c r="P164" s="117" t="n">
        <v>0</v>
      </c>
      <c r="Q164" s="117" t="n">
        <v>-6953.9931</v>
      </c>
      <c r="R164" s="117" t="n">
        <v>-6953.9931</v>
      </c>
      <c r="S164" s="118" t="n">
        <v>0</v>
      </c>
      <c r="T164" s="110" t="n"/>
    </row>
    <row r="165" ht="13.5" customHeight="1" s="52">
      <c r="A165" s="104" t="n">
        <v>158</v>
      </c>
      <c r="B165" s="119" t="n"/>
      <c r="C165" s="119" t="n"/>
      <c r="D165" s="119" t="n"/>
      <c r="F165" s="115" t="inlineStr">
        <is>
          <t>2148</t>
        </is>
      </c>
      <c r="G165" s="116" t="n"/>
      <c r="H165" s="115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5" s="115" t="inlineStr">
        <is>
          <t>А</t>
        </is>
      </c>
      <c r="J165" s="117" t="n">
        <v>0</v>
      </c>
      <c r="K165" s="117" t="n">
        <v>0</v>
      </c>
      <c r="L165" s="117" t="n">
        <v>0</v>
      </c>
      <c r="M165" s="117" t="n">
        <v>0</v>
      </c>
      <c r="N165" s="116" t="n"/>
      <c r="O165" s="117" t="n">
        <v>0</v>
      </c>
      <c r="P165" s="117" t="n">
        <v>0</v>
      </c>
      <c r="Q165" s="117" t="n">
        <v>6953.9931</v>
      </c>
      <c r="R165" s="117" t="n">
        <v>6953.9931</v>
      </c>
      <c r="S165" s="118" t="n">
        <v>0</v>
      </c>
      <c r="T165" s="110" t="n"/>
    </row>
    <row r="166" ht="13.5" customHeight="1" s="52">
      <c r="A166" s="104" t="n">
        <v>159</v>
      </c>
      <c r="B166" s="119" t="n"/>
      <c r="C166" s="119" t="n"/>
      <c r="D166" s="119" t="n"/>
      <c r="F166" s="115" t="inlineStr">
        <is>
          <t>2149</t>
        </is>
      </c>
      <c r="G166" s="116" t="n"/>
      <c r="H166" s="115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6" s="115" t="inlineStr">
        <is>
          <t>А</t>
        </is>
      </c>
      <c r="J166" s="117" t="n">
        <v>0</v>
      </c>
      <c r="K166" s="117" t="n">
        <v>0</v>
      </c>
      <c r="L166" s="117" t="n">
        <v>0</v>
      </c>
      <c r="M166" s="117" t="n">
        <v>0</v>
      </c>
      <c r="N166" s="116" t="n"/>
      <c r="O166" s="117" t="n">
        <v>0</v>
      </c>
      <c r="P166" s="117" t="n">
        <v>0</v>
      </c>
      <c r="Q166" s="117" t="n">
        <v>0.02984</v>
      </c>
      <c r="R166" s="117" t="n">
        <v>0.02984</v>
      </c>
      <c r="S166" s="118" t="n">
        <v>0</v>
      </c>
      <c r="T166" s="110" t="n"/>
    </row>
    <row r="167" ht="13.5" customHeight="1" s="52">
      <c r="A167" s="104" t="n">
        <v>160</v>
      </c>
      <c r="B167" s="119" t="n"/>
      <c r="C167" s="119" t="n"/>
      <c r="D167" s="119" t="n"/>
      <c r="F167" s="119" t="n"/>
      <c r="H167" s="119" t="n"/>
      <c r="I167" s="115" t="inlineStr">
        <is>
          <t>П</t>
        </is>
      </c>
      <c r="J167" s="117" t="n">
        <v>0</v>
      </c>
      <c r="K167" s="117" t="n">
        <v>0</v>
      </c>
      <c r="L167" s="117" t="n">
        <v>0</v>
      </c>
      <c r="M167" s="117" t="n">
        <v>0</v>
      </c>
      <c r="N167" s="116" t="n"/>
      <c r="O167" s="117" t="n">
        <v>0</v>
      </c>
      <c r="P167" s="117" t="n">
        <v>0</v>
      </c>
      <c r="Q167" s="117" t="n">
        <v>-0.02984</v>
      </c>
      <c r="R167" s="117" t="n">
        <v>-0.02984</v>
      </c>
      <c r="S167" s="118" t="n">
        <v>0</v>
      </c>
      <c r="T167" s="110" t="n"/>
    </row>
    <row r="168" ht="14.25" customHeight="1" s="52">
      <c r="A168" s="104" t="n">
        <v>161</v>
      </c>
      <c r="B168" s="119" t="n"/>
      <c r="C168" s="119" t="n"/>
      <c r="D168" s="119" t="n"/>
      <c r="F168" s="120" t="inlineStr">
        <is>
          <t>Група 214 - Усього</t>
        </is>
      </c>
      <c r="G168" s="116" t="n"/>
      <c r="H168" s="116" t="n"/>
      <c r="I168" s="120" t="n"/>
      <c r="J168" s="121" t="n">
        <v>0</v>
      </c>
      <c r="K168" s="121" t="n">
        <v>0</v>
      </c>
      <c r="L168" s="121" t="n">
        <v>0</v>
      </c>
      <c r="M168" s="121" t="n">
        <v>0</v>
      </c>
      <c r="N168" s="116" t="n"/>
      <c r="O168" s="121" t="n">
        <v>0</v>
      </c>
      <c r="P168" s="121" t="n">
        <v>0</v>
      </c>
      <c r="Q168" s="121" t="n">
        <v>0</v>
      </c>
      <c r="R168" s="121" t="n">
        <v>0</v>
      </c>
      <c r="S168" s="122" t="n">
        <v>0</v>
      </c>
      <c r="T168" s="110" t="n"/>
    </row>
    <row r="169" ht="21" customHeight="1" s="52">
      <c r="A169" s="104" t="n">
        <v>162</v>
      </c>
      <c r="B169" s="119" t="n"/>
      <c r="C169" s="119" t="n"/>
      <c r="D169" s="120" t="inlineStr">
        <is>
          <t>Розділ 21 - Усього</t>
        </is>
      </c>
      <c r="E169" s="116" t="n"/>
      <c r="F169" s="120" t="n"/>
      <c r="G169" s="116" t="n"/>
      <c r="H169" s="116" t="n"/>
      <c r="I169" s="120" t="n"/>
      <c r="J169" s="121" t="n">
        <v>189005.83941</v>
      </c>
      <c r="K169" s="121" t="n">
        <v>124790.75873</v>
      </c>
      <c r="L169" s="121" t="n">
        <v>64215.08068</v>
      </c>
      <c r="M169" s="121" t="n">
        <v>451308.84356</v>
      </c>
      <c r="N169" s="116" t="n"/>
      <c r="O169" s="121" t="n">
        <v>121473.2371</v>
      </c>
      <c r="P169" s="121" t="n">
        <v>329835.60646</v>
      </c>
      <c r="Q169" s="121" t="n">
        <v>2544188.79829</v>
      </c>
      <c r="R169" s="121" t="n">
        <v>270760.97182</v>
      </c>
      <c r="S169" s="122" t="n">
        <v>2273427.82647</v>
      </c>
      <c r="T169" s="110" t="n"/>
    </row>
    <row r="170" ht="13.5" customHeight="1" s="52">
      <c r="A170" s="104" t="n">
        <v>163</v>
      </c>
      <c r="B170" s="119" t="n"/>
      <c r="C170" s="115" t="inlineStr">
        <is>
          <t>22</t>
        </is>
      </c>
      <c r="D170" s="115" t="inlineStr">
        <is>
          <t>220</t>
        </is>
      </c>
      <c r="E170" s="116" t="n"/>
      <c r="F170" s="115" t="inlineStr">
        <is>
          <t>2203</t>
        </is>
      </c>
      <c r="G170" s="116" t="n"/>
      <c r="H170" s="115" t="inlineStr">
        <is>
          <t>Кредити на поточні потреби, що надані фізичним особам, які обліковуються за амортизованою собівартістю</t>
        </is>
      </c>
      <c r="I170" s="115" t="inlineStr">
        <is>
          <t>А</t>
        </is>
      </c>
      <c r="J170" s="117" t="n">
        <v>5300.86301</v>
      </c>
      <c r="K170" s="117" t="n">
        <v>4432.55781</v>
      </c>
      <c r="L170" s="117" t="n">
        <v>868.3052</v>
      </c>
      <c r="M170" s="117" t="n">
        <v>8233.19601</v>
      </c>
      <c r="N170" s="116" t="n"/>
      <c r="O170" s="117" t="n">
        <v>7161.72121</v>
      </c>
      <c r="P170" s="117" t="n">
        <v>1071.4748</v>
      </c>
      <c r="Q170" s="117" t="n">
        <v>108464.95675</v>
      </c>
      <c r="R170" s="117" t="n">
        <v>80145.88697000001</v>
      </c>
      <c r="S170" s="118" t="n">
        <v>28319.06978</v>
      </c>
      <c r="T170" s="110" t="n"/>
    </row>
    <row r="171" ht="13.5" customHeight="1" s="52">
      <c r="A171" s="104" t="n">
        <v>164</v>
      </c>
      <c r="B171" s="119" t="n"/>
      <c r="C171" s="119" t="n"/>
      <c r="D171" s="119" t="n"/>
      <c r="F171" s="115" t="inlineStr">
        <is>
          <t>2206</t>
        </is>
      </c>
      <c r="G171" s="116" t="n"/>
      <c r="H171" s="115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71" s="115" t="inlineStr">
        <is>
          <t>А</t>
        </is>
      </c>
      <c r="J171" s="117" t="n">
        <v>0.04938</v>
      </c>
      <c r="K171" s="117" t="n">
        <v>0</v>
      </c>
      <c r="L171" s="117" t="n">
        <v>0.04938</v>
      </c>
      <c r="M171" s="117" t="n">
        <v>0.01649</v>
      </c>
      <c r="N171" s="116" t="n"/>
      <c r="O171" s="117" t="n">
        <v>0</v>
      </c>
      <c r="P171" s="117" t="n">
        <v>0.01649</v>
      </c>
      <c r="Q171" s="117" t="n">
        <v>0</v>
      </c>
      <c r="R171" s="117" t="n">
        <v>0</v>
      </c>
      <c r="S171" s="118" t="n">
        <v>0</v>
      </c>
      <c r="T171" s="110" t="n"/>
    </row>
    <row r="172" ht="13.5" customHeight="1" s="52">
      <c r="A172" s="104" t="n">
        <v>165</v>
      </c>
      <c r="B172" s="119" t="n"/>
      <c r="C172" s="119" t="n"/>
      <c r="D172" s="119" t="n"/>
      <c r="F172" s="119" t="n"/>
      <c r="H172" s="119" t="n"/>
      <c r="I172" s="115" t="inlineStr">
        <is>
          <t>П</t>
        </is>
      </c>
      <c r="J172" s="117" t="n">
        <v>0</v>
      </c>
      <c r="K172" s="117" t="n">
        <v>0</v>
      </c>
      <c r="L172" s="117" t="n">
        <v>0</v>
      </c>
      <c r="M172" s="117" t="n">
        <v>0</v>
      </c>
      <c r="N172" s="116" t="n"/>
      <c r="O172" s="117" t="n">
        <v>0</v>
      </c>
      <c r="P172" s="117" t="n">
        <v>0</v>
      </c>
      <c r="Q172" s="117" t="n">
        <v>-0.48847</v>
      </c>
      <c r="R172" s="117" t="n">
        <v>0</v>
      </c>
      <c r="S172" s="118" t="n">
        <v>-0.48847</v>
      </c>
      <c r="T172" s="110" t="n"/>
    </row>
    <row r="173" ht="14.25" customHeight="1" s="52">
      <c r="A173" s="104" t="n">
        <v>166</v>
      </c>
      <c r="B173" s="119" t="n"/>
      <c r="C173" s="119" t="n"/>
      <c r="D173" s="119" t="n"/>
      <c r="F173" s="115" t="inlineStr">
        <is>
          <t>2208</t>
        </is>
      </c>
      <c r="G173" s="116" t="n"/>
      <c r="H173" s="115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73" s="115" t="inlineStr">
        <is>
          <t>А</t>
        </is>
      </c>
      <c r="J173" s="117" t="n">
        <v>2167.99504</v>
      </c>
      <c r="K173" s="117" t="n">
        <v>1439.60273</v>
      </c>
      <c r="L173" s="117" t="n">
        <v>728.39231</v>
      </c>
      <c r="M173" s="117" t="n">
        <v>1844.05246</v>
      </c>
      <c r="N173" s="116" t="n"/>
      <c r="O173" s="117" t="n">
        <v>1147.254</v>
      </c>
      <c r="P173" s="117" t="n">
        <v>696.79846</v>
      </c>
      <c r="Q173" s="117" t="n">
        <v>89437.50263</v>
      </c>
      <c r="R173" s="117" t="n">
        <v>65943.76041</v>
      </c>
      <c r="S173" s="118" t="n">
        <v>23493.74222</v>
      </c>
      <c r="T173" s="110" t="n"/>
    </row>
    <row r="174" ht="13.5" customHeight="1" s="52">
      <c r="A174" s="104" t="n">
        <v>167</v>
      </c>
      <c r="B174" s="119" t="n"/>
      <c r="C174" s="119" t="n"/>
      <c r="D174" s="119" t="n"/>
      <c r="F174" s="115" t="inlineStr">
        <is>
          <t>2209</t>
        </is>
      </c>
      <c r="G174" s="116" t="n"/>
      <c r="H174" s="115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4" s="115" t="inlineStr">
        <is>
          <t>П</t>
        </is>
      </c>
      <c r="J174" s="117" t="n">
        <v>24727.42417</v>
      </c>
      <c r="K174" s="117" t="n">
        <v>425.18765</v>
      </c>
      <c r="L174" s="117" t="n">
        <v>24302.23652</v>
      </c>
      <c r="M174" s="117" t="n">
        <v>24964.0892</v>
      </c>
      <c r="N174" s="116" t="n"/>
      <c r="O174" s="117" t="n">
        <v>831.41847</v>
      </c>
      <c r="P174" s="117" t="n">
        <v>24132.67073</v>
      </c>
      <c r="Q174" s="117" t="n">
        <v>-182149.71228</v>
      </c>
      <c r="R174" s="117" t="n">
        <v>-130403.07373</v>
      </c>
      <c r="S174" s="118" t="n">
        <v>-51746.63855</v>
      </c>
      <c r="T174" s="110" t="n"/>
    </row>
    <row r="175" ht="13.5" customHeight="1" s="52">
      <c r="A175" s="104" t="n">
        <v>168</v>
      </c>
      <c r="B175" s="119" t="n"/>
      <c r="C175" s="119" t="n"/>
      <c r="D175" s="119" t="n"/>
      <c r="F175" s="120" t="inlineStr">
        <is>
          <t>Група 220 - Усього</t>
        </is>
      </c>
      <c r="G175" s="116" t="n"/>
      <c r="H175" s="116" t="n"/>
      <c r="I175" s="120" t="n"/>
      <c r="J175" s="121" t="n">
        <v>32196.3316</v>
      </c>
      <c r="K175" s="121" t="n">
        <v>6297.34819</v>
      </c>
      <c r="L175" s="121" t="n">
        <v>25898.98341</v>
      </c>
      <c r="M175" s="121" t="n">
        <v>35041.35416</v>
      </c>
      <c r="N175" s="116" t="n"/>
      <c r="O175" s="121" t="n">
        <v>9140.393679999999</v>
      </c>
      <c r="P175" s="121" t="n">
        <v>25900.96048</v>
      </c>
      <c r="Q175" s="121" t="n">
        <v>15752.25863</v>
      </c>
      <c r="R175" s="121" t="n">
        <v>15686.57365</v>
      </c>
      <c r="S175" s="122" t="n">
        <v>65.68497999999821</v>
      </c>
      <c r="T175" s="110" t="n"/>
    </row>
    <row r="176" ht="13.5" customHeight="1" s="52">
      <c r="A176" s="104" t="n">
        <v>169</v>
      </c>
      <c r="B176" s="119" t="n"/>
      <c r="C176" s="119" t="n"/>
      <c r="D176" s="115" t="inlineStr">
        <is>
          <t>221</t>
        </is>
      </c>
      <c r="E176" s="116" t="n"/>
      <c r="F176" s="115" t="inlineStr">
        <is>
          <t>2211</t>
        </is>
      </c>
      <c r="G176" s="116" t="n"/>
      <c r="H176" s="115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6" s="115" t="inlineStr">
        <is>
          <t>А</t>
        </is>
      </c>
      <c r="J176" s="117" t="n">
        <v>0</v>
      </c>
      <c r="K176" s="117" t="n">
        <v>0</v>
      </c>
      <c r="L176" s="117" t="n">
        <v>0</v>
      </c>
      <c r="M176" s="117" t="n">
        <v>64.71756000000001</v>
      </c>
      <c r="N176" s="116" t="n"/>
      <c r="O176" s="117" t="n">
        <v>64.71756000000001</v>
      </c>
      <c r="P176" s="117" t="n">
        <v>0</v>
      </c>
      <c r="Q176" s="117" t="n">
        <v>2523.9846</v>
      </c>
      <c r="R176" s="117" t="n">
        <v>2523.9846</v>
      </c>
      <c r="S176" s="118" t="n">
        <v>0</v>
      </c>
      <c r="T176" s="110" t="n"/>
    </row>
    <row r="177" ht="13.5" customHeight="1" s="52">
      <c r="A177" s="104" t="n">
        <v>170</v>
      </c>
      <c r="B177" s="119" t="n"/>
      <c r="C177" s="119" t="n"/>
      <c r="D177" s="119" t="n"/>
      <c r="F177" s="115" t="inlineStr">
        <is>
          <t>2216</t>
        </is>
      </c>
      <c r="G177" s="116" t="n"/>
      <c r="H177" s="115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7" s="115" t="inlineStr">
        <is>
          <t>А</t>
        </is>
      </c>
      <c r="J177" s="117" t="n">
        <v>0.56563</v>
      </c>
      <c r="K177" s="117" t="n">
        <v>0.56563</v>
      </c>
      <c r="L177" s="117" t="n">
        <v>0</v>
      </c>
      <c r="M177" s="117" t="n">
        <v>0.06532</v>
      </c>
      <c r="N177" s="116" t="n"/>
      <c r="O177" s="117" t="n">
        <v>0.06532</v>
      </c>
      <c r="P177" s="117" t="n">
        <v>0</v>
      </c>
      <c r="Q177" s="117" t="n">
        <v>529.86792</v>
      </c>
      <c r="R177" s="117" t="n">
        <v>529.86792</v>
      </c>
      <c r="S177" s="118" t="n">
        <v>0</v>
      </c>
      <c r="T177" s="110" t="n"/>
    </row>
    <row r="178" ht="14.25" customHeight="1" s="52">
      <c r="A178" s="104" t="n">
        <v>171</v>
      </c>
      <c r="B178" s="119" t="n"/>
      <c r="C178" s="119" t="n"/>
      <c r="D178" s="119" t="n"/>
      <c r="F178" s="119" t="n"/>
      <c r="H178" s="119" t="n"/>
      <c r="I178" s="115" t="inlineStr">
        <is>
          <t>П</t>
        </is>
      </c>
      <c r="J178" s="117" t="n">
        <v>0</v>
      </c>
      <c r="K178" s="117" t="n">
        <v>0</v>
      </c>
      <c r="L178" s="117" t="n">
        <v>0</v>
      </c>
      <c r="M178" s="117" t="n">
        <v>0</v>
      </c>
      <c r="N178" s="116" t="n"/>
      <c r="O178" s="117" t="n">
        <v>0</v>
      </c>
      <c r="P178" s="117" t="n">
        <v>0</v>
      </c>
      <c r="Q178" s="117" t="n">
        <v>0</v>
      </c>
      <c r="R178" s="117" t="n">
        <v>0</v>
      </c>
      <c r="S178" s="118" t="n">
        <v>0</v>
      </c>
      <c r="T178" s="110" t="n"/>
    </row>
    <row r="179" ht="13.5" customHeight="1" s="52">
      <c r="A179" s="104" t="n">
        <v>172</v>
      </c>
      <c r="B179" s="119" t="n"/>
      <c r="C179" s="119" t="n"/>
      <c r="D179" s="119" t="n"/>
      <c r="F179" s="115" t="inlineStr">
        <is>
          <t>2218</t>
        </is>
      </c>
      <c r="G179" s="116" t="n"/>
      <c r="H179" s="115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9" s="115" t="inlineStr">
        <is>
          <t>А</t>
        </is>
      </c>
      <c r="J179" s="117" t="n">
        <v>65.19141999999999</v>
      </c>
      <c r="K179" s="117" t="n">
        <v>65.19141999999999</v>
      </c>
      <c r="L179" s="117" t="n">
        <v>0</v>
      </c>
      <c r="M179" s="117" t="n">
        <v>67.30574</v>
      </c>
      <c r="N179" s="116" t="n"/>
      <c r="O179" s="117" t="n">
        <v>67.30574</v>
      </c>
      <c r="P179" s="117" t="n">
        <v>0</v>
      </c>
      <c r="Q179" s="117" t="n">
        <v>65.19141999999999</v>
      </c>
      <c r="R179" s="117" t="n">
        <v>65.19141999999999</v>
      </c>
      <c r="S179" s="118" t="n">
        <v>0</v>
      </c>
      <c r="T179" s="110" t="n"/>
    </row>
    <row r="180" ht="13.5" customHeight="1" s="52">
      <c r="A180" s="104" t="n">
        <v>173</v>
      </c>
      <c r="B180" s="119" t="n"/>
      <c r="C180" s="119" t="n"/>
      <c r="D180" s="119" t="n"/>
      <c r="F180" s="115" t="inlineStr">
        <is>
          <t>2219</t>
        </is>
      </c>
      <c r="G180" s="116" t="n"/>
      <c r="H180" s="115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80" s="115" t="inlineStr">
        <is>
          <t>П</t>
        </is>
      </c>
      <c r="J180" s="117" t="n">
        <v>0.5870300000000001</v>
      </c>
      <c r="K180" s="117" t="n">
        <v>0.5870300000000001</v>
      </c>
      <c r="L180" s="117" t="n">
        <v>0</v>
      </c>
      <c r="M180" s="117" t="n">
        <v>0</v>
      </c>
      <c r="N180" s="116" t="n"/>
      <c r="O180" s="117" t="n">
        <v>0</v>
      </c>
      <c r="P180" s="117" t="n">
        <v>0</v>
      </c>
      <c r="Q180" s="117" t="n">
        <v>-27.60354</v>
      </c>
      <c r="R180" s="117" t="n">
        <v>-27.60354</v>
      </c>
      <c r="S180" s="118" t="n">
        <v>0</v>
      </c>
      <c r="T180" s="110" t="n"/>
    </row>
    <row r="181" ht="13.5" customHeight="1" s="52">
      <c r="A181" s="104" t="n">
        <v>174</v>
      </c>
      <c r="B181" s="119" t="n"/>
      <c r="C181" s="119" t="n"/>
      <c r="D181" s="119" t="n"/>
      <c r="F181" s="120" t="inlineStr">
        <is>
          <t>Група 221 - Усього</t>
        </is>
      </c>
      <c r="G181" s="116" t="n"/>
      <c r="H181" s="116" t="n"/>
      <c r="I181" s="120" t="n"/>
      <c r="J181" s="121" t="n">
        <v>66.34408000000001</v>
      </c>
      <c r="K181" s="121" t="n">
        <v>66.34408000000001</v>
      </c>
      <c r="L181" s="121" t="n">
        <v>0</v>
      </c>
      <c r="M181" s="121" t="n">
        <v>132.08862</v>
      </c>
      <c r="N181" s="116" t="n"/>
      <c r="O181" s="121" t="n">
        <v>132.08862</v>
      </c>
      <c r="P181" s="121" t="n">
        <v>0</v>
      </c>
      <c r="Q181" s="121" t="n">
        <v>3091.4404</v>
      </c>
      <c r="R181" s="121" t="n">
        <v>3091.4404</v>
      </c>
      <c r="S181" s="122" t="n">
        <v>0</v>
      </c>
      <c r="T181" s="110" t="n"/>
    </row>
    <row r="182" ht="13.5" customHeight="1" s="52">
      <c r="A182" s="104" t="n">
        <v>175</v>
      </c>
      <c r="B182" s="119" t="n"/>
      <c r="C182" s="119" t="n"/>
      <c r="D182" s="115" t="inlineStr">
        <is>
          <t>223</t>
        </is>
      </c>
      <c r="E182" s="116" t="n"/>
      <c r="F182" s="115" t="inlineStr">
        <is>
          <t>2233</t>
        </is>
      </c>
      <c r="G182" s="116" t="n"/>
      <c r="H182" s="115" t="inlineStr">
        <is>
          <t>Іпотечні кредити, що надані фізичним особам, які обліковуються за амортизованою собівартістю</t>
        </is>
      </c>
      <c r="I182" s="115" t="inlineStr">
        <is>
          <t>А</t>
        </is>
      </c>
      <c r="J182" s="117" t="n">
        <v>242.11594</v>
      </c>
      <c r="K182" s="117" t="n">
        <v>36.51041</v>
      </c>
      <c r="L182" s="117" t="n">
        <v>205.60553</v>
      </c>
      <c r="M182" s="117" t="n">
        <v>1273.95157</v>
      </c>
      <c r="N182" s="116" t="n"/>
      <c r="O182" s="117" t="n">
        <v>1008.2214</v>
      </c>
      <c r="P182" s="117" t="n">
        <v>265.73017</v>
      </c>
      <c r="Q182" s="117" t="n">
        <v>132534.70981</v>
      </c>
      <c r="R182" s="117" t="n">
        <v>124531.30832</v>
      </c>
      <c r="S182" s="118" t="n">
        <v>8003.40149</v>
      </c>
      <c r="T182" s="110" t="n"/>
    </row>
    <row r="183" ht="14.25" customHeight="1" s="52">
      <c r="A183" s="104" t="n">
        <v>176</v>
      </c>
      <c r="B183" s="119" t="n"/>
      <c r="C183" s="119" t="n"/>
      <c r="D183" s="119" t="n"/>
      <c r="F183" s="115" t="inlineStr">
        <is>
          <t>2236</t>
        </is>
      </c>
      <c r="G183" s="116" t="n"/>
      <c r="H183" s="115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83" s="115" t="inlineStr">
        <is>
          <t>А</t>
        </is>
      </c>
      <c r="J183" s="117" t="n">
        <v>46.44233</v>
      </c>
      <c r="K183" s="117" t="n">
        <v>45.95105</v>
      </c>
      <c r="L183" s="117" t="n">
        <v>0.49128</v>
      </c>
      <c r="M183" s="117" t="n">
        <v>0.29449</v>
      </c>
      <c r="N183" s="116" t="n"/>
      <c r="O183" s="117" t="n">
        <v>0.08866</v>
      </c>
      <c r="P183" s="117" t="n">
        <v>0.20583</v>
      </c>
      <c r="Q183" s="117" t="n">
        <v>4.28783</v>
      </c>
      <c r="R183" s="117" t="n">
        <v>2.04278</v>
      </c>
      <c r="S183" s="118" t="n">
        <v>2.24505</v>
      </c>
      <c r="T183" s="110" t="n"/>
    </row>
    <row r="184" ht="13.5" customHeight="1" s="52">
      <c r="A184" s="104" t="n">
        <v>177</v>
      </c>
      <c r="B184" s="119" t="n"/>
      <c r="C184" s="119" t="n"/>
      <c r="D184" s="119" t="n"/>
      <c r="F184" s="119" t="n"/>
      <c r="H184" s="119" t="n"/>
      <c r="I184" s="115" t="inlineStr">
        <is>
          <t>П</t>
        </is>
      </c>
      <c r="J184" s="117" t="n">
        <v>0</v>
      </c>
      <c r="K184" s="117" t="n">
        <v>0</v>
      </c>
      <c r="L184" s="117" t="n">
        <v>0</v>
      </c>
      <c r="M184" s="117" t="n">
        <v>0</v>
      </c>
      <c r="N184" s="116" t="n"/>
      <c r="O184" s="117" t="n">
        <v>0</v>
      </c>
      <c r="P184" s="117" t="n">
        <v>0</v>
      </c>
      <c r="Q184" s="117" t="n">
        <v>-1980.67218</v>
      </c>
      <c r="R184" s="117" t="n">
        <v>-1972.69142</v>
      </c>
      <c r="S184" s="118" t="n">
        <v>-7.98076</v>
      </c>
      <c r="T184" s="110" t="n"/>
    </row>
    <row r="185" ht="13.5" customHeight="1" s="52">
      <c r="A185" s="104" t="n">
        <v>178</v>
      </c>
      <c r="B185" s="119" t="n"/>
      <c r="C185" s="119" t="n"/>
      <c r="D185" s="119" t="n"/>
      <c r="F185" s="115" t="inlineStr">
        <is>
          <t>2238</t>
        </is>
      </c>
      <c r="G185" s="116" t="n"/>
      <c r="H185" s="115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5" s="115" t="inlineStr">
        <is>
          <t>А</t>
        </is>
      </c>
      <c r="J185" s="117" t="n">
        <v>858.84387</v>
      </c>
      <c r="K185" s="117" t="n">
        <v>782.34523</v>
      </c>
      <c r="L185" s="117" t="n">
        <v>76.49863999999999</v>
      </c>
      <c r="M185" s="117" t="n">
        <v>932.62272</v>
      </c>
      <c r="N185" s="116" t="n"/>
      <c r="O185" s="117" t="n">
        <v>874.08467</v>
      </c>
      <c r="P185" s="117" t="n">
        <v>58.53805</v>
      </c>
      <c r="Q185" s="117" t="n">
        <v>3811.83279</v>
      </c>
      <c r="R185" s="117" t="n">
        <v>3152.61571</v>
      </c>
      <c r="S185" s="118" t="n">
        <v>659.21708</v>
      </c>
      <c r="T185" s="110" t="n"/>
    </row>
    <row r="186" ht="13.5" customHeight="1" s="52">
      <c r="A186" s="104" t="n">
        <v>179</v>
      </c>
      <c r="B186" s="119" t="n"/>
      <c r="C186" s="119" t="n"/>
      <c r="D186" s="119" t="n"/>
      <c r="F186" s="115" t="inlineStr">
        <is>
          <t>2239</t>
        </is>
      </c>
      <c r="G186" s="116" t="n"/>
      <c r="H186" s="115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6" s="115" t="inlineStr">
        <is>
          <t>П</t>
        </is>
      </c>
      <c r="J186" s="117" t="n">
        <v>201.75765</v>
      </c>
      <c r="K186" s="117" t="n">
        <v>28.57177</v>
      </c>
      <c r="L186" s="117" t="n">
        <v>173.18588</v>
      </c>
      <c r="M186" s="117" t="n">
        <v>212.34317</v>
      </c>
      <c r="N186" s="116" t="n"/>
      <c r="O186" s="117" t="n">
        <v>27.07826</v>
      </c>
      <c r="P186" s="117" t="n">
        <v>185.26491</v>
      </c>
      <c r="Q186" s="117" t="n">
        <v>-10071.18744</v>
      </c>
      <c r="R186" s="117" t="n">
        <v>-2424.22215</v>
      </c>
      <c r="S186" s="118" t="n">
        <v>-7646.96529</v>
      </c>
      <c r="T186" s="110" t="n"/>
    </row>
    <row r="187" ht="13.5" customHeight="1" s="52">
      <c r="A187" s="104" t="n">
        <v>180</v>
      </c>
      <c r="B187" s="119" t="n"/>
      <c r="C187" s="119" t="n"/>
      <c r="D187" s="119" t="n"/>
      <c r="F187" s="120" t="inlineStr">
        <is>
          <t>Група 223 - Усього</t>
        </is>
      </c>
      <c r="G187" s="116" t="n"/>
      <c r="H187" s="116" t="n"/>
      <c r="I187" s="120" t="n"/>
      <c r="J187" s="121" t="n">
        <v>1349.15979</v>
      </c>
      <c r="K187" s="121" t="n">
        <v>893.37846</v>
      </c>
      <c r="L187" s="121" t="n">
        <v>455.78133</v>
      </c>
      <c r="M187" s="121" t="n">
        <v>2419.21195</v>
      </c>
      <c r="N187" s="116" t="n"/>
      <c r="O187" s="121" t="n">
        <v>1909.47299</v>
      </c>
      <c r="P187" s="121" t="n">
        <v>509.73896</v>
      </c>
      <c r="Q187" s="121" t="n">
        <v>124298.97081</v>
      </c>
      <c r="R187" s="121" t="n">
        <v>123289.05324</v>
      </c>
      <c r="S187" s="122" t="n">
        <v>1009.91757</v>
      </c>
      <c r="T187" s="110" t="n"/>
    </row>
    <row r="188" ht="14.25" customHeight="1" s="52">
      <c r="A188" s="104" t="n">
        <v>181</v>
      </c>
      <c r="B188" s="119" t="n"/>
      <c r="C188" s="119" t="n"/>
      <c r="D188" s="115" t="inlineStr">
        <is>
          <t>224</t>
        </is>
      </c>
      <c r="E188" s="116" t="n"/>
      <c r="F188" s="115" t="inlineStr">
        <is>
          <t>2240</t>
        </is>
      </c>
      <c r="G188" s="116" t="n"/>
      <c r="H188" s="115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8" s="115" t="inlineStr">
        <is>
          <t>А</t>
        </is>
      </c>
      <c r="J188" s="117" t="n">
        <v>0</v>
      </c>
      <c r="K188" s="117" t="n">
        <v>0</v>
      </c>
      <c r="L188" s="117" t="n">
        <v>0</v>
      </c>
      <c r="M188" s="117" t="n">
        <v>0</v>
      </c>
      <c r="N188" s="116" t="n"/>
      <c r="O188" s="117" t="n">
        <v>0</v>
      </c>
      <c r="P188" s="117" t="n">
        <v>0</v>
      </c>
      <c r="Q188" s="117" t="n">
        <v>0</v>
      </c>
      <c r="R188" s="117" t="n">
        <v>0</v>
      </c>
      <c r="S188" s="118" t="n">
        <v>0</v>
      </c>
      <c r="T188" s="110" t="n"/>
    </row>
    <row r="189" ht="13.5" customHeight="1" s="52">
      <c r="A189" s="104" t="n">
        <v>182</v>
      </c>
      <c r="B189" s="119" t="n"/>
      <c r="C189" s="119" t="n"/>
      <c r="D189" s="119" t="n"/>
      <c r="F189" s="115" t="inlineStr">
        <is>
          <t>2241</t>
        </is>
      </c>
      <c r="G189" s="116" t="n"/>
      <c r="H189" s="115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9" s="115" t="inlineStr">
        <is>
          <t>А</t>
        </is>
      </c>
      <c r="J189" s="117" t="n">
        <v>0</v>
      </c>
      <c r="K189" s="117" t="n">
        <v>0</v>
      </c>
      <c r="L189" s="117" t="n">
        <v>0</v>
      </c>
      <c r="M189" s="117" t="n">
        <v>0</v>
      </c>
      <c r="N189" s="116" t="n"/>
      <c r="O189" s="117" t="n">
        <v>0</v>
      </c>
      <c r="P189" s="117" t="n">
        <v>0</v>
      </c>
      <c r="Q189" s="117" t="n">
        <v>0</v>
      </c>
      <c r="R189" s="117" t="n">
        <v>0</v>
      </c>
      <c r="S189" s="118" t="n">
        <v>0</v>
      </c>
      <c r="T189" s="110" t="n"/>
    </row>
    <row r="190" ht="13.5" customHeight="1" s="52">
      <c r="A190" s="104" t="n">
        <v>183</v>
      </c>
      <c r="B190" s="119" t="n"/>
      <c r="C190" s="119" t="n"/>
      <c r="D190" s="119" t="n"/>
      <c r="F190" s="115" t="inlineStr">
        <is>
          <t>2243</t>
        </is>
      </c>
      <c r="G190" s="116" t="n"/>
      <c r="H190" s="115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90" s="115" t="inlineStr">
        <is>
          <t>А</t>
        </is>
      </c>
      <c r="J190" s="117" t="n">
        <v>0</v>
      </c>
      <c r="K190" s="117" t="n">
        <v>0</v>
      </c>
      <c r="L190" s="117" t="n">
        <v>0</v>
      </c>
      <c r="M190" s="117" t="n">
        <v>66.46892</v>
      </c>
      <c r="N190" s="116" t="n"/>
      <c r="O190" s="117" t="n">
        <v>66.46892</v>
      </c>
      <c r="P190" s="117" t="n">
        <v>0</v>
      </c>
      <c r="Q190" s="117" t="n">
        <v>448.64615</v>
      </c>
      <c r="R190" s="117" t="n">
        <v>448.64615</v>
      </c>
      <c r="S190" s="118" t="n">
        <v>0</v>
      </c>
      <c r="T190" s="110" t="n"/>
    </row>
    <row r="191" ht="13.5" customHeight="1" s="52">
      <c r="A191" s="104" t="n">
        <v>184</v>
      </c>
      <c r="B191" s="119" t="n"/>
      <c r="C191" s="119" t="n"/>
      <c r="D191" s="119" t="n"/>
      <c r="F191" s="115" t="inlineStr">
        <is>
          <t>2246</t>
        </is>
      </c>
      <c r="G191" s="116" t="n"/>
      <c r="H191" s="115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91" s="115" t="inlineStr">
        <is>
          <t>А</t>
        </is>
      </c>
      <c r="J191" s="117" t="n">
        <v>75.15643</v>
      </c>
      <c r="K191" s="117" t="n">
        <v>75.15643</v>
      </c>
      <c r="L191" s="117" t="n">
        <v>0</v>
      </c>
      <c r="M191" s="117" t="n">
        <v>4.13865</v>
      </c>
      <c r="N191" s="116" t="n"/>
      <c r="O191" s="117" t="n">
        <v>4.13865</v>
      </c>
      <c r="P191" s="117" t="n">
        <v>0</v>
      </c>
      <c r="Q191" s="117" t="n">
        <v>0</v>
      </c>
      <c r="R191" s="117" t="n">
        <v>0</v>
      </c>
      <c r="S191" s="118" t="n">
        <v>0</v>
      </c>
      <c r="T191" s="110" t="n"/>
    </row>
    <row r="192" ht="13.5" customHeight="1" s="52">
      <c r="A192" s="104" t="n">
        <v>185</v>
      </c>
      <c r="B192" s="119" t="n"/>
      <c r="C192" s="119" t="n"/>
      <c r="D192" s="119" t="n"/>
      <c r="F192" s="119" t="n"/>
      <c r="H192" s="119" t="n"/>
      <c r="I192" s="115" t="inlineStr">
        <is>
          <t>П</t>
        </is>
      </c>
      <c r="J192" s="117" t="n">
        <v>0</v>
      </c>
      <c r="K192" s="117" t="n">
        <v>0</v>
      </c>
      <c r="L192" s="117" t="n">
        <v>0</v>
      </c>
      <c r="M192" s="117" t="n">
        <v>0</v>
      </c>
      <c r="N192" s="116" t="n"/>
      <c r="O192" s="117" t="n">
        <v>0</v>
      </c>
      <c r="P192" s="117" t="n">
        <v>0</v>
      </c>
      <c r="Q192" s="117" t="n">
        <v>-571.16364</v>
      </c>
      <c r="R192" s="117" t="n">
        <v>-571.16364</v>
      </c>
      <c r="S192" s="118" t="n">
        <v>0</v>
      </c>
      <c r="T192" s="110" t="n"/>
    </row>
    <row r="193" ht="14.25" customHeight="1" s="52">
      <c r="A193" s="104" t="n">
        <v>186</v>
      </c>
      <c r="B193" s="119" t="n"/>
      <c r="C193" s="119" t="n"/>
      <c r="D193" s="119" t="n"/>
      <c r="F193" s="115" t="inlineStr">
        <is>
          <t>2248</t>
        </is>
      </c>
      <c r="G193" s="116" t="n"/>
      <c r="H193" s="115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93" s="115" t="inlineStr">
        <is>
          <t>А</t>
        </is>
      </c>
      <c r="J193" s="117" t="n">
        <v>4.66325</v>
      </c>
      <c r="K193" s="117" t="n">
        <v>4.66325</v>
      </c>
      <c r="L193" s="117" t="n">
        <v>0</v>
      </c>
      <c r="M193" s="117" t="n">
        <v>9.212109999999999</v>
      </c>
      <c r="N193" s="116" t="n"/>
      <c r="O193" s="117" t="n">
        <v>9.212109999999999</v>
      </c>
      <c r="P193" s="117" t="n">
        <v>0</v>
      </c>
      <c r="Q193" s="117" t="n">
        <v>122.51749</v>
      </c>
      <c r="R193" s="117" t="n">
        <v>122.51749</v>
      </c>
      <c r="S193" s="118" t="n">
        <v>0</v>
      </c>
      <c r="T193" s="110" t="n"/>
    </row>
    <row r="194" ht="13.5" customHeight="1" s="52">
      <c r="A194" s="104" t="n">
        <v>187</v>
      </c>
      <c r="B194" s="119" t="n"/>
      <c r="C194" s="119" t="n"/>
      <c r="D194" s="119" t="n"/>
      <c r="F194" s="115" t="inlineStr">
        <is>
          <t>2249</t>
        </is>
      </c>
      <c r="G194" s="116" t="n"/>
      <c r="H194" s="115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4" s="115" t="inlineStr">
        <is>
          <t>А</t>
        </is>
      </c>
      <c r="J194" s="117" t="n">
        <v>0.1663</v>
      </c>
      <c r="K194" s="117" t="n">
        <v>0.1663</v>
      </c>
      <c r="L194" s="117" t="n">
        <v>0</v>
      </c>
      <c r="M194" s="117" t="n">
        <v>0.1663</v>
      </c>
      <c r="N194" s="116" t="n"/>
      <c r="O194" s="117" t="n">
        <v>0.1663</v>
      </c>
      <c r="P194" s="117" t="n">
        <v>0</v>
      </c>
      <c r="Q194" s="117" t="n">
        <v>0</v>
      </c>
      <c r="R194" s="117" t="n">
        <v>0</v>
      </c>
      <c r="S194" s="118" t="n">
        <v>0</v>
      </c>
      <c r="T194" s="110" t="n"/>
    </row>
    <row r="195" ht="13.5" customHeight="1" s="52">
      <c r="A195" s="104" t="n">
        <v>188</v>
      </c>
      <c r="B195" s="119" t="n"/>
      <c r="C195" s="119" t="n"/>
      <c r="D195" s="119" t="n"/>
      <c r="F195" s="119" t="n"/>
      <c r="H195" s="119" t="n"/>
      <c r="I195" s="115" t="inlineStr">
        <is>
          <t>П</t>
        </is>
      </c>
      <c r="J195" s="117" t="n">
        <v>0</v>
      </c>
      <c r="K195" s="117" t="n">
        <v>0</v>
      </c>
      <c r="L195" s="117" t="n">
        <v>0</v>
      </c>
      <c r="M195" s="117" t="n">
        <v>0</v>
      </c>
      <c r="N195" s="116" t="n"/>
      <c r="O195" s="117" t="n">
        <v>0</v>
      </c>
      <c r="P195" s="117" t="n">
        <v>0</v>
      </c>
      <c r="Q195" s="117" t="n">
        <v>0</v>
      </c>
      <c r="R195" s="117" t="n">
        <v>0</v>
      </c>
      <c r="S195" s="118" t="n">
        <v>0</v>
      </c>
      <c r="T195" s="110" t="n"/>
    </row>
    <row r="196" ht="13.5" customHeight="1" s="52">
      <c r="A196" s="104" t="n">
        <v>189</v>
      </c>
      <c r="B196" s="119" t="n"/>
      <c r="C196" s="119" t="n"/>
      <c r="D196" s="119" t="n"/>
      <c r="F196" s="120" t="inlineStr">
        <is>
          <t>Група 224 - Усього</t>
        </is>
      </c>
      <c r="G196" s="116" t="n"/>
      <c r="H196" s="116" t="n"/>
      <c r="I196" s="120" t="n"/>
      <c r="J196" s="121" t="n">
        <v>79.98598</v>
      </c>
      <c r="K196" s="121" t="n">
        <v>79.98598</v>
      </c>
      <c r="L196" s="121" t="n">
        <v>0</v>
      </c>
      <c r="M196" s="121" t="n">
        <v>79.98598</v>
      </c>
      <c r="N196" s="116" t="n"/>
      <c r="O196" s="121" t="n">
        <v>79.98598</v>
      </c>
      <c r="P196" s="121" t="n">
        <v>0</v>
      </c>
      <c r="Q196" s="121" t="n">
        <v>-1.4210854715202e-14</v>
      </c>
      <c r="R196" s="121" t="n">
        <v>-1.4210854715202e-14</v>
      </c>
      <c r="S196" s="122" t="n">
        <v>0</v>
      </c>
      <c r="T196" s="110" t="n"/>
    </row>
    <row r="197" ht="21" customHeight="1" s="52">
      <c r="A197" s="104" t="n">
        <v>190</v>
      </c>
      <c r="B197" s="119" t="n"/>
      <c r="C197" s="119" t="n"/>
      <c r="D197" s="120" t="inlineStr">
        <is>
          <t>Розділ 22 - Усього</t>
        </is>
      </c>
      <c r="E197" s="116" t="n"/>
      <c r="F197" s="120" t="n"/>
      <c r="G197" s="116" t="n"/>
      <c r="H197" s="116" t="n"/>
      <c r="I197" s="120" t="n"/>
      <c r="J197" s="121" t="n">
        <v>33691.82145</v>
      </c>
      <c r="K197" s="121" t="n">
        <v>7337.05671</v>
      </c>
      <c r="L197" s="121" t="n">
        <v>26354.76474</v>
      </c>
      <c r="M197" s="121" t="n">
        <v>37672.64071</v>
      </c>
      <c r="N197" s="116" t="n"/>
      <c r="O197" s="121" t="n">
        <v>11261.94127</v>
      </c>
      <c r="P197" s="121" t="n">
        <v>26410.69944</v>
      </c>
      <c r="Q197" s="121" t="n">
        <v>143142.66984</v>
      </c>
      <c r="R197" s="121" t="n">
        <v>142067.06729</v>
      </c>
      <c r="S197" s="122" t="n">
        <v>1075.60255</v>
      </c>
      <c r="T197" s="110" t="n"/>
    </row>
    <row r="198" ht="14.25" customHeight="1" s="52">
      <c r="A198" s="104" t="n">
        <v>191</v>
      </c>
      <c r="B198" s="119" t="n"/>
      <c r="C198" s="115" t="inlineStr">
        <is>
          <t>23</t>
        </is>
      </c>
      <c r="D198" s="115" t="inlineStr">
        <is>
          <t>230</t>
        </is>
      </c>
      <c r="E198" s="116" t="n"/>
      <c r="F198" s="115" t="inlineStr">
        <is>
          <t>2301</t>
        </is>
      </c>
      <c r="G198" s="116" t="n"/>
      <c r="H198" s="115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8" s="115" t="inlineStr">
        <is>
          <t>А</t>
        </is>
      </c>
      <c r="J198" s="117" t="n">
        <v>0</v>
      </c>
      <c r="K198" s="117" t="n">
        <v>0</v>
      </c>
      <c r="L198" s="117" t="n">
        <v>0</v>
      </c>
      <c r="M198" s="117" t="n">
        <v>0</v>
      </c>
      <c r="N198" s="116" t="n"/>
      <c r="O198" s="117" t="n">
        <v>0</v>
      </c>
      <c r="P198" s="117" t="n">
        <v>0</v>
      </c>
      <c r="Q198" s="117" t="n">
        <v>0</v>
      </c>
      <c r="R198" s="117" t="n">
        <v>0</v>
      </c>
      <c r="S198" s="118" t="n">
        <v>0</v>
      </c>
      <c r="T198" s="110" t="n"/>
    </row>
    <row r="199" ht="13.5" customHeight="1" s="52">
      <c r="A199" s="104" t="n">
        <v>192</v>
      </c>
      <c r="B199" s="119" t="n"/>
      <c r="C199" s="119" t="n"/>
      <c r="D199" s="119" t="n"/>
      <c r="F199" s="115" t="inlineStr">
        <is>
          <t>2308</t>
        </is>
      </c>
      <c r="G199" s="116" t="n"/>
      <c r="H199" s="115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9" s="115" t="inlineStr">
        <is>
          <t>А</t>
        </is>
      </c>
      <c r="J199" s="117" t="n">
        <v>0</v>
      </c>
      <c r="K199" s="117" t="n">
        <v>0</v>
      </c>
      <c r="L199" s="117" t="n">
        <v>0</v>
      </c>
      <c r="M199" s="117" t="n">
        <v>0</v>
      </c>
      <c r="N199" s="116" t="n"/>
      <c r="O199" s="117" t="n">
        <v>0</v>
      </c>
      <c r="P199" s="117" t="n">
        <v>0</v>
      </c>
      <c r="Q199" s="117" t="n">
        <v>0</v>
      </c>
      <c r="R199" s="117" t="n">
        <v>0</v>
      </c>
      <c r="S199" s="118" t="n">
        <v>0</v>
      </c>
      <c r="T199" s="110" t="n"/>
    </row>
    <row r="200" ht="13.5" customHeight="1" s="52">
      <c r="A200" s="104" t="n">
        <v>193</v>
      </c>
      <c r="B200" s="119" t="n"/>
      <c r="C200" s="119" t="n"/>
      <c r="D200" s="119" t="n"/>
      <c r="F200" s="115" t="inlineStr">
        <is>
          <t>2309</t>
        </is>
      </c>
      <c r="G200" s="116" t="n"/>
      <c r="H200" s="115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200" s="115" t="inlineStr">
        <is>
          <t>А</t>
        </is>
      </c>
      <c r="J200" s="117" t="n">
        <v>0</v>
      </c>
      <c r="K200" s="117" t="n">
        <v>0</v>
      </c>
      <c r="L200" s="117" t="n">
        <v>0</v>
      </c>
      <c r="M200" s="117" t="n">
        <v>0</v>
      </c>
      <c r="N200" s="116" t="n"/>
      <c r="O200" s="117" t="n">
        <v>0</v>
      </c>
      <c r="P200" s="117" t="n">
        <v>0</v>
      </c>
      <c r="Q200" s="117" t="n">
        <v>0</v>
      </c>
      <c r="R200" s="117" t="n">
        <v>0</v>
      </c>
      <c r="S200" s="118" t="n">
        <v>0</v>
      </c>
      <c r="T200" s="110" t="n"/>
    </row>
    <row r="201" ht="13.5" customHeight="1" s="52">
      <c r="A201" s="104" t="n">
        <v>194</v>
      </c>
      <c r="B201" s="119" t="n"/>
      <c r="C201" s="119" t="n"/>
      <c r="D201" s="119" t="n"/>
      <c r="F201" s="119" t="n"/>
      <c r="H201" s="119" t="n"/>
      <c r="I201" s="115" t="inlineStr">
        <is>
          <t>П</t>
        </is>
      </c>
      <c r="J201" s="117" t="n">
        <v>0</v>
      </c>
      <c r="K201" s="117" t="n">
        <v>0</v>
      </c>
      <c r="L201" s="117" t="n">
        <v>0</v>
      </c>
      <c r="M201" s="117" t="n">
        <v>0</v>
      </c>
      <c r="N201" s="116" t="n"/>
      <c r="O201" s="117" t="n">
        <v>0</v>
      </c>
      <c r="P201" s="117" t="n">
        <v>0</v>
      </c>
      <c r="Q201" s="117" t="n">
        <v>0</v>
      </c>
      <c r="R201" s="117" t="n">
        <v>0</v>
      </c>
      <c r="S201" s="118" t="n">
        <v>0</v>
      </c>
      <c r="T201" s="110" t="n"/>
    </row>
    <row r="202" ht="13.5" customHeight="1" s="52">
      <c r="A202" s="104" t="n">
        <v>195</v>
      </c>
      <c r="B202" s="119" t="n"/>
      <c r="C202" s="119" t="n"/>
      <c r="D202" s="119" t="n"/>
      <c r="F202" s="120" t="inlineStr">
        <is>
          <t>Група 230 - Усього</t>
        </is>
      </c>
      <c r="G202" s="116" t="n"/>
      <c r="H202" s="116" t="n"/>
      <c r="I202" s="120" t="n"/>
      <c r="J202" s="121" t="n">
        <v>0</v>
      </c>
      <c r="K202" s="121" t="n">
        <v>0</v>
      </c>
      <c r="L202" s="121" t="n">
        <v>0</v>
      </c>
      <c r="M202" s="121" t="n">
        <v>0</v>
      </c>
      <c r="N202" s="116" t="n"/>
      <c r="O202" s="121" t="n">
        <v>0</v>
      </c>
      <c r="P202" s="121" t="n">
        <v>0</v>
      </c>
      <c r="Q202" s="121" t="n">
        <v>0</v>
      </c>
      <c r="R202" s="121" t="n">
        <v>0</v>
      </c>
      <c r="S202" s="122" t="n">
        <v>0</v>
      </c>
      <c r="T202" s="110" t="n"/>
    </row>
    <row r="203" ht="14.25" customHeight="1" s="52">
      <c r="A203" s="104" t="n">
        <v>196</v>
      </c>
      <c r="B203" s="119" t="n"/>
      <c r="C203" s="119" t="n"/>
      <c r="D203" s="115" t="inlineStr">
        <is>
          <t>239</t>
        </is>
      </c>
      <c r="E203" s="116" t="n"/>
      <c r="F203" s="115" t="inlineStr">
        <is>
          <t>2390</t>
        </is>
      </c>
      <c r="G203" s="116" t="n"/>
      <c r="H203" s="115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203" s="115" t="inlineStr">
        <is>
          <t>А</t>
        </is>
      </c>
      <c r="J203" s="117" t="n">
        <v>0</v>
      </c>
      <c r="K203" s="117" t="n">
        <v>0</v>
      </c>
      <c r="L203" s="117" t="n">
        <v>0</v>
      </c>
      <c r="M203" s="117" t="n">
        <v>0</v>
      </c>
      <c r="N203" s="116" t="n"/>
      <c r="O203" s="117" t="n">
        <v>0</v>
      </c>
      <c r="P203" s="117" t="n">
        <v>0</v>
      </c>
      <c r="Q203" s="117" t="n">
        <v>0</v>
      </c>
      <c r="R203" s="117" t="n">
        <v>0</v>
      </c>
      <c r="S203" s="118" t="n">
        <v>0</v>
      </c>
      <c r="T203" s="110" t="n"/>
    </row>
    <row r="204" ht="13.5" customHeight="1" s="52">
      <c r="A204" s="104" t="n">
        <v>197</v>
      </c>
      <c r="B204" s="119" t="n"/>
      <c r="C204" s="119" t="n"/>
      <c r="D204" s="119" t="n"/>
      <c r="F204" s="115" t="inlineStr">
        <is>
          <t>2394</t>
        </is>
      </c>
      <c r="G204" s="116" t="n"/>
      <c r="H204" s="115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4" s="115" t="inlineStr">
        <is>
          <t>А</t>
        </is>
      </c>
      <c r="J204" s="117" t="n">
        <v>0</v>
      </c>
      <c r="K204" s="117" t="n">
        <v>0</v>
      </c>
      <c r="L204" s="117" t="n">
        <v>0</v>
      </c>
      <c r="M204" s="117" t="n">
        <v>0</v>
      </c>
      <c r="N204" s="116" t="n"/>
      <c r="O204" s="117" t="n">
        <v>0</v>
      </c>
      <c r="P204" s="117" t="n">
        <v>0</v>
      </c>
      <c r="Q204" s="117" t="n">
        <v>0</v>
      </c>
      <c r="R204" s="117" t="n">
        <v>0</v>
      </c>
      <c r="S204" s="118" t="n">
        <v>0</v>
      </c>
      <c r="T204" s="110" t="n"/>
    </row>
    <row r="205" ht="13.5" customHeight="1" s="52">
      <c r="A205" s="104" t="n">
        <v>198</v>
      </c>
      <c r="B205" s="119" t="n"/>
      <c r="C205" s="119" t="n"/>
      <c r="D205" s="119" t="n"/>
      <c r="F205" s="115" t="inlineStr">
        <is>
          <t>2396</t>
        </is>
      </c>
      <c r="G205" s="116" t="n"/>
      <c r="H205" s="115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5" s="115" t="inlineStr">
        <is>
          <t>А</t>
        </is>
      </c>
      <c r="J205" s="117" t="n">
        <v>0</v>
      </c>
      <c r="K205" s="117" t="n">
        <v>0</v>
      </c>
      <c r="L205" s="117" t="n">
        <v>0</v>
      </c>
      <c r="M205" s="117" t="n">
        <v>0</v>
      </c>
      <c r="N205" s="116" t="n"/>
      <c r="O205" s="117" t="n">
        <v>0</v>
      </c>
      <c r="P205" s="117" t="n">
        <v>0</v>
      </c>
      <c r="Q205" s="117" t="n">
        <v>0</v>
      </c>
      <c r="R205" s="117" t="n">
        <v>0</v>
      </c>
      <c r="S205" s="118" t="n">
        <v>0</v>
      </c>
      <c r="T205" s="110" t="n"/>
    </row>
    <row r="206" ht="13.5" customHeight="1" s="52">
      <c r="A206" s="104" t="n">
        <v>199</v>
      </c>
      <c r="B206" s="119" t="n"/>
      <c r="C206" s="119" t="n"/>
      <c r="D206" s="119" t="n"/>
      <c r="F206" s="115" t="inlineStr">
        <is>
          <t>2397</t>
        </is>
      </c>
      <c r="G206" s="116" t="n"/>
      <c r="H206" s="115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6" s="115" t="inlineStr">
        <is>
          <t>А</t>
        </is>
      </c>
      <c r="J206" s="117" t="n">
        <v>0</v>
      </c>
      <c r="K206" s="117" t="n">
        <v>0</v>
      </c>
      <c r="L206" s="117" t="n">
        <v>0</v>
      </c>
      <c r="M206" s="117" t="n">
        <v>0</v>
      </c>
      <c r="N206" s="116" t="n"/>
      <c r="O206" s="117" t="n">
        <v>0</v>
      </c>
      <c r="P206" s="117" t="n">
        <v>0</v>
      </c>
      <c r="Q206" s="117" t="n">
        <v>0</v>
      </c>
      <c r="R206" s="117" t="n">
        <v>0</v>
      </c>
      <c r="S206" s="118" t="n">
        <v>0</v>
      </c>
      <c r="T206" s="110" t="n"/>
    </row>
    <row r="207" ht="13.5" customHeight="1" s="52">
      <c r="A207" s="104" t="n">
        <v>200</v>
      </c>
      <c r="B207" s="119" t="n"/>
      <c r="C207" s="119" t="n"/>
      <c r="D207" s="119" t="n"/>
      <c r="F207" s="119" t="n"/>
      <c r="H207" s="119" t="n"/>
      <c r="I207" s="115" t="inlineStr">
        <is>
          <t>П</t>
        </is>
      </c>
      <c r="J207" s="117" t="n">
        <v>0</v>
      </c>
      <c r="K207" s="117" t="n">
        <v>0</v>
      </c>
      <c r="L207" s="117" t="n">
        <v>0</v>
      </c>
      <c r="M207" s="117" t="n">
        <v>0</v>
      </c>
      <c r="N207" s="116" t="n"/>
      <c r="O207" s="117" t="n">
        <v>0</v>
      </c>
      <c r="P207" s="117" t="n">
        <v>0</v>
      </c>
      <c r="Q207" s="117" t="n">
        <v>0</v>
      </c>
      <c r="R207" s="117" t="n">
        <v>0</v>
      </c>
      <c r="S207" s="118" t="n">
        <v>0</v>
      </c>
      <c r="T207" s="110" t="n"/>
    </row>
    <row r="208" ht="14.25" customHeight="1" s="52">
      <c r="A208" s="104" t="n">
        <v>201</v>
      </c>
      <c r="B208" s="119" t="n"/>
      <c r="C208" s="119" t="n"/>
      <c r="D208" s="119" t="n"/>
      <c r="F208" s="115" t="inlineStr">
        <is>
          <t>2398</t>
        </is>
      </c>
      <c r="G208" s="116" t="n"/>
      <c r="H208" s="115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8" s="115" t="inlineStr">
        <is>
          <t>А</t>
        </is>
      </c>
      <c r="J208" s="117" t="n">
        <v>0</v>
      </c>
      <c r="K208" s="117" t="n">
        <v>0</v>
      </c>
      <c r="L208" s="117" t="n">
        <v>0</v>
      </c>
      <c r="M208" s="117" t="n">
        <v>0</v>
      </c>
      <c r="N208" s="116" t="n"/>
      <c r="O208" s="117" t="n">
        <v>0</v>
      </c>
      <c r="P208" s="117" t="n">
        <v>0</v>
      </c>
      <c r="Q208" s="117" t="n">
        <v>0</v>
      </c>
      <c r="R208" s="117" t="n">
        <v>0</v>
      </c>
      <c r="S208" s="118" t="n">
        <v>0</v>
      </c>
      <c r="T208" s="110" t="n"/>
    </row>
    <row r="209" ht="13.5" customHeight="1" s="52">
      <c r="A209" s="104" t="n">
        <v>202</v>
      </c>
      <c r="B209" s="119" t="n"/>
      <c r="C209" s="119" t="n"/>
      <c r="D209" s="119" t="n"/>
      <c r="F209" s="120" t="inlineStr">
        <is>
          <t>Група 239 - Усього</t>
        </is>
      </c>
      <c r="G209" s="116" t="n"/>
      <c r="H209" s="116" t="n"/>
      <c r="I209" s="120" t="n"/>
      <c r="J209" s="121" t="n">
        <v>0</v>
      </c>
      <c r="K209" s="121" t="n">
        <v>0</v>
      </c>
      <c r="L209" s="121" t="n">
        <v>0</v>
      </c>
      <c r="M209" s="121" t="n">
        <v>0</v>
      </c>
      <c r="N209" s="116" t="n"/>
      <c r="O209" s="121" t="n">
        <v>0</v>
      </c>
      <c r="P209" s="121" t="n">
        <v>0</v>
      </c>
      <c r="Q209" s="121" t="n">
        <v>0</v>
      </c>
      <c r="R209" s="121" t="n">
        <v>0</v>
      </c>
      <c r="S209" s="122" t="n">
        <v>0</v>
      </c>
      <c r="T209" s="110" t="n"/>
    </row>
    <row r="210" ht="20.25" customHeight="1" s="52">
      <c r="A210" s="104" t="n">
        <v>203</v>
      </c>
      <c r="B210" s="119" t="n"/>
      <c r="C210" s="119" t="n"/>
      <c r="D210" s="120" t="inlineStr">
        <is>
          <t>Розділ 23 - Усього</t>
        </is>
      </c>
      <c r="E210" s="116" t="n"/>
      <c r="F210" s="120" t="n"/>
      <c r="G210" s="116" t="n"/>
      <c r="H210" s="116" t="n"/>
      <c r="I210" s="120" t="n"/>
      <c r="J210" s="121" t="n">
        <v>0</v>
      </c>
      <c r="K210" s="121" t="n">
        <v>0</v>
      </c>
      <c r="L210" s="121" t="n">
        <v>0</v>
      </c>
      <c r="M210" s="121" t="n">
        <v>0</v>
      </c>
      <c r="N210" s="116" t="n"/>
      <c r="O210" s="121" t="n">
        <v>0</v>
      </c>
      <c r="P210" s="121" t="n">
        <v>0</v>
      </c>
      <c r="Q210" s="121" t="n">
        <v>0</v>
      </c>
      <c r="R210" s="121" t="n">
        <v>0</v>
      </c>
      <c r="S210" s="122" t="n">
        <v>0</v>
      </c>
      <c r="T210" s="110" t="n"/>
    </row>
    <row r="211" ht="13.5" customHeight="1" s="52">
      <c r="A211" s="104" t="n">
        <v>204</v>
      </c>
      <c r="B211" s="119" t="n"/>
      <c r="C211" s="115" t="inlineStr">
        <is>
          <t>24</t>
        </is>
      </c>
      <c r="D211" s="115" t="inlineStr">
        <is>
          <t>245</t>
        </is>
      </c>
      <c r="E211" s="116" t="n"/>
      <c r="F211" s="115" t="inlineStr">
        <is>
          <t>2450</t>
        </is>
      </c>
      <c r="G211" s="116" t="n"/>
      <c r="H211" s="115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11" s="115" t="inlineStr">
        <is>
          <t>А</t>
        </is>
      </c>
      <c r="J211" s="117" t="n">
        <v>0</v>
      </c>
      <c r="K211" s="117" t="n">
        <v>0</v>
      </c>
      <c r="L211" s="117" t="n">
        <v>0</v>
      </c>
      <c r="M211" s="117" t="n">
        <v>0</v>
      </c>
      <c r="N211" s="116" t="n"/>
      <c r="O211" s="117" t="n">
        <v>0</v>
      </c>
      <c r="P211" s="117" t="n">
        <v>0</v>
      </c>
      <c r="Q211" s="117" t="n">
        <v>0</v>
      </c>
      <c r="R211" s="117" t="n">
        <v>0</v>
      </c>
      <c r="S211" s="118" t="n">
        <v>0</v>
      </c>
      <c r="T211" s="110" t="n"/>
    </row>
    <row r="212" ht="13.5" customHeight="1" s="52">
      <c r="A212" s="104" t="n">
        <v>205</v>
      </c>
      <c r="B212" s="119" t="n"/>
      <c r="C212" s="119" t="n"/>
      <c r="D212" s="119" t="n"/>
      <c r="F212" s="115" t="inlineStr">
        <is>
          <t>2453</t>
        </is>
      </c>
      <c r="G212" s="116" t="n"/>
      <c r="H212" s="115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12" s="115" t="inlineStr">
        <is>
          <t>А</t>
        </is>
      </c>
      <c r="J212" s="117" t="n">
        <v>0</v>
      </c>
      <c r="K212" s="117" t="n">
        <v>0</v>
      </c>
      <c r="L212" s="117" t="n">
        <v>0</v>
      </c>
      <c r="M212" s="117" t="n">
        <v>0</v>
      </c>
      <c r="N212" s="116" t="n"/>
      <c r="O212" s="117" t="n">
        <v>0</v>
      </c>
      <c r="P212" s="117" t="n">
        <v>0</v>
      </c>
      <c r="Q212" s="117" t="n">
        <v>0</v>
      </c>
      <c r="R212" s="117" t="n">
        <v>0</v>
      </c>
      <c r="S212" s="118" t="n">
        <v>0</v>
      </c>
      <c r="T212" s="110" t="n"/>
    </row>
    <row r="213" ht="14.25" customHeight="1" s="52">
      <c r="A213" s="104" t="n">
        <v>206</v>
      </c>
      <c r="B213" s="119" t="n"/>
      <c r="C213" s="119" t="n"/>
      <c r="D213" s="119" t="n"/>
      <c r="F213" s="115" t="inlineStr">
        <is>
          <t>2456</t>
        </is>
      </c>
      <c r="G213" s="116" t="n"/>
      <c r="H213" s="115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13" s="115" t="inlineStr">
        <is>
          <t>А</t>
        </is>
      </c>
      <c r="J213" s="117" t="n">
        <v>0</v>
      </c>
      <c r="K213" s="117" t="n">
        <v>0</v>
      </c>
      <c r="L213" s="117" t="n">
        <v>0</v>
      </c>
      <c r="M213" s="117" t="n">
        <v>0</v>
      </c>
      <c r="N213" s="116" t="n"/>
      <c r="O213" s="117" t="n">
        <v>0</v>
      </c>
      <c r="P213" s="117" t="n">
        <v>0</v>
      </c>
      <c r="Q213" s="117" t="n">
        <v>0</v>
      </c>
      <c r="R213" s="117" t="n">
        <v>0</v>
      </c>
      <c r="S213" s="118" t="n">
        <v>0</v>
      </c>
      <c r="T213" s="110" t="n"/>
    </row>
    <row r="214" ht="13.5" customHeight="1" s="52">
      <c r="A214" s="104" t="n">
        <v>207</v>
      </c>
      <c r="B214" s="119" t="n"/>
      <c r="C214" s="119" t="n"/>
      <c r="D214" s="119" t="n"/>
      <c r="F214" s="119" t="n"/>
      <c r="H214" s="119" t="n"/>
      <c r="I214" s="115" t="inlineStr">
        <is>
          <t>П</t>
        </is>
      </c>
      <c r="J214" s="117" t="n">
        <v>0</v>
      </c>
      <c r="K214" s="117" t="n">
        <v>0</v>
      </c>
      <c r="L214" s="117" t="n">
        <v>0</v>
      </c>
      <c r="M214" s="117" t="n">
        <v>0</v>
      </c>
      <c r="N214" s="116" t="n"/>
      <c r="O214" s="117" t="n">
        <v>0</v>
      </c>
      <c r="P214" s="117" t="n">
        <v>0</v>
      </c>
      <c r="Q214" s="117" t="n">
        <v>0</v>
      </c>
      <c r="R214" s="117" t="n">
        <v>0</v>
      </c>
      <c r="S214" s="118" t="n">
        <v>0</v>
      </c>
      <c r="T214" s="110" t="n"/>
    </row>
    <row r="215" ht="13.5" customHeight="1" s="52">
      <c r="A215" s="104" t="n">
        <v>208</v>
      </c>
      <c r="B215" s="119" t="n"/>
      <c r="C215" s="119" t="n"/>
      <c r="D215" s="119" t="n"/>
      <c r="F215" s="115" t="inlineStr">
        <is>
          <t>2457</t>
        </is>
      </c>
      <c r="G215" s="116" t="n"/>
      <c r="H215" s="115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5" s="115" t="inlineStr">
        <is>
          <t>А</t>
        </is>
      </c>
      <c r="J215" s="117" t="n">
        <v>0</v>
      </c>
      <c r="K215" s="117" t="n">
        <v>0</v>
      </c>
      <c r="L215" s="117" t="n">
        <v>0</v>
      </c>
      <c r="M215" s="117" t="n">
        <v>0</v>
      </c>
      <c r="N215" s="116" t="n"/>
      <c r="O215" s="117" t="n">
        <v>0</v>
      </c>
      <c r="P215" s="117" t="n">
        <v>0</v>
      </c>
      <c r="Q215" s="117" t="n">
        <v>0</v>
      </c>
      <c r="R215" s="117" t="n">
        <v>0</v>
      </c>
      <c r="S215" s="118" t="n">
        <v>0</v>
      </c>
      <c r="T215" s="110" t="n"/>
    </row>
    <row r="216" ht="13.5" customHeight="1" s="52">
      <c r="A216" s="104" t="n">
        <v>209</v>
      </c>
      <c r="B216" s="119" t="n"/>
      <c r="C216" s="119" t="n"/>
      <c r="D216" s="119" t="n"/>
      <c r="F216" s="119" t="n"/>
      <c r="H216" s="119" t="n"/>
      <c r="I216" s="115" t="inlineStr">
        <is>
          <t>П</t>
        </is>
      </c>
      <c r="J216" s="117" t="n">
        <v>0</v>
      </c>
      <c r="K216" s="117" t="n">
        <v>0</v>
      </c>
      <c r="L216" s="117" t="n">
        <v>0</v>
      </c>
      <c r="M216" s="117" t="n">
        <v>0</v>
      </c>
      <c r="N216" s="116" t="n"/>
      <c r="O216" s="117" t="n">
        <v>0</v>
      </c>
      <c r="P216" s="117" t="n">
        <v>0</v>
      </c>
      <c r="Q216" s="117" t="n">
        <v>0</v>
      </c>
      <c r="R216" s="117" t="n">
        <v>0</v>
      </c>
      <c r="S216" s="118" t="n">
        <v>0</v>
      </c>
      <c r="T216" s="110" t="n"/>
    </row>
    <row r="217" ht="13.5" customHeight="1" s="52">
      <c r="A217" s="104" t="n">
        <v>210</v>
      </c>
      <c r="B217" s="119" t="n"/>
      <c r="C217" s="119" t="n"/>
      <c r="D217" s="119" t="n"/>
      <c r="F217" s="115" t="inlineStr">
        <is>
          <t>2458</t>
        </is>
      </c>
      <c r="G217" s="116" t="n"/>
      <c r="H217" s="115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7" s="115" t="inlineStr">
        <is>
          <t>А</t>
        </is>
      </c>
      <c r="J217" s="117" t="n">
        <v>0</v>
      </c>
      <c r="K217" s="117" t="n">
        <v>0</v>
      </c>
      <c r="L217" s="117" t="n">
        <v>0</v>
      </c>
      <c r="M217" s="117" t="n">
        <v>0</v>
      </c>
      <c r="N217" s="116" t="n"/>
      <c r="O217" s="117" t="n">
        <v>0</v>
      </c>
      <c r="P217" s="117" t="n">
        <v>0</v>
      </c>
      <c r="Q217" s="117" t="n">
        <v>0</v>
      </c>
      <c r="R217" s="117" t="n">
        <v>0</v>
      </c>
      <c r="S217" s="118" t="n">
        <v>0</v>
      </c>
      <c r="T217" s="110" t="n"/>
    </row>
    <row r="218" ht="14.25" customHeight="1" s="52">
      <c r="A218" s="104" t="n">
        <v>211</v>
      </c>
      <c r="B218" s="119" t="n"/>
      <c r="C218" s="119" t="n"/>
      <c r="D218" s="119" t="n"/>
      <c r="F218" s="120" t="inlineStr">
        <is>
          <t>Група 245 - Усього</t>
        </is>
      </c>
      <c r="G218" s="116" t="n"/>
      <c r="H218" s="116" t="n"/>
      <c r="I218" s="120" t="n"/>
      <c r="J218" s="121" t="n">
        <v>0</v>
      </c>
      <c r="K218" s="121" t="n">
        <v>0</v>
      </c>
      <c r="L218" s="121" t="n">
        <v>0</v>
      </c>
      <c r="M218" s="121" t="n">
        <v>0</v>
      </c>
      <c r="N218" s="116" t="n"/>
      <c r="O218" s="121" t="n">
        <v>0</v>
      </c>
      <c r="P218" s="121" t="n">
        <v>0</v>
      </c>
      <c r="Q218" s="121" t="n">
        <v>0</v>
      </c>
      <c r="R218" s="121" t="n">
        <v>0</v>
      </c>
      <c r="S218" s="122" t="n">
        <v>0</v>
      </c>
      <c r="T218" s="110" t="n"/>
    </row>
    <row r="219" ht="16.5" customHeight="1" s="52">
      <c r="A219" s="104" t="n">
        <v>212</v>
      </c>
      <c r="B219" s="119" t="n"/>
      <c r="C219" s="119" t="n"/>
      <c r="D219" s="120" t="inlineStr">
        <is>
          <t>Розділ 24 - Усього</t>
        </is>
      </c>
      <c r="E219" s="116" t="n"/>
      <c r="F219" s="120" t="n"/>
      <c r="G219" s="116" t="n"/>
      <c r="H219" s="116" t="n"/>
      <c r="I219" s="120" t="n"/>
      <c r="J219" s="121" t="n">
        <v>0</v>
      </c>
      <c r="K219" s="121" t="n">
        <v>0</v>
      </c>
      <c r="L219" s="121" t="n">
        <v>0</v>
      </c>
      <c r="M219" s="121" t="n">
        <v>0</v>
      </c>
      <c r="N219" s="116" t="n"/>
      <c r="O219" s="121" t="n">
        <v>0</v>
      </c>
      <c r="P219" s="121" t="n">
        <v>0</v>
      </c>
      <c r="Q219" s="121" t="n">
        <v>0</v>
      </c>
      <c r="R219" s="121" t="n">
        <v>0</v>
      </c>
      <c r="S219" s="122" t="n">
        <v>0</v>
      </c>
      <c r="T219" s="110" t="n"/>
    </row>
    <row r="220" ht="13.5" customHeight="1" s="52">
      <c r="A220" s="104" t="n">
        <v>213</v>
      </c>
      <c r="B220" s="119" t="n"/>
      <c r="C220" s="115" t="inlineStr">
        <is>
          <t>26</t>
        </is>
      </c>
      <c r="D220" s="115" t="inlineStr">
        <is>
          <t>260</t>
        </is>
      </c>
      <c r="E220" s="116" t="n"/>
      <c r="F220" s="115" t="inlineStr">
        <is>
          <t>2600</t>
        </is>
      </c>
      <c r="G220" s="116" t="n"/>
      <c r="H220" s="115" t="inlineStr">
        <is>
          <t>Кошти на вимогу суб'єктів господарювання</t>
        </is>
      </c>
      <c r="I220" s="115" t="inlineStr">
        <is>
          <t>А</t>
        </is>
      </c>
      <c r="J220" s="117" t="n">
        <v>271160851.58297</v>
      </c>
      <c r="K220" s="117" t="n">
        <v>210491888.44794</v>
      </c>
      <c r="L220" s="117" t="n">
        <v>60668963.13503</v>
      </c>
      <c r="M220" s="117" t="n">
        <v>276030432.63478</v>
      </c>
      <c r="N220" s="116" t="n"/>
      <c r="O220" s="117" t="n">
        <v>215487973.59899</v>
      </c>
      <c r="P220" s="117" t="n">
        <v>60542459.03579</v>
      </c>
      <c r="Q220" s="117" t="n">
        <v>481391.52752</v>
      </c>
      <c r="R220" s="117" t="n">
        <v>456955.57752</v>
      </c>
      <c r="S220" s="118" t="n">
        <v>24435.95</v>
      </c>
      <c r="T220" s="110" t="n"/>
    </row>
    <row r="221" ht="13.5" customHeight="1" s="52">
      <c r="A221" s="104" t="n">
        <v>214</v>
      </c>
      <c r="B221" s="119" t="n"/>
      <c r="C221" s="119" t="n"/>
      <c r="D221" s="119" t="n"/>
      <c r="F221" s="115" t="inlineStr">
        <is>
          <t>2607</t>
        </is>
      </c>
      <c r="G221" s="116" t="n"/>
      <c r="H221" s="115" t="inlineStr">
        <is>
          <t>Нараховані доходи за кредитами овердрафт, що надані суб'єктам господарювання</t>
        </is>
      </c>
      <c r="I221" s="115" t="inlineStr">
        <is>
          <t>А</t>
        </is>
      </c>
      <c r="J221" s="117" t="n">
        <v>5564.28392</v>
      </c>
      <c r="K221" s="117" t="n">
        <v>5496.73954</v>
      </c>
      <c r="L221" s="117" t="n">
        <v>67.54438</v>
      </c>
      <c r="M221" s="117" t="n">
        <v>5388.1749</v>
      </c>
      <c r="N221" s="116" t="n"/>
      <c r="O221" s="117" t="n">
        <v>5383.50258</v>
      </c>
      <c r="P221" s="117" t="n">
        <v>4.67232</v>
      </c>
      <c r="Q221" s="117" t="n">
        <v>5299.44766</v>
      </c>
      <c r="R221" s="117" t="n">
        <v>5231.90523</v>
      </c>
      <c r="S221" s="118" t="n">
        <v>67.54243</v>
      </c>
      <c r="T221" s="110" t="n"/>
    </row>
    <row r="222" ht="13.5" customHeight="1" s="52">
      <c r="A222" s="104" t="n">
        <v>215</v>
      </c>
      <c r="B222" s="119" t="n"/>
      <c r="C222" s="119" t="n"/>
      <c r="D222" s="119" t="n"/>
      <c r="F222" s="115" t="inlineStr">
        <is>
          <t>2609</t>
        </is>
      </c>
      <c r="G222" s="116" t="n"/>
      <c r="H222" s="115" t="inlineStr">
        <is>
          <t xml:space="preserve">Резерв за коштами на вимогу суб'єктів господарювання </t>
        </is>
      </c>
      <c r="I222" s="115" t="inlineStr">
        <is>
          <t>П</t>
        </is>
      </c>
      <c r="J222" s="117" t="n">
        <v>7086.31471</v>
      </c>
      <c r="K222" s="117" t="n">
        <v>7069.69319</v>
      </c>
      <c r="L222" s="117" t="n">
        <v>16.62152</v>
      </c>
      <c r="M222" s="117" t="n">
        <v>7503.14772</v>
      </c>
      <c r="N222" s="116" t="n"/>
      <c r="O222" s="117" t="n">
        <v>7499.69224</v>
      </c>
      <c r="P222" s="117" t="n">
        <v>3.45548</v>
      </c>
      <c r="Q222" s="117" t="n">
        <v>-9447.42439</v>
      </c>
      <c r="R222" s="117" t="n">
        <v>-9281.06151</v>
      </c>
      <c r="S222" s="118" t="n">
        <v>-166.36288</v>
      </c>
      <c r="T222" s="110" t="n"/>
    </row>
    <row r="223" ht="14.25" customHeight="1" s="52">
      <c r="A223" s="104" t="n">
        <v>216</v>
      </c>
      <c r="B223" s="119" t="n"/>
      <c r="C223" s="119" t="n"/>
      <c r="D223" s="119" t="n"/>
      <c r="F223" s="120" t="inlineStr">
        <is>
          <t>Група 260 - Усього</t>
        </is>
      </c>
      <c r="G223" s="116" t="n"/>
      <c r="H223" s="116" t="n"/>
      <c r="I223" s="120" t="n"/>
      <c r="J223" s="121" t="n">
        <v>271173502.1816</v>
      </c>
      <c r="K223" s="121" t="n">
        <v>210504454.88067</v>
      </c>
      <c r="L223" s="121" t="n">
        <v>60669047.30093</v>
      </c>
      <c r="M223" s="121" t="n">
        <v>276043323.9574</v>
      </c>
      <c r="N223" s="116" t="n"/>
      <c r="O223" s="121" t="n">
        <v>215500856.79381</v>
      </c>
      <c r="P223" s="121" t="n">
        <v>60542467.16359</v>
      </c>
      <c r="Q223" s="121" t="n">
        <v>477243.55079</v>
      </c>
      <c r="R223" s="121" t="n">
        <v>452906.42124</v>
      </c>
      <c r="S223" s="122" t="n">
        <v>24337.12955</v>
      </c>
      <c r="T223" s="110" t="n"/>
    </row>
    <row r="224" ht="13.5" customHeight="1" s="52">
      <c r="A224" s="104" t="n">
        <v>217</v>
      </c>
      <c r="B224" s="119" t="n"/>
      <c r="C224" s="119" t="n"/>
      <c r="D224" s="115" t="inlineStr">
        <is>
          <t>262</t>
        </is>
      </c>
      <c r="E224" s="116" t="n"/>
      <c r="F224" s="115" t="inlineStr">
        <is>
          <t>2620</t>
        </is>
      </c>
      <c r="G224" s="116" t="n"/>
      <c r="H224" s="115" t="inlineStr">
        <is>
          <t>Кошти на вимогу фізичних осіб</t>
        </is>
      </c>
      <c r="I224" s="115" t="inlineStr">
        <is>
          <t>А</t>
        </is>
      </c>
      <c r="J224" s="117" t="n">
        <v>8465477.441339999</v>
      </c>
      <c r="K224" s="117" t="n">
        <v>5170086.86497</v>
      </c>
      <c r="L224" s="117" t="n">
        <v>3295390.57637</v>
      </c>
      <c r="M224" s="117" t="n">
        <v>8673985.343560001</v>
      </c>
      <c r="N224" s="116" t="n"/>
      <c r="O224" s="117" t="n">
        <v>5154994.9421</v>
      </c>
      <c r="P224" s="117" t="n">
        <v>3518990.40146</v>
      </c>
      <c r="Q224" s="117" t="n">
        <v>0</v>
      </c>
      <c r="R224" s="117" t="n">
        <v>0</v>
      </c>
      <c r="S224" s="118" t="n">
        <v>0</v>
      </c>
      <c r="T224" s="110" t="n"/>
    </row>
    <row r="225" ht="13.5" customHeight="1" s="52">
      <c r="A225" s="104" t="n">
        <v>218</v>
      </c>
      <c r="B225" s="119" t="n"/>
      <c r="C225" s="119" t="n"/>
      <c r="D225" s="119" t="n"/>
      <c r="F225" s="115" t="inlineStr">
        <is>
          <t>2621</t>
        </is>
      </c>
      <c r="G225" s="116" t="n"/>
      <c r="H225" s="115" t="inlineStr">
        <is>
          <t>Кошти на вимогу суб’єктів незалежної професійної діяльності</t>
        </is>
      </c>
      <c r="I225" s="115" t="inlineStr">
        <is>
          <t>А</t>
        </is>
      </c>
      <c r="J225" s="117" t="n">
        <v>1863.10013</v>
      </c>
      <c r="K225" s="117" t="n">
        <v>1862.54508</v>
      </c>
      <c r="L225" s="117" t="n">
        <v>0.55505</v>
      </c>
      <c r="M225" s="117" t="n">
        <v>1893.31403</v>
      </c>
      <c r="N225" s="116" t="n"/>
      <c r="O225" s="117" t="n">
        <v>1892.4901</v>
      </c>
      <c r="P225" s="117" t="n">
        <v>0.8239300000000001</v>
      </c>
      <c r="Q225" s="117" t="n">
        <v>0</v>
      </c>
      <c r="R225" s="117" t="n">
        <v>0</v>
      </c>
      <c r="S225" s="118" t="n">
        <v>0</v>
      </c>
      <c r="T225" s="110" t="n"/>
    </row>
    <row r="226" ht="13.5" customHeight="1" s="52">
      <c r="A226" s="104" t="n">
        <v>219</v>
      </c>
      <c r="B226" s="119" t="n"/>
      <c r="C226" s="119" t="n"/>
      <c r="D226" s="119" t="n"/>
      <c r="F226" s="115" t="inlineStr">
        <is>
          <t>2627</t>
        </is>
      </c>
      <c r="G226" s="116" t="n"/>
      <c r="H226" s="115" t="inlineStr">
        <is>
          <t>Нараховані доходи за кредитами овердрафт, що надані фізичним особам</t>
        </is>
      </c>
      <c r="I226" s="115" t="inlineStr">
        <is>
          <t>А</t>
        </is>
      </c>
      <c r="J226" s="117" t="n">
        <v>0</v>
      </c>
      <c r="K226" s="117" t="n">
        <v>0</v>
      </c>
      <c r="L226" s="117" t="n">
        <v>0</v>
      </c>
      <c r="M226" s="117" t="n">
        <v>0</v>
      </c>
      <c r="N226" s="116" t="n"/>
      <c r="O226" s="117" t="n">
        <v>0</v>
      </c>
      <c r="P226" s="117" t="n">
        <v>0</v>
      </c>
      <c r="Q226" s="117" t="n">
        <v>0</v>
      </c>
      <c r="R226" s="117" t="n">
        <v>0</v>
      </c>
      <c r="S226" s="118" t="n">
        <v>0</v>
      </c>
      <c r="T226" s="110" t="n"/>
    </row>
    <row r="227" ht="13.5" customHeight="1" s="52">
      <c r="A227" s="104" t="n">
        <v>220</v>
      </c>
      <c r="B227" s="119" t="n"/>
      <c r="C227" s="119" t="n"/>
      <c r="D227" s="119" t="n"/>
      <c r="F227" s="115" t="inlineStr">
        <is>
          <t>2629</t>
        </is>
      </c>
      <c r="G227" s="116" t="n"/>
      <c r="H227" s="115" t="inlineStr">
        <is>
          <t>Резерв за коштами на вимогу фізичних осіб</t>
        </is>
      </c>
      <c r="I227" s="115" t="inlineStr">
        <is>
          <t>П</t>
        </is>
      </c>
      <c r="J227" s="117" t="n">
        <v>0</v>
      </c>
      <c r="K227" s="117" t="n">
        <v>0</v>
      </c>
      <c r="L227" s="117" t="n">
        <v>0</v>
      </c>
      <c r="M227" s="117" t="n">
        <v>0</v>
      </c>
      <c r="N227" s="116" t="n"/>
      <c r="O227" s="117" t="n">
        <v>0</v>
      </c>
      <c r="P227" s="117" t="n">
        <v>0</v>
      </c>
      <c r="Q227" s="117" t="n">
        <v>0</v>
      </c>
      <c r="R227" s="117" t="n">
        <v>0</v>
      </c>
      <c r="S227" s="118" t="n">
        <v>0</v>
      </c>
      <c r="T227" s="110" t="n"/>
    </row>
    <row r="228" ht="14.25" customHeight="1" s="52">
      <c r="A228" s="104" t="n">
        <v>221</v>
      </c>
      <c r="B228" s="119" t="n"/>
      <c r="C228" s="119" t="n"/>
      <c r="D228" s="119" t="n"/>
      <c r="F228" s="120" t="inlineStr">
        <is>
          <t>Група 262 - Усього</t>
        </is>
      </c>
      <c r="G228" s="116" t="n"/>
      <c r="H228" s="116" t="n"/>
      <c r="I228" s="120" t="n"/>
      <c r="J228" s="121" t="n">
        <v>8467340.541470001</v>
      </c>
      <c r="K228" s="121" t="n">
        <v>5171949.41005</v>
      </c>
      <c r="L228" s="121" t="n">
        <v>3295391.13142</v>
      </c>
      <c r="M228" s="121" t="n">
        <v>8675878.65759</v>
      </c>
      <c r="N228" s="116" t="n"/>
      <c r="O228" s="121" t="n">
        <v>5156887.4322</v>
      </c>
      <c r="P228" s="121" t="n">
        <v>3518991.22539</v>
      </c>
      <c r="Q228" s="121" t="n">
        <v>0</v>
      </c>
      <c r="R228" s="121" t="n">
        <v>0</v>
      </c>
      <c r="S228" s="122" t="n">
        <v>0</v>
      </c>
      <c r="T228" s="110" t="n"/>
    </row>
    <row r="229" ht="13.5" customHeight="1" s="52">
      <c r="A229" s="104" t="n">
        <v>222</v>
      </c>
      <c r="B229" s="119" t="n"/>
      <c r="C229" s="119" t="n"/>
      <c r="D229" s="115" t="inlineStr">
        <is>
          <t>265</t>
        </is>
      </c>
      <c r="E229" s="116" t="n"/>
      <c r="F229" s="115" t="inlineStr">
        <is>
          <t>2650</t>
        </is>
      </c>
      <c r="G229" s="116" t="n"/>
      <c r="H229" s="115" t="inlineStr">
        <is>
          <t>Кошти на вимогу небанківських фінансових установ</t>
        </is>
      </c>
      <c r="I229" s="115" t="inlineStr">
        <is>
          <t>А</t>
        </is>
      </c>
      <c r="J229" s="117" t="n">
        <v>29564078.0912</v>
      </c>
      <c r="K229" s="117" t="n">
        <v>5810870.21387</v>
      </c>
      <c r="L229" s="117" t="n">
        <v>23753207.87733</v>
      </c>
      <c r="M229" s="117" t="n">
        <v>29480971.97273</v>
      </c>
      <c r="N229" s="116" t="n"/>
      <c r="O229" s="117" t="n">
        <v>5660141.70364</v>
      </c>
      <c r="P229" s="117" t="n">
        <v>23820830.26909</v>
      </c>
      <c r="Q229" s="117" t="n">
        <v>0</v>
      </c>
      <c r="R229" s="117" t="n">
        <v>0</v>
      </c>
      <c r="S229" s="118" t="n">
        <v>0</v>
      </c>
      <c r="T229" s="110" t="n"/>
    </row>
    <row r="230" ht="13.5" customHeight="1" s="52">
      <c r="A230" s="104" t="n">
        <v>223</v>
      </c>
      <c r="B230" s="119" t="n"/>
      <c r="C230" s="119" t="n"/>
      <c r="D230" s="119" t="n"/>
      <c r="F230" s="115" t="inlineStr">
        <is>
          <t>2657</t>
        </is>
      </c>
      <c r="G230" s="116" t="n"/>
      <c r="H230" s="115" t="inlineStr">
        <is>
          <t>Нараховані доходи за кредитами овердрафт, що надані небанківським фінансовим установам</t>
        </is>
      </c>
      <c r="I230" s="115" t="inlineStr">
        <is>
          <t>А</t>
        </is>
      </c>
      <c r="J230" s="117" t="n">
        <v>0</v>
      </c>
      <c r="K230" s="117" t="n">
        <v>0</v>
      </c>
      <c r="L230" s="117" t="n">
        <v>0</v>
      </c>
      <c r="M230" s="117" t="n">
        <v>0</v>
      </c>
      <c r="N230" s="116" t="n"/>
      <c r="O230" s="117" t="n">
        <v>0</v>
      </c>
      <c r="P230" s="117" t="n">
        <v>0</v>
      </c>
      <c r="Q230" s="117" t="n">
        <v>0</v>
      </c>
      <c r="R230" s="117" t="n">
        <v>0</v>
      </c>
      <c r="S230" s="118" t="n">
        <v>0</v>
      </c>
      <c r="T230" s="110" t="n"/>
    </row>
    <row r="231" ht="13.5" customHeight="1" s="52">
      <c r="A231" s="104" t="n">
        <v>224</v>
      </c>
      <c r="B231" s="119" t="n"/>
      <c r="C231" s="119" t="n"/>
      <c r="D231" s="119" t="n"/>
      <c r="F231" s="115" t="inlineStr">
        <is>
          <t>2659</t>
        </is>
      </c>
      <c r="G231" s="116" t="n"/>
      <c r="H231" s="115" t="inlineStr">
        <is>
          <t>Резерв за коштами небанківських фінансових установ</t>
        </is>
      </c>
      <c r="I231" s="115" t="inlineStr">
        <is>
          <t>П</t>
        </is>
      </c>
      <c r="J231" s="117" t="n">
        <v>0</v>
      </c>
      <c r="K231" s="117" t="n">
        <v>0</v>
      </c>
      <c r="L231" s="117" t="n">
        <v>0</v>
      </c>
      <c r="M231" s="117" t="n">
        <v>0</v>
      </c>
      <c r="N231" s="116" t="n"/>
      <c r="O231" s="117" t="n">
        <v>0</v>
      </c>
      <c r="P231" s="117" t="n">
        <v>0</v>
      </c>
      <c r="Q231" s="117" t="n">
        <v>0</v>
      </c>
      <c r="R231" s="117" t="n">
        <v>0</v>
      </c>
      <c r="S231" s="118" t="n">
        <v>0</v>
      </c>
      <c r="T231" s="110" t="n"/>
    </row>
    <row r="232" ht="13.5" customHeight="1" s="52">
      <c r="A232" s="104" t="n">
        <v>225</v>
      </c>
      <c r="B232" s="119" t="n"/>
      <c r="C232" s="119" t="n"/>
      <c r="D232" s="119" t="n"/>
      <c r="F232" s="120" t="inlineStr">
        <is>
          <t>Група 265 - Усього</t>
        </is>
      </c>
      <c r="G232" s="116" t="n"/>
      <c r="H232" s="116" t="n"/>
      <c r="I232" s="120" t="n"/>
      <c r="J232" s="121" t="n">
        <v>29564078.0912</v>
      </c>
      <c r="K232" s="121" t="n">
        <v>5810870.21387</v>
      </c>
      <c r="L232" s="121" t="n">
        <v>23753207.87733</v>
      </c>
      <c r="M232" s="121" t="n">
        <v>29480971.97273</v>
      </c>
      <c r="N232" s="116" t="n"/>
      <c r="O232" s="121" t="n">
        <v>5660141.70364</v>
      </c>
      <c r="P232" s="121" t="n">
        <v>23820830.26909</v>
      </c>
      <c r="Q232" s="121" t="n">
        <v>0</v>
      </c>
      <c r="R232" s="121" t="n">
        <v>0</v>
      </c>
      <c r="S232" s="122" t="n">
        <v>0</v>
      </c>
      <c r="T232" s="110" t="n"/>
    </row>
    <row r="233" ht="20.25" customHeight="1" s="52">
      <c r="A233" s="104" t="n">
        <v>226</v>
      </c>
      <c r="B233" s="119" t="n"/>
      <c r="C233" s="119" t="n"/>
      <c r="D233" s="120" t="inlineStr">
        <is>
          <t>Розділ 26 - Усього</t>
        </is>
      </c>
      <c r="E233" s="116" t="n"/>
      <c r="F233" s="120" t="n"/>
      <c r="G233" s="116" t="n"/>
      <c r="H233" s="116" t="n"/>
      <c r="I233" s="120" t="n"/>
      <c r="J233" s="121" t="n">
        <v>309204920.81427</v>
      </c>
      <c r="K233" s="121" t="n">
        <v>221487274.50459</v>
      </c>
      <c r="L233" s="121" t="n">
        <v>87717646.30968</v>
      </c>
      <c r="M233" s="121" t="n">
        <v>314200174.58772</v>
      </c>
      <c r="N233" s="116" t="n"/>
      <c r="O233" s="121" t="n">
        <v>226317885.92965</v>
      </c>
      <c r="P233" s="121" t="n">
        <v>87882288.65807</v>
      </c>
      <c r="Q233" s="121" t="n">
        <v>477243.55079</v>
      </c>
      <c r="R233" s="121" t="n">
        <v>452906.42124</v>
      </c>
      <c r="S233" s="122" t="n">
        <v>24337.12955</v>
      </c>
      <c r="T233" s="110" t="n"/>
    </row>
    <row r="234" ht="13.5" customHeight="1" s="52">
      <c r="A234" s="104" t="n">
        <v>227</v>
      </c>
      <c r="B234" s="119" t="n"/>
      <c r="C234" s="115" t="inlineStr">
        <is>
          <t>28</t>
        </is>
      </c>
      <c r="D234" s="115" t="inlineStr">
        <is>
          <t>280</t>
        </is>
      </c>
      <c r="E234" s="116" t="n"/>
      <c r="F234" s="115" t="inlineStr">
        <is>
          <t>2800</t>
        </is>
      </c>
      <c r="G234" s="116" t="n"/>
      <c r="H234" s="115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4" s="115" t="inlineStr">
        <is>
          <t>А</t>
        </is>
      </c>
      <c r="J234" s="117" t="n">
        <v>146914.74901</v>
      </c>
      <c r="K234" s="117" t="n">
        <v>73620.71752000001</v>
      </c>
      <c r="L234" s="117" t="n">
        <v>73294.03148999999</v>
      </c>
      <c r="M234" s="117" t="n">
        <v>146914.74901</v>
      </c>
      <c r="N234" s="116" t="n"/>
      <c r="O234" s="117" t="n">
        <v>73620.71752000001</v>
      </c>
      <c r="P234" s="117" t="n">
        <v>73294.03148999999</v>
      </c>
      <c r="Q234" s="117" t="n">
        <v>0</v>
      </c>
      <c r="R234" s="117" t="n">
        <v>0</v>
      </c>
      <c r="S234" s="118" t="n">
        <v>0</v>
      </c>
      <c r="T234" s="110" t="n"/>
    </row>
    <row r="235" ht="13.5" customHeight="1" s="52">
      <c r="A235" s="104" t="n">
        <v>228</v>
      </c>
      <c r="B235" s="119" t="n"/>
      <c r="C235" s="119" t="n"/>
      <c r="D235" s="119" t="n"/>
      <c r="F235" s="115" t="inlineStr">
        <is>
          <t>2801</t>
        </is>
      </c>
      <c r="G235" s="116" t="n"/>
      <c r="H235" s="115" t="inlineStr">
        <is>
          <t>Дебіторська заборгованість за розрахунками за цінними паперами для клієнтів банку</t>
        </is>
      </c>
      <c r="I235" s="115" t="inlineStr">
        <is>
          <t>А</t>
        </is>
      </c>
      <c r="J235" s="117" t="n">
        <v>0</v>
      </c>
      <c r="K235" s="117" t="n">
        <v>0</v>
      </c>
      <c r="L235" s="117" t="n">
        <v>0</v>
      </c>
      <c r="M235" s="117" t="n">
        <v>0</v>
      </c>
      <c r="N235" s="116" t="n"/>
      <c r="O235" s="117" t="n">
        <v>0</v>
      </c>
      <c r="P235" s="117" t="n">
        <v>0</v>
      </c>
      <c r="Q235" s="117" t="n">
        <v>0</v>
      </c>
      <c r="R235" s="117" t="n">
        <v>0</v>
      </c>
      <c r="S235" s="118" t="n">
        <v>0</v>
      </c>
      <c r="T235" s="110" t="n"/>
    </row>
    <row r="236" ht="13.5" customHeight="1" s="52">
      <c r="A236" s="104" t="n">
        <v>229</v>
      </c>
      <c r="B236" s="119" t="n"/>
      <c r="C236" s="119" t="n"/>
      <c r="D236" s="119" t="n"/>
      <c r="F236" s="115" t="inlineStr">
        <is>
          <t>2807</t>
        </is>
      </c>
      <c r="G236" s="116" t="n"/>
      <c r="H236" s="115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6" s="115" t="inlineStr">
        <is>
          <t>А</t>
        </is>
      </c>
      <c r="J236" s="117" t="n">
        <v>0</v>
      </c>
      <c r="K236" s="117" t="n">
        <v>0</v>
      </c>
      <c r="L236" s="117" t="n">
        <v>0</v>
      </c>
      <c r="M236" s="117" t="n">
        <v>0</v>
      </c>
      <c r="N236" s="116" t="n"/>
      <c r="O236" s="117" t="n">
        <v>0</v>
      </c>
      <c r="P236" s="117" t="n">
        <v>0</v>
      </c>
      <c r="Q236" s="117" t="n">
        <v>0</v>
      </c>
      <c r="R236" s="117" t="n">
        <v>0</v>
      </c>
      <c r="S236" s="118" t="n">
        <v>0</v>
      </c>
      <c r="T236" s="110" t="n"/>
    </row>
    <row r="237" ht="13.5" customHeight="1" s="52">
      <c r="A237" s="104" t="n">
        <v>230</v>
      </c>
      <c r="B237" s="119" t="n"/>
      <c r="C237" s="119" t="n"/>
      <c r="D237" s="119" t="n"/>
      <c r="F237" s="115" t="inlineStr">
        <is>
          <t>2809</t>
        </is>
      </c>
      <c r="G237" s="116" t="n"/>
      <c r="H237" s="115" t="inlineStr">
        <is>
          <t>Інша дебіторська заборгованість за операціями з клієнтами банку</t>
        </is>
      </c>
      <c r="I237" s="115" t="inlineStr">
        <is>
          <t>А</t>
        </is>
      </c>
      <c r="J237" s="117" t="n">
        <v>110517.95548</v>
      </c>
      <c r="K237" s="117" t="n">
        <v>97766.13924</v>
      </c>
      <c r="L237" s="117" t="n">
        <v>12751.81624</v>
      </c>
      <c r="M237" s="117" t="n">
        <v>110297.60878</v>
      </c>
      <c r="N237" s="116" t="n"/>
      <c r="O237" s="117" t="n">
        <v>97834.5589</v>
      </c>
      <c r="P237" s="117" t="n">
        <v>12463.04988</v>
      </c>
      <c r="Q237" s="117" t="n">
        <v>78657.42004</v>
      </c>
      <c r="R237" s="117" t="n">
        <v>22742.81188</v>
      </c>
      <c r="S237" s="118" t="n">
        <v>55914.60816</v>
      </c>
      <c r="T237" s="110" t="n"/>
    </row>
    <row r="238" ht="14.25" customHeight="1" s="52">
      <c r="A238" s="104" t="n">
        <v>231</v>
      </c>
      <c r="B238" s="119" t="n"/>
      <c r="C238" s="119" t="n"/>
      <c r="D238" s="119" t="n"/>
      <c r="F238" s="120" t="inlineStr">
        <is>
          <t>Група 280 - Усього</t>
        </is>
      </c>
      <c r="G238" s="116" t="n"/>
      <c r="H238" s="116" t="n"/>
      <c r="I238" s="120" t="n"/>
      <c r="J238" s="121" t="n">
        <v>257432.70449</v>
      </c>
      <c r="K238" s="121" t="n">
        <v>171386.85676</v>
      </c>
      <c r="L238" s="121" t="n">
        <v>86045.84772999999</v>
      </c>
      <c r="M238" s="121" t="n">
        <v>257212.35779</v>
      </c>
      <c r="N238" s="116" t="n"/>
      <c r="O238" s="121" t="n">
        <v>171455.27642</v>
      </c>
      <c r="P238" s="121" t="n">
        <v>85757.08137</v>
      </c>
      <c r="Q238" s="121" t="n">
        <v>78657.42004</v>
      </c>
      <c r="R238" s="121" t="n">
        <v>22742.81188</v>
      </c>
      <c r="S238" s="122" t="n">
        <v>55914.60816</v>
      </c>
      <c r="T238" s="110" t="n"/>
    </row>
    <row r="239" ht="13.5" customHeight="1" s="52">
      <c r="A239" s="104" t="n">
        <v>232</v>
      </c>
      <c r="B239" s="119" t="n"/>
      <c r="C239" s="119" t="n"/>
      <c r="D239" s="115" t="inlineStr">
        <is>
          <t>289</t>
        </is>
      </c>
      <c r="E239" s="116" t="n"/>
      <c r="F239" s="115" t="inlineStr">
        <is>
          <t>2890</t>
        </is>
      </c>
      <c r="G239" s="116" t="n"/>
      <c r="H239" s="115" t="inlineStr">
        <is>
          <t>Резерви під дебіторську заборгованість за операціями з клієнтами банку</t>
        </is>
      </c>
      <c r="I239" s="115" t="inlineStr">
        <is>
          <t>П</t>
        </is>
      </c>
      <c r="J239" s="117" t="n">
        <v>859.43962</v>
      </c>
      <c r="K239" s="117" t="n">
        <v>157.90471</v>
      </c>
      <c r="L239" s="117" t="n">
        <v>701.53491</v>
      </c>
      <c r="M239" s="117" t="n">
        <v>1165.23157</v>
      </c>
      <c r="N239" s="116" t="n"/>
      <c r="O239" s="117" t="n">
        <v>155.31133</v>
      </c>
      <c r="P239" s="117" t="n">
        <v>1009.92024</v>
      </c>
      <c r="Q239" s="117" t="n">
        <v>-76383.92134</v>
      </c>
      <c r="R239" s="117" t="n">
        <v>-20478.21235</v>
      </c>
      <c r="S239" s="118" t="n">
        <v>-55905.70899</v>
      </c>
      <c r="T239" s="110" t="n"/>
    </row>
    <row r="240" ht="13.5" customHeight="1" s="52">
      <c r="A240" s="104" t="n">
        <v>233</v>
      </c>
      <c r="B240" s="119" t="n"/>
      <c r="C240" s="119" t="n"/>
      <c r="D240" s="119" t="n"/>
      <c r="F240" s="120" t="inlineStr">
        <is>
          <t>Група 289 - Усього</t>
        </is>
      </c>
      <c r="G240" s="116" t="n"/>
      <c r="H240" s="116" t="n"/>
      <c r="I240" s="120" t="n"/>
      <c r="J240" s="121" t="n">
        <v>859.43962</v>
      </c>
      <c r="K240" s="121" t="n">
        <v>157.90471</v>
      </c>
      <c r="L240" s="121" t="n">
        <v>701.53491</v>
      </c>
      <c r="M240" s="121" t="n">
        <v>1165.23157</v>
      </c>
      <c r="N240" s="116" t="n"/>
      <c r="O240" s="121" t="n">
        <v>155.31133</v>
      </c>
      <c r="P240" s="121" t="n">
        <v>1009.92024</v>
      </c>
      <c r="Q240" s="121" t="n">
        <v>-76383.92134</v>
      </c>
      <c r="R240" s="121" t="n">
        <v>-20478.21235</v>
      </c>
      <c r="S240" s="122" t="n">
        <v>-55905.70899</v>
      </c>
      <c r="T240" s="110" t="n"/>
    </row>
    <row r="241" ht="20.25" customHeight="1" s="52">
      <c r="A241" s="104" t="n">
        <v>234</v>
      </c>
      <c r="B241" s="119" t="n"/>
      <c r="C241" s="119" t="n"/>
      <c r="D241" s="120" t="inlineStr">
        <is>
          <t>Розділ 28 - Усього</t>
        </is>
      </c>
      <c r="E241" s="116" t="n"/>
      <c r="F241" s="120" t="n"/>
      <c r="G241" s="116" t="n"/>
      <c r="H241" s="116" t="n"/>
      <c r="I241" s="120" t="n"/>
      <c r="J241" s="121" t="n">
        <v>258292.14411</v>
      </c>
      <c r="K241" s="121" t="n">
        <v>171544.76147</v>
      </c>
      <c r="L241" s="121" t="n">
        <v>86747.38264</v>
      </c>
      <c r="M241" s="121" t="n">
        <v>258377.58936</v>
      </c>
      <c r="N241" s="116" t="n"/>
      <c r="O241" s="121" t="n">
        <v>171610.58775</v>
      </c>
      <c r="P241" s="121" t="n">
        <v>86767.00161000001</v>
      </c>
      <c r="Q241" s="121" t="n">
        <v>2273.4987</v>
      </c>
      <c r="R241" s="121" t="n">
        <v>2264.59953</v>
      </c>
      <c r="S241" s="122" t="n">
        <v>8.899170000004229</v>
      </c>
      <c r="T241" s="110" t="n"/>
    </row>
    <row r="242" ht="13.5" customHeight="1" s="52">
      <c r="A242" s="104" t="n">
        <v>235</v>
      </c>
      <c r="B242" s="119" t="n"/>
      <c r="C242" s="115" t="inlineStr">
        <is>
          <t>29</t>
        </is>
      </c>
      <c r="D242" s="115" t="inlineStr">
        <is>
          <t>292</t>
        </is>
      </c>
      <c r="E242" s="116" t="n"/>
      <c r="F242" s="115" t="inlineStr">
        <is>
          <t>2920</t>
        </is>
      </c>
      <c r="G242" s="116" t="n"/>
      <c r="H242" s="115" t="inlineStr">
        <is>
          <t>Транзитний рахунок за операціями, здійсненими через банкомат</t>
        </is>
      </c>
      <c r="I242" s="115" t="inlineStr">
        <is>
          <t>А</t>
        </is>
      </c>
      <c r="J242" s="117" t="n">
        <v>1104651.472</v>
      </c>
      <c r="K242" s="117" t="n">
        <v>1104651.472</v>
      </c>
      <c r="L242" s="117" t="n">
        <v>0</v>
      </c>
      <c r="M242" s="117" t="n">
        <v>1104651.472</v>
      </c>
      <c r="N242" s="116" t="n"/>
      <c r="O242" s="117" t="n">
        <v>1104651.472</v>
      </c>
      <c r="P242" s="117" t="n">
        <v>0</v>
      </c>
      <c r="Q242" s="117" t="n">
        <v>0</v>
      </c>
      <c r="R242" s="117" t="n">
        <v>0</v>
      </c>
      <c r="S242" s="118" t="n">
        <v>0</v>
      </c>
      <c r="T242" s="110" t="n"/>
    </row>
    <row r="243" ht="14.25" customHeight="1" s="52">
      <c r="A243" s="104" t="n">
        <v>236</v>
      </c>
      <c r="B243" s="119" t="n"/>
      <c r="C243" s="119" t="n"/>
      <c r="D243" s="119" t="n"/>
      <c r="F243" s="115" t="inlineStr">
        <is>
          <t>2924</t>
        </is>
      </c>
      <c r="G243" s="116" t="n"/>
      <c r="H243" s="115" t="inlineStr">
        <is>
          <t>Транзитний рахунок за операціями, здійсненими з використанням платіжних карток</t>
        </is>
      </c>
      <c r="I243" s="115" t="inlineStr">
        <is>
          <t>А</t>
        </is>
      </c>
      <c r="J243" s="117" t="n">
        <v>29234125.18118</v>
      </c>
      <c r="K243" s="117" t="n">
        <v>21403469.57246</v>
      </c>
      <c r="L243" s="117" t="n">
        <v>7830655.60872</v>
      </c>
      <c r="M243" s="117" t="n">
        <v>29173755.96754</v>
      </c>
      <c r="N243" s="116" t="n"/>
      <c r="O243" s="117" t="n">
        <v>21238825.25736</v>
      </c>
      <c r="P243" s="117" t="n">
        <v>7934930.71018</v>
      </c>
      <c r="Q243" s="117" t="n">
        <v>499698.55243</v>
      </c>
      <c r="R243" s="117" t="n">
        <v>410479.18275</v>
      </c>
      <c r="S243" s="118" t="n">
        <v>89219.36968</v>
      </c>
      <c r="T243" s="110" t="n"/>
    </row>
    <row r="244" ht="13.5" customHeight="1" s="52">
      <c r="A244" s="104" t="n">
        <v>237</v>
      </c>
      <c r="B244" s="119" t="n"/>
      <c r="C244" s="119" t="n"/>
      <c r="D244" s="119" t="n"/>
      <c r="F244" s="120" t="inlineStr">
        <is>
          <t>Група 292 - Усього</t>
        </is>
      </c>
      <c r="G244" s="116" t="n"/>
      <c r="H244" s="116" t="n"/>
      <c r="I244" s="120" t="n"/>
      <c r="J244" s="121" t="n">
        <v>30338776.65318</v>
      </c>
      <c r="K244" s="121" t="n">
        <v>22508121.04446</v>
      </c>
      <c r="L244" s="121" t="n">
        <v>7830655.60872</v>
      </c>
      <c r="M244" s="121" t="n">
        <v>30278407.43954</v>
      </c>
      <c r="N244" s="116" t="n"/>
      <c r="O244" s="121" t="n">
        <v>22343476.72936</v>
      </c>
      <c r="P244" s="121" t="n">
        <v>7934930.71018</v>
      </c>
      <c r="Q244" s="121" t="n">
        <v>499698.55243</v>
      </c>
      <c r="R244" s="121" t="n">
        <v>410479.18275</v>
      </c>
      <c r="S244" s="122" t="n">
        <v>89219.36968</v>
      </c>
      <c r="T244" s="110" t="n"/>
    </row>
    <row r="245" ht="17.25" customHeight="1" s="52">
      <c r="A245" s="104" t="n">
        <v>238</v>
      </c>
      <c r="B245" s="119" t="n"/>
      <c r="C245" s="119" t="n"/>
      <c r="D245" s="120" t="inlineStr">
        <is>
          <t>Розділ 29 - Усього</t>
        </is>
      </c>
      <c r="E245" s="116" t="n"/>
      <c r="F245" s="120" t="n"/>
      <c r="G245" s="116" t="n"/>
      <c r="H245" s="116" t="n"/>
      <c r="I245" s="120" t="n"/>
      <c r="J245" s="121" t="n">
        <v>30338776.65318</v>
      </c>
      <c r="K245" s="121" t="n">
        <v>22508121.04446</v>
      </c>
      <c r="L245" s="121" t="n">
        <v>7830655.60872</v>
      </c>
      <c r="M245" s="121" t="n">
        <v>30278407.43954</v>
      </c>
      <c r="N245" s="116" t="n"/>
      <c r="O245" s="121" t="n">
        <v>22343476.72936</v>
      </c>
      <c r="P245" s="121" t="n">
        <v>7934930.71018</v>
      </c>
      <c r="Q245" s="121" t="n">
        <v>499698.55243</v>
      </c>
      <c r="R245" s="121" t="n">
        <v>410479.18275</v>
      </c>
      <c r="S245" s="122" t="n">
        <v>89219.36968</v>
      </c>
      <c r="T245" s="110" t="n"/>
    </row>
    <row r="246" ht="22.5" customHeight="1" s="52">
      <c r="A246" s="104" t="n">
        <v>239</v>
      </c>
      <c r="B246" s="119" t="n"/>
      <c r="C246" s="120" t="inlineStr">
        <is>
          <t xml:space="preserve">  Клас 2 - Усього</t>
        </is>
      </c>
      <c r="D246" s="120" t="n"/>
      <c r="E246" s="116" t="n"/>
      <c r="F246" s="120" t="n"/>
      <c r="G246" s="116" t="n"/>
      <c r="H246" s="116" t="n"/>
      <c r="I246" s="120" t="n"/>
      <c r="J246" s="121" t="n">
        <v>369131533.13055</v>
      </c>
      <c r="K246" s="121" t="n">
        <v>265446576.76647</v>
      </c>
      <c r="L246" s="121" t="n">
        <v>103684956.36408</v>
      </c>
      <c r="M246" s="121" t="n">
        <v>371174387.46878</v>
      </c>
      <c r="N246" s="116" t="n"/>
      <c r="O246" s="121" t="n">
        <v>267616966.34923</v>
      </c>
      <c r="P246" s="121" t="n">
        <v>103557421.11955</v>
      </c>
      <c r="Q246" s="121" t="n">
        <v>93978977.31359001</v>
      </c>
      <c r="R246" s="121" t="n">
        <v>48170966.62698</v>
      </c>
      <c r="S246" s="122" t="n">
        <v>45808010.68661</v>
      </c>
      <c r="T246" s="110" t="n"/>
    </row>
    <row r="247" ht="13.5" customHeight="1" s="52">
      <c r="A247" s="104" t="n">
        <v>240</v>
      </c>
      <c r="B247" s="115" t="inlineStr">
        <is>
          <t>Клас 3</t>
        </is>
      </c>
      <c r="C247" s="115" t="inlineStr">
        <is>
          <t>30</t>
        </is>
      </c>
      <c r="D247" s="115" t="inlineStr">
        <is>
          <t>300</t>
        </is>
      </c>
      <c r="E247" s="116" t="n"/>
      <c r="F247" s="115" t="inlineStr">
        <is>
          <t>3003</t>
        </is>
      </c>
      <c r="G247" s="116" t="n"/>
      <c r="H247" s="115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7" s="115" t="inlineStr">
        <is>
          <t>А</t>
        </is>
      </c>
      <c r="J247" s="117" t="n">
        <v>0</v>
      </c>
      <c r="K247" s="117" t="n">
        <v>0</v>
      </c>
      <c r="L247" s="117" t="n">
        <v>0</v>
      </c>
      <c r="M247" s="117" t="n">
        <v>0</v>
      </c>
      <c r="N247" s="116" t="n"/>
      <c r="O247" s="117" t="n">
        <v>0</v>
      </c>
      <c r="P247" s="117" t="n">
        <v>0</v>
      </c>
      <c r="Q247" s="117" t="n">
        <v>0</v>
      </c>
      <c r="R247" s="117" t="n">
        <v>0</v>
      </c>
      <c r="S247" s="118" t="n">
        <v>0</v>
      </c>
      <c r="T247" s="110" t="n"/>
    </row>
    <row r="248" ht="14.25" customHeight="1" s="52">
      <c r="A248" s="104" t="n">
        <v>241</v>
      </c>
      <c r="B248" s="119" t="n"/>
      <c r="C248" s="119" t="n"/>
      <c r="D248" s="119" t="n"/>
      <c r="F248" s="115" t="inlineStr">
        <is>
          <t>3005</t>
        </is>
      </c>
      <c r="G248" s="116" t="n"/>
      <c r="H248" s="115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8" s="115" t="inlineStr">
        <is>
          <t>А</t>
        </is>
      </c>
      <c r="J248" s="117" t="n">
        <v>0</v>
      </c>
      <c r="K248" s="117" t="n">
        <v>0</v>
      </c>
      <c r="L248" s="117" t="n">
        <v>0</v>
      </c>
      <c r="M248" s="117" t="n">
        <v>0</v>
      </c>
      <c r="N248" s="116" t="n"/>
      <c r="O248" s="117" t="n">
        <v>0</v>
      </c>
      <c r="P248" s="117" t="n">
        <v>0</v>
      </c>
      <c r="Q248" s="117" t="n">
        <v>0</v>
      </c>
      <c r="R248" s="117" t="n">
        <v>0</v>
      </c>
      <c r="S248" s="118" t="n">
        <v>0</v>
      </c>
      <c r="T248" s="110" t="n"/>
    </row>
    <row r="249" ht="13.5" customHeight="1" s="52">
      <c r="A249" s="104" t="n">
        <v>242</v>
      </c>
      <c r="B249" s="119" t="n"/>
      <c r="C249" s="119" t="n"/>
      <c r="D249" s="119" t="n"/>
      <c r="F249" s="115" t="inlineStr">
        <is>
          <t>3007</t>
        </is>
      </c>
      <c r="G249" s="116" t="n"/>
      <c r="H249" s="115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9" s="115" t="inlineStr">
        <is>
          <t>А</t>
        </is>
      </c>
      <c r="J249" s="117" t="n">
        <v>0</v>
      </c>
      <c r="K249" s="117" t="n">
        <v>0</v>
      </c>
      <c r="L249" s="117" t="n">
        <v>0</v>
      </c>
      <c r="M249" s="117" t="n">
        <v>0</v>
      </c>
      <c r="N249" s="116" t="n"/>
      <c r="O249" s="117" t="n">
        <v>0</v>
      </c>
      <c r="P249" s="117" t="n">
        <v>0</v>
      </c>
      <c r="Q249" s="117" t="n">
        <v>0</v>
      </c>
      <c r="R249" s="117" t="n">
        <v>0</v>
      </c>
      <c r="S249" s="118" t="n">
        <v>0</v>
      </c>
      <c r="T249" s="110" t="n"/>
    </row>
    <row r="250" ht="13.5" customHeight="1" s="52">
      <c r="A250" s="104" t="n">
        <v>243</v>
      </c>
      <c r="B250" s="119" t="n"/>
      <c r="C250" s="119" t="n"/>
      <c r="D250" s="119" t="n"/>
      <c r="F250" s="119" t="n"/>
      <c r="H250" s="119" t="n"/>
      <c r="I250" s="115" t="inlineStr">
        <is>
          <t>П</t>
        </is>
      </c>
      <c r="J250" s="117" t="n">
        <v>0</v>
      </c>
      <c r="K250" s="117" t="n">
        <v>0</v>
      </c>
      <c r="L250" s="117" t="n">
        <v>0</v>
      </c>
      <c r="M250" s="117" t="n">
        <v>0</v>
      </c>
      <c r="N250" s="116" t="n"/>
      <c r="O250" s="117" t="n">
        <v>0</v>
      </c>
      <c r="P250" s="117" t="n">
        <v>0</v>
      </c>
      <c r="Q250" s="117" t="n">
        <v>0</v>
      </c>
      <c r="R250" s="117" t="n">
        <v>0</v>
      </c>
      <c r="S250" s="118" t="n">
        <v>0</v>
      </c>
      <c r="T250" s="110" t="n"/>
    </row>
    <row r="251" ht="13.5" customHeight="1" s="52">
      <c r="A251" s="104" t="n">
        <v>244</v>
      </c>
      <c r="B251" s="119" t="n"/>
      <c r="C251" s="119" t="n"/>
      <c r="D251" s="119" t="n"/>
      <c r="F251" s="115" t="inlineStr">
        <is>
          <t>3008</t>
        </is>
      </c>
      <c r="G251" s="116" t="n"/>
      <c r="H251" s="115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51" s="115" t="inlineStr">
        <is>
          <t>А</t>
        </is>
      </c>
      <c r="J251" s="117" t="n">
        <v>0</v>
      </c>
      <c r="K251" s="117" t="n">
        <v>0</v>
      </c>
      <c r="L251" s="117" t="n">
        <v>0</v>
      </c>
      <c r="M251" s="117" t="n">
        <v>0</v>
      </c>
      <c r="N251" s="116" t="n"/>
      <c r="O251" s="117" t="n">
        <v>0</v>
      </c>
      <c r="P251" s="117" t="n">
        <v>0</v>
      </c>
      <c r="Q251" s="117" t="n">
        <v>0</v>
      </c>
      <c r="R251" s="117" t="n">
        <v>0</v>
      </c>
      <c r="S251" s="118" t="n">
        <v>0</v>
      </c>
      <c r="T251" s="110" t="n"/>
    </row>
    <row r="252" ht="13.5" customHeight="1" s="52">
      <c r="A252" s="104" t="n">
        <v>245</v>
      </c>
      <c r="B252" s="119" t="n"/>
      <c r="C252" s="119" t="n"/>
      <c r="D252" s="119" t="n"/>
      <c r="F252" s="120" t="inlineStr">
        <is>
          <t>Група 300 - Усього</t>
        </is>
      </c>
      <c r="G252" s="116" t="n"/>
      <c r="H252" s="116" t="n"/>
      <c r="I252" s="120" t="n"/>
      <c r="J252" s="121" t="n">
        <v>0</v>
      </c>
      <c r="K252" s="121" t="n">
        <v>0</v>
      </c>
      <c r="L252" s="121" t="n">
        <v>0</v>
      </c>
      <c r="M252" s="121" t="n">
        <v>0</v>
      </c>
      <c r="N252" s="116" t="n"/>
      <c r="O252" s="121" t="n">
        <v>0</v>
      </c>
      <c r="P252" s="121" t="n">
        <v>0</v>
      </c>
      <c r="Q252" s="121" t="n">
        <v>0</v>
      </c>
      <c r="R252" s="121" t="n">
        <v>0</v>
      </c>
      <c r="S252" s="122" t="n">
        <v>0</v>
      </c>
      <c r="T252" s="110" t="n"/>
    </row>
    <row r="253" ht="14.25" customHeight="1" s="52">
      <c r="A253" s="104" t="n">
        <v>246</v>
      </c>
      <c r="B253" s="119" t="n"/>
      <c r="C253" s="119" t="n"/>
      <c r="D253" s="115" t="inlineStr">
        <is>
          <t>301</t>
        </is>
      </c>
      <c r="E253" s="116" t="n"/>
      <c r="F253" s="115" t="inlineStr">
        <is>
          <t>3010</t>
        </is>
      </c>
      <c r="G253" s="116" t="n"/>
      <c r="H253" s="115" t="inlineStr">
        <is>
          <t>Боргові державні цінні папери, які обліковуються за справедливою вартістю через прибутки/збитки</t>
        </is>
      </c>
      <c r="I253" s="115" t="inlineStr">
        <is>
          <t>А</t>
        </is>
      </c>
      <c r="J253" s="117" t="n">
        <v>0</v>
      </c>
      <c r="K253" s="117" t="n">
        <v>0</v>
      </c>
      <c r="L253" s="117" t="n">
        <v>0</v>
      </c>
      <c r="M253" s="117" t="n">
        <v>0</v>
      </c>
      <c r="N253" s="116" t="n"/>
      <c r="O253" s="117" t="n">
        <v>0</v>
      </c>
      <c r="P253" s="117" t="n">
        <v>0</v>
      </c>
      <c r="Q253" s="117" t="n">
        <v>0</v>
      </c>
      <c r="R253" s="117" t="n">
        <v>0</v>
      </c>
      <c r="S253" s="118" t="n">
        <v>0</v>
      </c>
      <c r="T253" s="110" t="n"/>
    </row>
    <row r="254" ht="13.5" customHeight="1" s="52">
      <c r="A254" s="104" t="n">
        <v>247</v>
      </c>
      <c r="B254" s="119" t="n"/>
      <c r="C254" s="119" t="n"/>
      <c r="D254" s="119" t="n"/>
      <c r="F254" s="115" t="inlineStr">
        <is>
          <t>3015</t>
        </is>
      </c>
      <c r="G254" s="116" t="n"/>
      <c r="H254" s="115" t="inlineStr">
        <is>
          <t>Переоцінка боргових цінних паперів, які обліковуються за справедливою вартістю через прибутки/збитки</t>
        </is>
      </c>
      <c r="I254" s="115" t="inlineStr">
        <is>
          <t>А</t>
        </is>
      </c>
      <c r="J254" s="117" t="n">
        <v>0</v>
      </c>
      <c r="K254" s="117" t="n">
        <v>0</v>
      </c>
      <c r="L254" s="117" t="n">
        <v>0</v>
      </c>
      <c r="M254" s="117" t="n">
        <v>0</v>
      </c>
      <c r="N254" s="116" t="n"/>
      <c r="O254" s="117" t="n">
        <v>0</v>
      </c>
      <c r="P254" s="117" t="n">
        <v>0</v>
      </c>
      <c r="Q254" s="117" t="n">
        <v>0</v>
      </c>
      <c r="R254" s="117" t="n">
        <v>0</v>
      </c>
      <c r="S254" s="118" t="n">
        <v>0</v>
      </c>
      <c r="T254" s="110" t="n"/>
    </row>
    <row r="255" ht="13.5" customHeight="1" s="52">
      <c r="A255" s="104" t="n">
        <v>248</v>
      </c>
      <c r="B255" s="119" t="n"/>
      <c r="C255" s="119" t="n"/>
      <c r="D255" s="119" t="n"/>
      <c r="F255" s="119" t="n"/>
      <c r="H255" s="119" t="n"/>
      <c r="I255" s="115" t="inlineStr">
        <is>
          <t>П</t>
        </is>
      </c>
      <c r="J255" s="117" t="n">
        <v>0</v>
      </c>
      <c r="K255" s="117" t="n">
        <v>0</v>
      </c>
      <c r="L255" s="117" t="n">
        <v>0</v>
      </c>
      <c r="M255" s="117" t="n">
        <v>0</v>
      </c>
      <c r="N255" s="116" t="n"/>
      <c r="O255" s="117" t="n">
        <v>0</v>
      </c>
      <c r="P255" s="117" t="n">
        <v>0</v>
      </c>
      <c r="Q255" s="117" t="n">
        <v>0</v>
      </c>
      <c r="R255" s="117" t="n">
        <v>0</v>
      </c>
      <c r="S255" s="118" t="n">
        <v>0</v>
      </c>
      <c r="T255" s="110" t="n"/>
    </row>
    <row r="256" ht="13.5" customHeight="1" s="52">
      <c r="A256" s="104" t="n">
        <v>249</v>
      </c>
      <c r="B256" s="119" t="n"/>
      <c r="C256" s="119" t="n"/>
      <c r="D256" s="119" t="n"/>
      <c r="F256" s="115" t="inlineStr">
        <is>
          <t>3016</t>
        </is>
      </c>
      <c r="G256" s="116" t="n"/>
      <c r="H256" s="115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6" s="115" t="inlineStr">
        <is>
          <t>А</t>
        </is>
      </c>
      <c r="J256" s="117" t="n">
        <v>0</v>
      </c>
      <c r="K256" s="117" t="n">
        <v>0</v>
      </c>
      <c r="L256" s="117" t="n">
        <v>0</v>
      </c>
      <c r="M256" s="117" t="n">
        <v>0</v>
      </c>
      <c r="N256" s="116" t="n"/>
      <c r="O256" s="117" t="n">
        <v>0</v>
      </c>
      <c r="P256" s="117" t="n">
        <v>0</v>
      </c>
      <c r="Q256" s="117" t="n">
        <v>0</v>
      </c>
      <c r="R256" s="117" t="n">
        <v>0</v>
      </c>
      <c r="S256" s="118" t="n">
        <v>0</v>
      </c>
      <c r="T256" s="110" t="n"/>
    </row>
    <row r="257" ht="13.5" customHeight="1" s="52">
      <c r="A257" s="104" t="n">
        <v>250</v>
      </c>
      <c r="B257" s="119" t="n"/>
      <c r="C257" s="119" t="n"/>
      <c r="D257" s="119" t="n"/>
      <c r="F257" s="119" t="n"/>
      <c r="H257" s="119" t="n"/>
      <c r="I257" s="115" t="inlineStr">
        <is>
          <t>П</t>
        </is>
      </c>
      <c r="J257" s="117" t="n">
        <v>0</v>
      </c>
      <c r="K257" s="117" t="n">
        <v>0</v>
      </c>
      <c r="L257" s="117" t="n">
        <v>0</v>
      </c>
      <c r="M257" s="117" t="n">
        <v>0</v>
      </c>
      <c r="N257" s="116" t="n"/>
      <c r="O257" s="117" t="n">
        <v>0</v>
      </c>
      <c r="P257" s="117" t="n">
        <v>0</v>
      </c>
      <c r="Q257" s="117" t="n">
        <v>0</v>
      </c>
      <c r="R257" s="117" t="n">
        <v>0</v>
      </c>
      <c r="S257" s="118" t="n">
        <v>0</v>
      </c>
      <c r="T257" s="110" t="n"/>
    </row>
    <row r="258" ht="14.25" customHeight="1" s="52">
      <c r="A258" s="104" t="n">
        <v>251</v>
      </c>
      <c r="B258" s="119" t="n"/>
      <c r="C258" s="119" t="n"/>
      <c r="D258" s="119" t="n"/>
      <c r="F258" s="115" t="inlineStr">
        <is>
          <t>3018</t>
        </is>
      </c>
      <c r="G258" s="116" t="n"/>
      <c r="H258" s="115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8" s="115" t="inlineStr">
        <is>
          <t>А</t>
        </is>
      </c>
      <c r="J258" s="117" t="n">
        <v>0</v>
      </c>
      <c r="K258" s="117" t="n">
        <v>0</v>
      </c>
      <c r="L258" s="117" t="n">
        <v>0</v>
      </c>
      <c r="M258" s="117" t="n">
        <v>0</v>
      </c>
      <c r="N258" s="116" t="n"/>
      <c r="O258" s="117" t="n">
        <v>0</v>
      </c>
      <c r="P258" s="117" t="n">
        <v>0</v>
      </c>
      <c r="Q258" s="117" t="n">
        <v>0</v>
      </c>
      <c r="R258" s="117" t="n">
        <v>0</v>
      </c>
      <c r="S258" s="118" t="n">
        <v>0</v>
      </c>
      <c r="T258" s="110" t="n"/>
    </row>
    <row r="259" ht="13.5" customHeight="1" s="52">
      <c r="A259" s="104" t="n">
        <v>252</v>
      </c>
      <c r="B259" s="119" t="n"/>
      <c r="C259" s="119" t="n"/>
      <c r="D259" s="119" t="n"/>
      <c r="F259" s="120" t="inlineStr">
        <is>
          <t>Група 301 - Усього</t>
        </is>
      </c>
      <c r="G259" s="116" t="n"/>
      <c r="H259" s="116" t="n"/>
      <c r="I259" s="120" t="n"/>
      <c r="J259" s="121" t="n">
        <v>0</v>
      </c>
      <c r="K259" s="121" t="n">
        <v>0</v>
      </c>
      <c r="L259" s="121" t="n">
        <v>0</v>
      </c>
      <c r="M259" s="121" t="n">
        <v>0</v>
      </c>
      <c r="N259" s="116" t="n"/>
      <c r="O259" s="121" t="n">
        <v>0</v>
      </c>
      <c r="P259" s="121" t="n">
        <v>0</v>
      </c>
      <c r="Q259" s="121" t="n">
        <v>0</v>
      </c>
      <c r="R259" s="121" t="n">
        <v>0</v>
      </c>
      <c r="S259" s="122" t="n">
        <v>0</v>
      </c>
      <c r="T259" s="110" t="n"/>
    </row>
    <row r="260" ht="13.5" customHeight="1" s="52">
      <c r="A260" s="104" t="n">
        <v>253</v>
      </c>
      <c r="B260" s="119" t="n"/>
      <c r="C260" s="119" t="n"/>
      <c r="D260" s="115" t="inlineStr">
        <is>
          <t>304</t>
        </is>
      </c>
      <c r="E260" s="116" t="n"/>
      <c r="F260" s="115" t="inlineStr">
        <is>
          <t>3041</t>
        </is>
      </c>
      <c r="G260" s="116" t="n"/>
      <c r="H260" s="115" t="inlineStr">
        <is>
          <t>Активи за форвардними контрактами, які обліковуються за справедливою вартістю через прибутки/збитки</t>
        </is>
      </c>
      <c r="I260" s="115" t="inlineStr">
        <is>
          <t>А</t>
        </is>
      </c>
      <c r="J260" s="117" t="n">
        <v>0</v>
      </c>
      <c r="K260" s="117" t="n">
        <v>0</v>
      </c>
      <c r="L260" s="117" t="n">
        <v>0</v>
      </c>
      <c r="M260" s="117" t="n">
        <v>0</v>
      </c>
      <c r="N260" s="116" t="n"/>
      <c r="O260" s="117" t="n">
        <v>0</v>
      </c>
      <c r="P260" s="117" t="n">
        <v>0</v>
      </c>
      <c r="Q260" s="117" t="n">
        <v>0</v>
      </c>
      <c r="R260" s="117" t="n">
        <v>0</v>
      </c>
      <c r="S260" s="118" t="n">
        <v>0</v>
      </c>
      <c r="T260" s="110" t="n"/>
    </row>
    <row r="261" ht="13.5" customHeight="1" s="52">
      <c r="A261" s="104" t="n">
        <v>254</v>
      </c>
      <c r="B261" s="119" t="n"/>
      <c r="C261" s="119" t="n"/>
      <c r="D261" s="119" t="n"/>
      <c r="F261" s="115" t="inlineStr">
        <is>
          <t>3043</t>
        </is>
      </c>
      <c r="G261" s="116" t="n"/>
      <c r="H261" s="115" t="inlineStr">
        <is>
          <t>Активи за валютними своп-контрактами, які обліковуються за справедливою вартістю через прибутки/збитки</t>
        </is>
      </c>
      <c r="I261" s="115" t="inlineStr">
        <is>
          <t>А</t>
        </is>
      </c>
      <c r="J261" s="117" t="n">
        <v>12271.05562</v>
      </c>
      <c r="K261" s="117" t="n">
        <v>12271.05562</v>
      </c>
      <c r="L261" s="117" t="n">
        <v>0</v>
      </c>
      <c r="M261" s="117" t="n">
        <v>12271.05562</v>
      </c>
      <c r="N261" s="116" t="n"/>
      <c r="O261" s="117" t="n">
        <v>12271.05562</v>
      </c>
      <c r="P261" s="117" t="n">
        <v>0</v>
      </c>
      <c r="Q261" s="117" t="n">
        <v>0</v>
      </c>
      <c r="R261" s="117" t="n">
        <v>0</v>
      </c>
      <c r="S261" s="118" t="n">
        <v>0</v>
      </c>
      <c r="T261" s="110" t="n"/>
    </row>
    <row r="262" ht="13.5" customHeight="1" s="52">
      <c r="A262" s="104" t="n">
        <v>255</v>
      </c>
      <c r="B262" s="119" t="n"/>
      <c r="C262" s="119" t="n"/>
      <c r="D262" s="119" t="n"/>
      <c r="F262" s="115" t="inlineStr">
        <is>
          <t>3044</t>
        </is>
      </c>
      <c r="G262" s="116" t="n"/>
      <c r="H262" s="115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62" s="115" t="inlineStr">
        <is>
          <t>А</t>
        </is>
      </c>
      <c r="J262" s="117" t="n">
        <v>442306.10733</v>
      </c>
      <c r="K262" s="117" t="n">
        <v>442306.10733</v>
      </c>
      <c r="L262" s="117" t="n">
        <v>0</v>
      </c>
      <c r="M262" s="117" t="n">
        <v>443380.09676</v>
      </c>
      <c r="N262" s="116" t="n"/>
      <c r="O262" s="117" t="n">
        <v>443380.09676</v>
      </c>
      <c r="P262" s="117" t="n">
        <v>0</v>
      </c>
      <c r="Q262" s="117" t="n">
        <v>22182.45986</v>
      </c>
      <c r="R262" s="117" t="n">
        <v>22182.45986</v>
      </c>
      <c r="S262" s="118" t="n">
        <v>0</v>
      </c>
      <c r="T262" s="110" t="n"/>
    </row>
    <row r="263" ht="14.25" customHeight="1" s="52">
      <c r="A263" s="104" t="n">
        <v>256</v>
      </c>
      <c r="B263" s="119" t="n"/>
      <c r="C263" s="119" t="n"/>
      <c r="D263" s="119" t="n"/>
      <c r="F263" s="115" t="inlineStr">
        <is>
          <t>3049</t>
        </is>
      </c>
      <c r="G263" s="116" t="n"/>
      <c r="H263" s="115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63" s="115" t="inlineStr">
        <is>
          <t>А</t>
        </is>
      </c>
      <c r="J263" s="117" t="n">
        <v>0</v>
      </c>
      <c r="K263" s="117" t="n">
        <v>0</v>
      </c>
      <c r="L263" s="117" t="n">
        <v>0</v>
      </c>
      <c r="M263" s="117" t="n">
        <v>0</v>
      </c>
      <c r="N263" s="116" t="n"/>
      <c r="O263" s="117" t="n">
        <v>0</v>
      </c>
      <c r="P263" s="117" t="n">
        <v>0</v>
      </c>
      <c r="Q263" s="117" t="n">
        <v>0</v>
      </c>
      <c r="R263" s="117" t="n">
        <v>0</v>
      </c>
      <c r="S263" s="118" t="n">
        <v>0</v>
      </c>
      <c r="T263" s="110" t="n"/>
    </row>
    <row r="264" ht="13.5" customHeight="1" s="52">
      <c r="A264" s="104" t="n">
        <v>257</v>
      </c>
      <c r="B264" s="119" t="n"/>
      <c r="C264" s="119" t="n"/>
      <c r="D264" s="119" t="n"/>
      <c r="F264" s="120" t="inlineStr">
        <is>
          <t>Група 304 - Усього</t>
        </is>
      </c>
      <c r="G264" s="116" t="n"/>
      <c r="H264" s="116" t="n"/>
      <c r="I264" s="120" t="n"/>
      <c r="J264" s="121" t="n">
        <v>454577.16295</v>
      </c>
      <c r="K264" s="121" t="n">
        <v>454577.16295</v>
      </c>
      <c r="L264" s="121" t="n">
        <v>0</v>
      </c>
      <c r="M264" s="121" t="n">
        <v>455651.15238</v>
      </c>
      <c r="N264" s="116" t="n"/>
      <c r="O264" s="121" t="n">
        <v>455651.15238</v>
      </c>
      <c r="P264" s="121" t="n">
        <v>0</v>
      </c>
      <c r="Q264" s="121" t="n">
        <v>22182.45986</v>
      </c>
      <c r="R264" s="121" t="n">
        <v>22182.45986</v>
      </c>
      <c r="S264" s="122" t="n">
        <v>0</v>
      </c>
      <c r="T264" s="110" t="n"/>
    </row>
    <row r="265" ht="18.75" customHeight="1" s="52">
      <c r="A265" s="104" t="n">
        <v>258</v>
      </c>
      <c r="B265" s="119" t="n"/>
      <c r="C265" s="119" t="n"/>
      <c r="D265" s="120" t="inlineStr">
        <is>
          <t>Розділ 30 - Усього</t>
        </is>
      </c>
      <c r="E265" s="116" t="n"/>
      <c r="F265" s="120" t="n"/>
      <c r="G265" s="116" t="n"/>
      <c r="H265" s="116" t="n"/>
      <c r="I265" s="120" t="n"/>
      <c r="J265" s="121" t="n">
        <v>454577.16295</v>
      </c>
      <c r="K265" s="121" t="n">
        <v>454577.16295</v>
      </c>
      <c r="L265" s="121" t="n">
        <v>0</v>
      </c>
      <c r="M265" s="121" t="n">
        <v>455651.15238</v>
      </c>
      <c r="N265" s="116" t="n"/>
      <c r="O265" s="121" t="n">
        <v>455651.15238</v>
      </c>
      <c r="P265" s="121" t="n">
        <v>0</v>
      </c>
      <c r="Q265" s="121" t="n">
        <v>22182.45986</v>
      </c>
      <c r="R265" s="121" t="n">
        <v>22182.45986</v>
      </c>
      <c r="S265" s="122" t="n">
        <v>0</v>
      </c>
      <c r="T265" s="110" t="n"/>
    </row>
    <row r="266" ht="13.5" customHeight="1" s="52">
      <c r="A266" s="104" t="n">
        <v>259</v>
      </c>
      <c r="B266" s="119" t="n"/>
      <c r="C266" s="115" t="inlineStr">
        <is>
          <t>31</t>
        </is>
      </c>
      <c r="D266" s="115" t="inlineStr">
        <is>
          <t>310</t>
        </is>
      </c>
      <c r="E266" s="116" t="n"/>
      <c r="F266" s="115" t="inlineStr">
        <is>
          <t>3102</t>
        </is>
      </c>
      <c r="G266" s="116" t="n"/>
      <c r="H266" s="115" t="inlineStr">
        <is>
          <t>Акції, що випущені банками, які обліковуються за справедливою вартістю через інший сукупний дохід</t>
        </is>
      </c>
      <c r="I266" s="115" t="inlineStr">
        <is>
          <t>А</t>
        </is>
      </c>
      <c r="J266" s="117" t="n">
        <v>0</v>
      </c>
      <c r="K266" s="117" t="n">
        <v>0</v>
      </c>
      <c r="L266" s="117" t="n">
        <v>0</v>
      </c>
      <c r="M266" s="117" t="n">
        <v>0</v>
      </c>
      <c r="N266" s="116" t="n"/>
      <c r="O266" s="117" t="n">
        <v>0</v>
      </c>
      <c r="P266" s="117" t="n">
        <v>0</v>
      </c>
      <c r="Q266" s="117" t="n">
        <v>0</v>
      </c>
      <c r="R266" s="117" t="n">
        <v>0</v>
      </c>
      <c r="S266" s="118" t="n">
        <v>0</v>
      </c>
      <c r="T266" s="110" t="n"/>
    </row>
    <row r="267" ht="13.5" customHeight="1" s="52">
      <c r="A267" s="104" t="n">
        <v>260</v>
      </c>
      <c r="B267" s="119" t="n"/>
      <c r="C267" s="119" t="n"/>
      <c r="D267" s="119" t="n"/>
      <c r="F267" s="115" t="inlineStr">
        <is>
          <t>3103</t>
        </is>
      </c>
      <c r="G267" s="116" t="n"/>
      <c r="H267" s="115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7" s="115" t="inlineStr">
        <is>
          <t>А</t>
        </is>
      </c>
      <c r="J267" s="117" t="n">
        <v>0</v>
      </c>
      <c r="K267" s="117" t="n">
        <v>0</v>
      </c>
      <c r="L267" s="117" t="n">
        <v>0</v>
      </c>
      <c r="M267" s="117" t="n">
        <v>0</v>
      </c>
      <c r="N267" s="116" t="n"/>
      <c r="O267" s="117" t="n">
        <v>0</v>
      </c>
      <c r="P267" s="117" t="n">
        <v>0</v>
      </c>
      <c r="Q267" s="117" t="n">
        <v>15946.8</v>
      </c>
      <c r="R267" s="117" t="n">
        <v>15946.8</v>
      </c>
      <c r="S267" s="118" t="n">
        <v>0</v>
      </c>
      <c r="T267" s="110" t="n"/>
    </row>
    <row r="268" ht="14.25" customHeight="1" s="52">
      <c r="A268" s="104" t="n">
        <v>261</v>
      </c>
      <c r="B268" s="119" t="n"/>
      <c r="C268" s="119" t="n"/>
      <c r="D268" s="119" t="n"/>
      <c r="F268" s="115" t="inlineStr">
        <is>
          <t>3105</t>
        </is>
      </c>
      <c r="G268" s="116" t="n"/>
      <c r="H268" s="115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8" s="115" t="inlineStr">
        <is>
          <t>А</t>
        </is>
      </c>
      <c r="J268" s="117" t="n">
        <v>0</v>
      </c>
      <c r="K268" s="117" t="n">
        <v>0</v>
      </c>
      <c r="L268" s="117" t="n">
        <v>0</v>
      </c>
      <c r="M268" s="117" t="n">
        <v>0</v>
      </c>
      <c r="N268" s="116" t="n"/>
      <c r="O268" s="117" t="n">
        <v>0</v>
      </c>
      <c r="P268" s="117" t="n">
        <v>0</v>
      </c>
      <c r="Q268" s="117" t="n">
        <v>57227.96523</v>
      </c>
      <c r="R268" s="117" t="n">
        <v>57227.96523</v>
      </c>
      <c r="S268" s="118" t="n">
        <v>0</v>
      </c>
      <c r="T268" s="110" t="n"/>
    </row>
    <row r="269" ht="13.5" customHeight="1" s="52">
      <c r="A269" s="104" t="n">
        <v>262</v>
      </c>
      <c r="B269" s="119" t="n"/>
      <c r="C269" s="119" t="n"/>
      <c r="D269" s="119" t="n"/>
      <c r="F269" s="115" t="inlineStr">
        <is>
          <t>3107</t>
        </is>
      </c>
      <c r="G269" s="116" t="n"/>
      <c r="H269" s="115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9" s="115" t="inlineStr">
        <is>
          <t>А</t>
        </is>
      </c>
      <c r="J269" s="117" t="n">
        <v>0</v>
      </c>
      <c r="K269" s="117" t="n">
        <v>0</v>
      </c>
      <c r="L269" s="117" t="n">
        <v>0</v>
      </c>
      <c r="M269" s="117" t="n">
        <v>0</v>
      </c>
      <c r="N269" s="116" t="n"/>
      <c r="O269" s="117" t="n">
        <v>0</v>
      </c>
      <c r="P269" s="117" t="n">
        <v>0</v>
      </c>
      <c r="Q269" s="117" t="n">
        <v>3528.16308</v>
      </c>
      <c r="R269" s="117" t="n">
        <v>3528.16308</v>
      </c>
      <c r="S269" s="118" t="n">
        <v>0</v>
      </c>
      <c r="T269" s="110" t="n"/>
    </row>
    <row r="270" ht="13.5" customHeight="1" s="52">
      <c r="A270" s="104" t="n">
        <v>263</v>
      </c>
      <c r="B270" s="119" t="n"/>
      <c r="C270" s="119" t="n"/>
      <c r="D270" s="119" t="n"/>
      <c r="F270" s="119" t="n"/>
      <c r="H270" s="119" t="n"/>
      <c r="I270" s="115" t="inlineStr">
        <is>
          <t>П</t>
        </is>
      </c>
      <c r="J270" s="117" t="n">
        <v>0</v>
      </c>
      <c r="K270" s="117" t="n">
        <v>0</v>
      </c>
      <c r="L270" s="117" t="n">
        <v>0</v>
      </c>
      <c r="M270" s="117" t="n">
        <v>0</v>
      </c>
      <c r="N270" s="116" t="n"/>
      <c r="O270" s="117" t="n">
        <v>0</v>
      </c>
      <c r="P270" s="117" t="n">
        <v>0</v>
      </c>
      <c r="Q270" s="117" t="n">
        <v>-56951.20377</v>
      </c>
      <c r="R270" s="117" t="n">
        <v>-56951.20377</v>
      </c>
      <c r="S270" s="118" t="n">
        <v>0</v>
      </c>
      <c r="T270" s="110" t="n"/>
    </row>
    <row r="271" ht="13.5" customHeight="1" s="52">
      <c r="A271" s="104" t="n">
        <v>264</v>
      </c>
      <c r="B271" s="119" t="n"/>
      <c r="C271" s="119" t="n"/>
      <c r="D271" s="119" t="n"/>
      <c r="F271" s="115" t="inlineStr">
        <is>
          <t>3108</t>
        </is>
      </c>
      <c r="G271" s="116" t="n"/>
      <c r="H271" s="115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71" s="115" t="inlineStr">
        <is>
          <t>А</t>
        </is>
      </c>
      <c r="J271" s="117" t="n">
        <v>0</v>
      </c>
      <c r="K271" s="117" t="n">
        <v>0</v>
      </c>
      <c r="L271" s="117" t="n">
        <v>0</v>
      </c>
      <c r="M271" s="117" t="n">
        <v>0</v>
      </c>
      <c r="N271" s="116" t="n"/>
      <c r="O271" s="117" t="n">
        <v>0</v>
      </c>
      <c r="P271" s="117" t="n">
        <v>0</v>
      </c>
      <c r="Q271" s="117" t="n">
        <v>0</v>
      </c>
      <c r="R271" s="117" t="n">
        <v>0</v>
      </c>
      <c r="S271" s="118" t="n">
        <v>0</v>
      </c>
      <c r="T271" s="110" t="n"/>
    </row>
    <row r="272" ht="13.5" customHeight="1" s="52">
      <c r="A272" s="104" t="n">
        <v>265</v>
      </c>
      <c r="B272" s="119" t="n"/>
      <c r="C272" s="119" t="n"/>
      <c r="D272" s="119" t="n"/>
      <c r="F272" s="120" t="inlineStr">
        <is>
          <t>Група 310 - Усього</t>
        </is>
      </c>
      <c r="G272" s="116" t="n"/>
      <c r="H272" s="116" t="n"/>
      <c r="I272" s="120" t="n"/>
      <c r="J272" s="121" t="n">
        <v>0</v>
      </c>
      <c r="K272" s="121" t="n">
        <v>0</v>
      </c>
      <c r="L272" s="121" t="n">
        <v>0</v>
      </c>
      <c r="M272" s="121" t="n">
        <v>0</v>
      </c>
      <c r="N272" s="116" t="n"/>
      <c r="O272" s="121" t="n">
        <v>0</v>
      </c>
      <c r="P272" s="121" t="n">
        <v>0</v>
      </c>
      <c r="Q272" s="121" t="n">
        <v>19751.72454</v>
      </c>
      <c r="R272" s="121" t="n">
        <v>19751.72454</v>
      </c>
      <c r="S272" s="122" t="n">
        <v>0</v>
      </c>
      <c r="T272" s="110" t="n"/>
    </row>
    <row r="273" ht="14.25" customHeight="1" s="52">
      <c r="A273" s="104" t="n">
        <v>266</v>
      </c>
      <c r="B273" s="119" t="n"/>
      <c r="C273" s="119" t="n"/>
      <c r="D273" s="115" t="inlineStr">
        <is>
          <t>311</t>
        </is>
      </c>
      <c r="E273" s="116" t="n"/>
      <c r="F273" s="115" t="inlineStr">
        <is>
          <t>3110</t>
        </is>
      </c>
      <c r="G273" s="116" t="n"/>
      <c r="H273" s="115" t="inlineStr">
        <is>
          <t>Боргові державні цінні папери, які обліковуються за справедливою вартістю через інший сукупний дохід</t>
        </is>
      </c>
      <c r="I273" s="115" t="inlineStr">
        <is>
          <t>А</t>
        </is>
      </c>
      <c r="J273" s="117" t="n">
        <v>0</v>
      </c>
      <c r="K273" s="117" t="n">
        <v>0</v>
      </c>
      <c r="L273" s="117" t="n">
        <v>0</v>
      </c>
      <c r="M273" s="117" t="n">
        <v>0</v>
      </c>
      <c r="N273" s="116" t="n"/>
      <c r="O273" s="117" t="n">
        <v>0</v>
      </c>
      <c r="P273" s="117" t="n">
        <v>0</v>
      </c>
      <c r="Q273" s="117" t="n">
        <v>0</v>
      </c>
      <c r="R273" s="117" t="n">
        <v>0</v>
      </c>
      <c r="S273" s="118" t="n">
        <v>0</v>
      </c>
      <c r="T273" s="110" t="n"/>
    </row>
    <row r="274" ht="13.5" customHeight="1" s="52">
      <c r="A274" s="104" t="n">
        <v>267</v>
      </c>
      <c r="B274" s="119" t="n"/>
      <c r="C274" s="119" t="n"/>
      <c r="D274" s="119" t="n"/>
      <c r="F274" s="115" t="inlineStr">
        <is>
          <t>3112</t>
        </is>
      </c>
      <c r="G274" s="116" t="n"/>
      <c r="H274" s="115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4" s="115" t="inlineStr">
        <is>
          <t>А</t>
        </is>
      </c>
      <c r="J274" s="117" t="n">
        <v>0</v>
      </c>
      <c r="K274" s="117" t="n">
        <v>0</v>
      </c>
      <c r="L274" s="117" t="n">
        <v>0</v>
      </c>
      <c r="M274" s="117" t="n">
        <v>0</v>
      </c>
      <c r="N274" s="116" t="n"/>
      <c r="O274" s="117" t="n">
        <v>0</v>
      </c>
      <c r="P274" s="117" t="n">
        <v>0</v>
      </c>
      <c r="Q274" s="117" t="n">
        <v>0</v>
      </c>
      <c r="R274" s="117" t="n">
        <v>0</v>
      </c>
      <c r="S274" s="118" t="n">
        <v>0</v>
      </c>
      <c r="T274" s="110" t="n"/>
    </row>
    <row r="275" ht="13.5" customHeight="1" s="52">
      <c r="A275" s="104" t="n">
        <v>268</v>
      </c>
      <c r="B275" s="119" t="n"/>
      <c r="C275" s="119" t="n"/>
      <c r="D275" s="119" t="n"/>
      <c r="F275" s="115" t="inlineStr">
        <is>
          <t>3113</t>
        </is>
      </c>
      <c r="G275" s="116" t="n"/>
      <c r="H275" s="115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5" s="115" t="inlineStr">
        <is>
          <t>А</t>
        </is>
      </c>
      <c r="J275" s="117" t="n">
        <v>0</v>
      </c>
      <c r="K275" s="117" t="n">
        <v>0</v>
      </c>
      <c r="L275" s="117" t="n">
        <v>0</v>
      </c>
      <c r="M275" s="117" t="n">
        <v>0</v>
      </c>
      <c r="N275" s="116" t="n"/>
      <c r="O275" s="117" t="n">
        <v>0</v>
      </c>
      <c r="P275" s="117" t="n">
        <v>0</v>
      </c>
      <c r="Q275" s="117" t="n">
        <v>0</v>
      </c>
      <c r="R275" s="117" t="n">
        <v>0</v>
      </c>
      <c r="S275" s="118" t="n">
        <v>0</v>
      </c>
      <c r="T275" s="110" t="n"/>
    </row>
    <row r="276" ht="13.5" customHeight="1" s="52">
      <c r="A276" s="104" t="n">
        <v>269</v>
      </c>
      <c r="B276" s="119" t="n"/>
      <c r="C276" s="119" t="n"/>
      <c r="D276" s="119" t="n"/>
      <c r="F276" s="115" t="inlineStr">
        <is>
          <t>3114</t>
        </is>
      </c>
      <c r="G276" s="116" t="n"/>
      <c r="H276" s="115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6" s="115" t="inlineStr">
        <is>
          <t>А</t>
        </is>
      </c>
      <c r="J276" s="117" t="n">
        <v>0</v>
      </c>
      <c r="K276" s="117" t="n">
        <v>0</v>
      </c>
      <c r="L276" s="117" t="n">
        <v>0</v>
      </c>
      <c r="M276" s="117" t="n">
        <v>0</v>
      </c>
      <c r="N276" s="116" t="n"/>
      <c r="O276" s="117" t="n">
        <v>0</v>
      </c>
      <c r="P276" s="117" t="n">
        <v>0</v>
      </c>
      <c r="Q276" s="117" t="n">
        <v>0</v>
      </c>
      <c r="R276" s="117" t="n">
        <v>0</v>
      </c>
      <c r="S276" s="118" t="n">
        <v>0</v>
      </c>
      <c r="T276" s="110" t="n"/>
    </row>
    <row r="277" ht="13.5" customHeight="1" s="52">
      <c r="A277" s="104" t="n">
        <v>270</v>
      </c>
      <c r="B277" s="119" t="n"/>
      <c r="C277" s="119" t="n"/>
      <c r="D277" s="119" t="n"/>
      <c r="F277" s="115" t="inlineStr">
        <is>
          <t>3115</t>
        </is>
      </c>
      <c r="G277" s="116" t="n"/>
      <c r="H277" s="115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7" s="115" t="inlineStr">
        <is>
          <t>А</t>
        </is>
      </c>
      <c r="J277" s="117" t="n">
        <v>0</v>
      </c>
      <c r="K277" s="117" t="n">
        <v>0</v>
      </c>
      <c r="L277" s="117" t="n">
        <v>0</v>
      </c>
      <c r="M277" s="117" t="n">
        <v>0</v>
      </c>
      <c r="N277" s="116" t="n"/>
      <c r="O277" s="117" t="n">
        <v>0</v>
      </c>
      <c r="P277" s="117" t="n">
        <v>0</v>
      </c>
      <c r="Q277" s="117" t="n">
        <v>0</v>
      </c>
      <c r="R277" s="117" t="n">
        <v>0</v>
      </c>
      <c r="S277" s="118" t="n">
        <v>0</v>
      </c>
      <c r="T277" s="110" t="n"/>
    </row>
    <row r="278" ht="14.25" customHeight="1" s="52">
      <c r="A278" s="104" t="n">
        <v>271</v>
      </c>
      <c r="B278" s="119" t="n"/>
      <c r="C278" s="119" t="n"/>
      <c r="D278" s="119" t="n"/>
      <c r="F278" s="119" t="n"/>
      <c r="H278" s="119" t="n"/>
      <c r="I278" s="115" t="inlineStr">
        <is>
          <t>П</t>
        </is>
      </c>
      <c r="J278" s="117" t="n">
        <v>0</v>
      </c>
      <c r="K278" s="117" t="n">
        <v>0</v>
      </c>
      <c r="L278" s="117" t="n">
        <v>0</v>
      </c>
      <c r="M278" s="117" t="n">
        <v>0</v>
      </c>
      <c r="N278" s="116" t="n"/>
      <c r="O278" s="117" t="n">
        <v>0</v>
      </c>
      <c r="P278" s="117" t="n">
        <v>0</v>
      </c>
      <c r="Q278" s="117" t="n">
        <v>0</v>
      </c>
      <c r="R278" s="117" t="n">
        <v>0</v>
      </c>
      <c r="S278" s="118" t="n">
        <v>0</v>
      </c>
      <c r="T278" s="110" t="n"/>
    </row>
    <row r="279" ht="13.5" customHeight="1" s="52">
      <c r="A279" s="104" t="n">
        <v>272</v>
      </c>
      <c r="B279" s="119" t="n"/>
      <c r="C279" s="119" t="n"/>
      <c r="D279" s="119" t="n"/>
      <c r="F279" s="115" t="inlineStr">
        <is>
          <t>3116</t>
        </is>
      </c>
      <c r="G279" s="116" t="n"/>
      <c r="H279" s="115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9" s="115" t="inlineStr">
        <is>
          <t>А</t>
        </is>
      </c>
      <c r="J279" s="117" t="n">
        <v>0</v>
      </c>
      <c r="K279" s="117" t="n">
        <v>0</v>
      </c>
      <c r="L279" s="117" t="n">
        <v>0</v>
      </c>
      <c r="M279" s="117" t="n">
        <v>0</v>
      </c>
      <c r="N279" s="116" t="n"/>
      <c r="O279" s="117" t="n">
        <v>0</v>
      </c>
      <c r="P279" s="117" t="n">
        <v>0</v>
      </c>
      <c r="Q279" s="117" t="n">
        <v>0</v>
      </c>
      <c r="R279" s="117" t="n">
        <v>0</v>
      </c>
      <c r="S279" s="118" t="n">
        <v>0</v>
      </c>
      <c r="T279" s="110" t="n"/>
    </row>
    <row r="280" ht="13.5" customHeight="1" s="52">
      <c r="A280" s="104" t="n">
        <v>273</v>
      </c>
      <c r="B280" s="119" t="n"/>
      <c r="C280" s="119" t="n"/>
      <c r="D280" s="119" t="n"/>
      <c r="F280" s="119" t="n"/>
      <c r="H280" s="119" t="n"/>
      <c r="I280" s="115" t="inlineStr">
        <is>
          <t>П</t>
        </is>
      </c>
      <c r="J280" s="117" t="n">
        <v>0</v>
      </c>
      <c r="K280" s="117" t="n">
        <v>0</v>
      </c>
      <c r="L280" s="117" t="n">
        <v>0</v>
      </c>
      <c r="M280" s="117" t="n">
        <v>0</v>
      </c>
      <c r="N280" s="116" t="n"/>
      <c r="O280" s="117" t="n">
        <v>0</v>
      </c>
      <c r="P280" s="117" t="n">
        <v>0</v>
      </c>
      <c r="Q280" s="117" t="n">
        <v>0</v>
      </c>
      <c r="R280" s="117" t="n">
        <v>0</v>
      </c>
      <c r="S280" s="118" t="n">
        <v>0</v>
      </c>
      <c r="T280" s="110" t="n"/>
    </row>
    <row r="281" ht="13.5" customHeight="1" s="52">
      <c r="A281" s="104" t="n">
        <v>274</v>
      </c>
      <c r="B281" s="119" t="n"/>
      <c r="C281" s="119" t="n"/>
      <c r="D281" s="119" t="n"/>
      <c r="F281" s="115" t="inlineStr">
        <is>
          <t>3118</t>
        </is>
      </c>
      <c r="G281" s="116" t="n"/>
      <c r="H281" s="115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81" s="115" t="inlineStr">
        <is>
          <t>А</t>
        </is>
      </c>
      <c r="J281" s="117" t="n">
        <v>0</v>
      </c>
      <c r="K281" s="117" t="n">
        <v>0</v>
      </c>
      <c r="L281" s="117" t="n">
        <v>0</v>
      </c>
      <c r="M281" s="117" t="n">
        <v>0</v>
      </c>
      <c r="N281" s="116" t="n"/>
      <c r="O281" s="117" t="n">
        <v>0</v>
      </c>
      <c r="P281" s="117" t="n">
        <v>0</v>
      </c>
      <c r="Q281" s="117" t="n">
        <v>0</v>
      </c>
      <c r="R281" s="117" t="n">
        <v>0</v>
      </c>
      <c r="S281" s="118" t="n">
        <v>0</v>
      </c>
      <c r="T281" s="110" t="n"/>
    </row>
    <row r="282" ht="13.5" customHeight="1" s="52">
      <c r="A282" s="104" t="n">
        <v>275</v>
      </c>
      <c r="B282" s="119" t="n"/>
      <c r="C282" s="119" t="n"/>
      <c r="D282" s="119" t="n"/>
      <c r="F282" s="115" t="inlineStr">
        <is>
          <t>3119</t>
        </is>
      </c>
      <c r="G282" s="116" t="n"/>
      <c r="H282" s="115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82" s="115" t="inlineStr">
        <is>
          <t>П</t>
        </is>
      </c>
      <c r="J282" s="117" t="n">
        <v>0</v>
      </c>
      <c r="K282" s="117" t="n">
        <v>0</v>
      </c>
      <c r="L282" s="117" t="n">
        <v>0</v>
      </c>
      <c r="M282" s="117" t="n">
        <v>0</v>
      </c>
      <c r="N282" s="116" t="n"/>
      <c r="O282" s="117" t="n">
        <v>0</v>
      </c>
      <c r="P282" s="117" t="n">
        <v>0</v>
      </c>
      <c r="Q282" s="117" t="n">
        <v>0</v>
      </c>
      <c r="R282" s="117" t="n">
        <v>0</v>
      </c>
      <c r="S282" s="118" t="n">
        <v>0</v>
      </c>
      <c r="T282" s="110" t="n"/>
    </row>
    <row r="283" ht="14.25" customHeight="1" s="52">
      <c r="A283" s="104" t="n">
        <v>276</v>
      </c>
      <c r="B283" s="119" t="n"/>
      <c r="C283" s="119" t="n"/>
      <c r="D283" s="119" t="n"/>
      <c r="F283" s="120" t="inlineStr">
        <is>
          <t>Група 311 - Усього</t>
        </is>
      </c>
      <c r="G283" s="116" t="n"/>
      <c r="H283" s="116" t="n"/>
      <c r="I283" s="120" t="n"/>
      <c r="J283" s="121" t="n">
        <v>0</v>
      </c>
      <c r="K283" s="121" t="n">
        <v>0</v>
      </c>
      <c r="L283" s="121" t="n">
        <v>0</v>
      </c>
      <c r="M283" s="121" t="n">
        <v>0</v>
      </c>
      <c r="N283" s="116" t="n"/>
      <c r="O283" s="121" t="n">
        <v>0</v>
      </c>
      <c r="P283" s="121" t="n">
        <v>0</v>
      </c>
      <c r="Q283" s="121" t="n">
        <v>0</v>
      </c>
      <c r="R283" s="121" t="n">
        <v>0</v>
      </c>
      <c r="S283" s="122" t="n">
        <v>0</v>
      </c>
      <c r="T283" s="110" t="n"/>
    </row>
    <row r="284" ht="19.5" customHeight="1" s="52">
      <c r="A284" s="104" t="n">
        <v>277</v>
      </c>
      <c r="B284" s="119" t="n"/>
      <c r="C284" s="119" t="n"/>
      <c r="D284" s="120" t="inlineStr">
        <is>
          <t>Розділ 31 - Усього</t>
        </is>
      </c>
      <c r="E284" s="116" t="n"/>
      <c r="F284" s="120" t="n"/>
      <c r="G284" s="116" t="n"/>
      <c r="H284" s="116" t="n"/>
      <c r="I284" s="120" t="n"/>
      <c r="J284" s="121" t="n">
        <v>0</v>
      </c>
      <c r="K284" s="121" t="n">
        <v>0</v>
      </c>
      <c r="L284" s="121" t="n">
        <v>0</v>
      </c>
      <c r="M284" s="121" t="n">
        <v>0</v>
      </c>
      <c r="N284" s="116" t="n"/>
      <c r="O284" s="121" t="n">
        <v>0</v>
      </c>
      <c r="P284" s="121" t="n">
        <v>0</v>
      </c>
      <c r="Q284" s="121" t="n">
        <v>19751.72454</v>
      </c>
      <c r="R284" s="121" t="n">
        <v>19751.72454</v>
      </c>
      <c r="S284" s="122" t="n">
        <v>0</v>
      </c>
      <c r="T284" s="110" t="n"/>
    </row>
    <row r="285" ht="13.5" customHeight="1" s="52">
      <c r="A285" s="104" t="n">
        <v>278</v>
      </c>
      <c r="B285" s="119" t="n"/>
      <c r="C285" s="115" t="inlineStr">
        <is>
          <t>32</t>
        </is>
      </c>
      <c r="D285" s="115" t="inlineStr">
        <is>
          <t>321</t>
        </is>
      </c>
      <c r="E285" s="116" t="n"/>
      <c r="F285" s="115" t="inlineStr">
        <is>
          <t>3210</t>
        </is>
      </c>
      <c r="G285" s="116" t="n"/>
      <c r="H285" s="115" t="inlineStr">
        <is>
          <t>Боргові державні цінні папери, які обліковуються за амортизованою собівартістю</t>
        </is>
      </c>
      <c r="I285" s="115" t="inlineStr">
        <is>
          <t>А</t>
        </is>
      </c>
      <c r="J285" s="117" t="n">
        <v>6220374.4</v>
      </c>
      <c r="K285" s="117" t="n">
        <v>0</v>
      </c>
      <c r="L285" s="117" t="n">
        <v>6220374.4</v>
      </c>
      <c r="M285" s="117" t="n">
        <v>4914488.5</v>
      </c>
      <c r="N285" s="116" t="n"/>
      <c r="O285" s="117" t="n">
        <v>0</v>
      </c>
      <c r="P285" s="117" t="n">
        <v>4914488.5</v>
      </c>
      <c r="Q285" s="117" t="n">
        <v>31216128.3</v>
      </c>
      <c r="R285" s="117" t="n">
        <v>0</v>
      </c>
      <c r="S285" s="118" t="n">
        <v>31216128.3</v>
      </c>
      <c r="T285" s="110" t="n"/>
    </row>
    <row r="286" ht="13.5" customHeight="1" s="52">
      <c r="A286" s="104" t="n">
        <v>279</v>
      </c>
      <c r="B286" s="119" t="n"/>
      <c r="C286" s="119" t="n"/>
      <c r="D286" s="119" t="n"/>
      <c r="F286" s="115" t="inlineStr">
        <is>
          <t>3211</t>
        </is>
      </c>
      <c r="G286" s="116" t="n"/>
      <c r="H286" s="115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6" s="115" t="inlineStr">
        <is>
          <t>А</t>
        </is>
      </c>
      <c r="J286" s="117" t="n">
        <v>0</v>
      </c>
      <c r="K286" s="117" t="n">
        <v>0</v>
      </c>
      <c r="L286" s="117" t="n">
        <v>0</v>
      </c>
      <c r="M286" s="117" t="n">
        <v>0</v>
      </c>
      <c r="N286" s="116" t="n"/>
      <c r="O286" s="117" t="n">
        <v>0</v>
      </c>
      <c r="P286" s="117" t="n">
        <v>0</v>
      </c>
      <c r="Q286" s="117" t="n">
        <v>80000</v>
      </c>
      <c r="R286" s="117" t="n">
        <v>80000</v>
      </c>
      <c r="S286" s="118" t="n">
        <v>0</v>
      </c>
      <c r="T286" s="110" t="n"/>
    </row>
    <row r="287" ht="13.5" customHeight="1" s="52">
      <c r="A287" s="104" t="n">
        <v>280</v>
      </c>
      <c r="B287" s="119" t="n"/>
      <c r="C287" s="119" t="n"/>
      <c r="D287" s="119" t="n"/>
      <c r="F287" s="115" t="inlineStr">
        <is>
          <t>3212</t>
        </is>
      </c>
      <c r="G287" s="116" t="n"/>
      <c r="H287" s="115" t="inlineStr">
        <is>
          <t>Боргові цінні папери, випущені банками, які обліковуються за амортизованою собівартістю</t>
        </is>
      </c>
      <c r="I287" s="115" t="inlineStr">
        <is>
          <t>А</t>
        </is>
      </c>
      <c r="J287" s="117" t="n">
        <v>0</v>
      </c>
      <c r="K287" s="117" t="n">
        <v>0</v>
      </c>
      <c r="L287" s="117" t="n">
        <v>0</v>
      </c>
      <c r="M287" s="117" t="n">
        <v>0</v>
      </c>
      <c r="N287" s="116" t="n"/>
      <c r="O287" s="117" t="n">
        <v>0</v>
      </c>
      <c r="P287" s="117" t="n">
        <v>0</v>
      </c>
      <c r="Q287" s="117" t="n">
        <v>0</v>
      </c>
      <c r="R287" s="117" t="n">
        <v>0</v>
      </c>
      <c r="S287" s="118" t="n">
        <v>0</v>
      </c>
      <c r="T287" s="110" t="n"/>
    </row>
    <row r="288" ht="14.25" customHeight="1" s="52">
      <c r="A288" s="104" t="n">
        <v>281</v>
      </c>
      <c r="B288" s="119" t="n"/>
      <c r="C288" s="119" t="n"/>
      <c r="D288" s="119" t="n"/>
      <c r="F288" s="115" t="inlineStr">
        <is>
          <t>3213</t>
        </is>
      </c>
      <c r="G288" s="116" t="n"/>
      <c r="H288" s="115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8" s="115" t="inlineStr">
        <is>
          <t>А</t>
        </is>
      </c>
      <c r="J288" s="117" t="n">
        <v>0</v>
      </c>
      <c r="K288" s="117" t="n">
        <v>0</v>
      </c>
      <c r="L288" s="117" t="n">
        <v>0</v>
      </c>
      <c r="M288" s="117" t="n">
        <v>0</v>
      </c>
      <c r="N288" s="116" t="n"/>
      <c r="O288" s="117" t="n">
        <v>0</v>
      </c>
      <c r="P288" s="117" t="n">
        <v>0</v>
      </c>
      <c r="Q288" s="117" t="n">
        <v>24629</v>
      </c>
      <c r="R288" s="117" t="n">
        <v>24629</v>
      </c>
      <c r="S288" s="118" t="n">
        <v>0</v>
      </c>
      <c r="T288" s="110" t="n"/>
    </row>
    <row r="289" ht="13.5" customHeight="1" s="52">
      <c r="A289" s="104" t="n">
        <v>282</v>
      </c>
      <c r="B289" s="119" t="n"/>
      <c r="C289" s="119" t="n"/>
      <c r="D289" s="119" t="n"/>
      <c r="F289" s="115" t="inlineStr">
        <is>
          <t>3214</t>
        </is>
      </c>
      <c r="G289" s="116" t="n"/>
      <c r="H289" s="115" t="inlineStr">
        <is>
          <t>Боргові цінні папери нефінансових підприємств, які обліковуються за амортизованою собівартістю</t>
        </is>
      </c>
      <c r="I289" s="115" t="inlineStr">
        <is>
          <t>А</t>
        </is>
      </c>
      <c r="J289" s="117" t="n">
        <v>0</v>
      </c>
      <c r="K289" s="117" t="n">
        <v>0</v>
      </c>
      <c r="L289" s="117" t="n">
        <v>0</v>
      </c>
      <c r="M289" s="117" t="n">
        <v>0</v>
      </c>
      <c r="N289" s="116" t="n"/>
      <c r="O289" s="117" t="n">
        <v>0</v>
      </c>
      <c r="P289" s="117" t="n">
        <v>0</v>
      </c>
      <c r="Q289" s="117" t="n">
        <v>95000</v>
      </c>
      <c r="R289" s="117" t="n">
        <v>95000</v>
      </c>
      <c r="S289" s="118" t="n">
        <v>0</v>
      </c>
      <c r="T289" s="110" t="n"/>
    </row>
    <row r="290" ht="13.5" customHeight="1" s="52">
      <c r="A290" s="104" t="n">
        <v>283</v>
      </c>
      <c r="B290" s="119" t="n"/>
      <c r="C290" s="119" t="n"/>
      <c r="D290" s="119" t="n"/>
      <c r="F290" s="115" t="inlineStr">
        <is>
          <t>3216</t>
        </is>
      </c>
      <c r="G290" s="116" t="n"/>
      <c r="H290" s="115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90" s="115" t="inlineStr">
        <is>
          <t>А</t>
        </is>
      </c>
      <c r="J290" s="117" t="n">
        <v>74197.47478999999</v>
      </c>
      <c r="K290" s="117" t="n">
        <v>18.3</v>
      </c>
      <c r="L290" s="117" t="n">
        <v>74179.17479</v>
      </c>
      <c r="M290" s="117" t="n">
        <v>99818.58981</v>
      </c>
      <c r="N290" s="116" t="n"/>
      <c r="O290" s="117" t="n">
        <v>40.39156</v>
      </c>
      <c r="P290" s="117" t="n">
        <v>99778.19825</v>
      </c>
      <c r="Q290" s="117" t="n">
        <v>432.4402</v>
      </c>
      <c r="R290" s="117" t="n">
        <v>432.4402</v>
      </c>
      <c r="S290" s="118" t="n">
        <v>0</v>
      </c>
      <c r="T290" s="110" t="n"/>
    </row>
    <row r="291" ht="13.5" customHeight="1" s="52">
      <c r="A291" s="104" t="n">
        <v>284</v>
      </c>
      <c r="B291" s="119" t="n"/>
      <c r="C291" s="119" t="n"/>
      <c r="D291" s="119" t="n"/>
      <c r="F291" s="119" t="n"/>
      <c r="H291" s="119" t="n"/>
      <c r="I291" s="115" t="inlineStr">
        <is>
          <t>П</t>
        </is>
      </c>
      <c r="J291" s="117" t="n">
        <v>0</v>
      </c>
      <c r="K291" s="117" t="n">
        <v>0</v>
      </c>
      <c r="L291" s="117" t="n">
        <v>0</v>
      </c>
      <c r="M291" s="117" t="n">
        <v>0</v>
      </c>
      <c r="N291" s="116" t="n"/>
      <c r="O291" s="117" t="n">
        <v>0</v>
      </c>
      <c r="P291" s="117" t="n">
        <v>0</v>
      </c>
      <c r="Q291" s="117" t="n">
        <v>-296021.47198</v>
      </c>
      <c r="R291" s="117" t="n">
        <v>-7.6</v>
      </c>
      <c r="S291" s="118" t="n">
        <v>-296013.87198</v>
      </c>
      <c r="T291" s="110" t="n"/>
    </row>
    <row r="292" ht="13.5" customHeight="1" s="52">
      <c r="A292" s="104" t="n">
        <v>285</v>
      </c>
      <c r="B292" s="119" t="n"/>
      <c r="C292" s="119" t="n"/>
      <c r="D292" s="119" t="n"/>
      <c r="F292" s="115" t="inlineStr">
        <is>
          <t>3218</t>
        </is>
      </c>
      <c r="G292" s="116" t="n"/>
      <c r="H292" s="115" t="inlineStr">
        <is>
          <t>Нараховані доходи за борговими цінними паперами, які обліковуються за амортизованою собівартістю</t>
        </is>
      </c>
      <c r="I292" s="115" t="inlineStr">
        <is>
          <t>А</t>
        </is>
      </c>
      <c r="J292" s="117" t="n">
        <v>2961.7592</v>
      </c>
      <c r="K292" s="117" t="n">
        <v>2961.7592</v>
      </c>
      <c r="L292" s="117" t="n">
        <v>0</v>
      </c>
      <c r="M292" s="117" t="n">
        <v>1105.34952</v>
      </c>
      <c r="N292" s="116" t="n"/>
      <c r="O292" s="117" t="n">
        <v>1105.34952</v>
      </c>
      <c r="P292" s="117" t="n">
        <v>0</v>
      </c>
      <c r="Q292" s="117" t="n">
        <v>8133.50644</v>
      </c>
      <c r="R292" s="117" t="n">
        <v>8133.50644</v>
      </c>
      <c r="S292" s="118" t="n">
        <v>0</v>
      </c>
      <c r="T292" s="110" t="n"/>
    </row>
    <row r="293" ht="14.25" customHeight="1" s="52">
      <c r="A293" s="104" t="n">
        <v>286</v>
      </c>
      <c r="B293" s="119" t="n"/>
      <c r="C293" s="119" t="n"/>
      <c r="D293" s="119" t="n"/>
      <c r="F293" s="115" t="inlineStr">
        <is>
          <t>3219</t>
        </is>
      </c>
      <c r="G293" s="116" t="n"/>
      <c r="H293" s="115" t="inlineStr">
        <is>
          <t>Резерв за борговими цінними паперами, які обліковуються за амортизованою собівартістю</t>
        </is>
      </c>
      <c r="I293" s="115" t="inlineStr">
        <is>
          <t>П</t>
        </is>
      </c>
      <c r="J293" s="117" t="n">
        <v>5.04486</v>
      </c>
      <c r="K293" s="117" t="n">
        <v>4.94051</v>
      </c>
      <c r="L293" s="117" t="n">
        <v>0.10435</v>
      </c>
      <c r="M293" s="117" t="n">
        <v>97.0154</v>
      </c>
      <c r="N293" s="116" t="n"/>
      <c r="O293" s="117" t="n">
        <v>96.91015</v>
      </c>
      <c r="P293" s="117" t="n">
        <v>0.10525</v>
      </c>
      <c r="Q293" s="117" t="n">
        <v>-6362.73766</v>
      </c>
      <c r="R293" s="117" t="n">
        <v>-6362.05314</v>
      </c>
      <c r="S293" s="118" t="n">
        <v>-0.68452</v>
      </c>
      <c r="T293" s="110" t="n"/>
    </row>
    <row r="294" ht="13.5" customHeight="1" s="52">
      <c r="A294" s="104" t="n">
        <v>287</v>
      </c>
      <c r="B294" s="119" t="n"/>
      <c r="C294" s="119" t="n"/>
      <c r="D294" s="119" t="n"/>
      <c r="F294" s="120" t="inlineStr">
        <is>
          <t>Група 321 - Усього</t>
        </is>
      </c>
      <c r="G294" s="116" t="n"/>
      <c r="H294" s="116" t="n"/>
      <c r="I294" s="120" t="n"/>
      <c r="J294" s="121" t="n">
        <v>6297538.67885</v>
      </c>
      <c r="K294" s="121" t="n">
        <v>2984.99971</v>
      </c>
      <c r="L294" s="121" t="n">
        <v>6294553.67914</v>
      </c>
      <c r="M294" s="121" t="n">
        <v>5015509.45473</v>
      </c>
      <c r="N294" s="116" t="n"/>
      <c r="O294" s="121" t="n">
        <v>1242.65123</v>
      </c>
      <c r="P294" s="121" t="n">
        <v>5014266.8035</v>
      </c>
      <c r="Q294" s="121" t="n">
        <v>31121939.037</v>
      </c>
      <c r="R294" s="121" t="n">
        <v>201825.2935</v>
      </c>
      <c r="S294" s="122" t="n">
        <v>30920113.7435</v>
      </c>
      <c r="T294" s="110" t="n"/>
    </row>
    <row r="295" ht="24" customHeight="1" s="52">
      <c r="A295" s="104" t="n">
        <v>288</v>
      </c>
      <c r="B295" s="119" t="n"/>
      <c r="C295" s="119" t="n"/>
      <c r="D295" s="120" t="inlineStr">
        <is>
          <t>Розділ 32 - Усього</t>
        </is>
      </c>
      <c r="E295" s="116" t="n"/>
      <c r="F295" s="120" t="n"/>
      <c r="G295" s="116" t="n"/>
      <c r="H295" s="116" t="n"/>
      <c r="I295" s="120" t="n"/>
      <c r="J295" s="121" t="n">
        <v>6297538.67885</v>
      </c>
      <c r="K295" s="121" t="n">
        <v>2984.99971</v>
      </c>
      <c r="L295" s="121" t="n">
        <v>6294553.67914</v>
      </c>
      <c r="M295" s="121" t="n">
        <v>5015509.45473</v>
      </c>
      <c r="N295" s="116" t="n"/>
      <c r="O295" s="121" t="n">
        <v>1242.65123</v>
      </c>
      <c r="P295" s="121" t="n">
        <v>5014266.8035</v>
      </c>
      <c r="Q295" s="121" t="n">
        <v>31121939.037</v>
      </c>
      <c r="R295" s="121" t="n">
        <v>201825.2935</v>
      </c>
      <c r="S295" s="122" t="n">
        <v>30920113.7435</v>
      </c>
      <c r="T295" s="110" t="n"/>
    </row>
    <row r="296" ht="13.5" customHeight="1" s="52">
      <c r="A296" s="104" t="n">
        <v>289</v>
      </c>
      <c r="B296" s="119" t="n"/>
      <c r="C296" s="115" t="inlineStr">
        <is>
          <t>34</t>
        </is>
      </c>
      <c r="D296" s="115" t="inlineStr">
        <is>
          <t>340</t>
        </is>
      </c>
      <c r="E296" s="116" t="n"/>
      <c r="F296" s="115" t="inlineStr">
        <is>
          <t>3400</t>
        </is>
      </c>
      <c r="G296" s="116" t="n"/>
      <c r="H296" s="115" t="inlineStr">
        <is>
          <t>Запаси на складі</t>
        </is>
      </c>
      <c r="I296" s="115" t="inlineStr">
        <is>
          <t>А</t>
        </is>
      </c>
      <c r="J296" s="117" t="n">
        <v>721.56823</v>
      </c>
      <c r="K296" s="117" t="n">
        <v>721.56823</v>
      </c>
      <c r="L296" s="117" t="n">
        <v>0</v>
      </c>
      <c r="M296" s="117" t="n">
        <v>1004.245</v>
      </c>
      <c r="N296" s="116" t="n"/>
      <c r="O296" s="117" t="n">
        <v>1004.245</v>
      </c>
      <c r="P296" s="117" t="n">
        <v>0</v>
      </c>
      <c r="Q296" s="117" t="n">
        <v>9728.817429999999</v>
      </c>
      <c r="R296" s="117" t="n">
        <v>9728.817429999999</v>
      </c>
      <c r="S296" s="118" t="n">
        <v>0</v>
      </c>
      <c r="T296" s="110" t="n"/>
    </row>
    <row r="297" ht="13.5" customHeight="1" s="52">
      <c r="A297" s="104" t="n">
        <v>290</v>
      </c>
      <c r="B297" s="119" t="n"/>
      <c r="C297" s="119" t="n"/>
      <c r="D297" s="119" t="n"/>
      <c r="F297" s="115" t="inlineStr">
        <is>
          <t>3402</t>
        </is>
      </c>
      <c r="G297" s="116" t="n"/>
      <c r="H297" s="115" t="inlineStr">
        <is>
          <t>Запаси в підзвітних осіб</t>
        </is>
      </c>
      <c r="I297" s="115" t="inlineStr">
        <is>
          <t>А</t>
        </is>
      </c>
      <c r="J297" s="117" t="n">
        <v>799.94816</v>
      </c>
      <c r="K297" s="117" t="n">
        <v>799.94816</v>
      </c>
      <c r="L297" s="117" t="n">
        <v>0</v>
      </c>
      <c r="M297" s="117" t="n">
        <v>2652.29146</v>
      </c>
      <c r="N297" s="116" t="n"/>
      <c r="O297" s="117" t="n">
        <v>2652.29146</v>
      </c>
      <c r="P297" s="117" t="n">
        <v>0</v>
      </c>
      <c r="Q297" s="117" t="n">
        <v>18640.36092</v>
      </c>
      <c r="R297" s="117" t="n">
        <v>18640.36092</v>
      </c>
      <c r="S297" s="118" t="n">
        <v>0</v>
      </c>
      <c r="T297" s="110" t="n"/>
    </row>
    <row r="298" ht="14.25" customHeight="1" s="52">
      <c r="A298" s="104" t="n">
        <v>291</v>
      </c>
      <c r="B298" s="119" t="n"/>
      <c r="C298" s="119" t="n"/>
      <c r="D298" s="119" t="n"/>
      <c r="F298" s="115" t="inlineStr">
        <is>
          <t>3403</t>
        </is>
      </c>
      <c r="G298" s="116" t="n"/>
      <c r="H298" s="115" t="inlineStr">
        <is>
          <t>Дорогоцінні метали в банку</t>
        </is>
      </c>
      <c r="I298" s="115" t="inlineStr">
        <is>
          <t>А</t>
        </is>
      </c>
      <c r="J298" s="117" t="n">
        <v>0</v>
      </c>
      <c r="K298" s="117" t="n">
        <v>0</v>
      </c>
      <c r="L298" s="117" t="n">
        <v>0</v>
      </c>
      <c r="M298" s="117" t="n">
        <v>0</v>
      </c>
      <c r="N298" s="116" t="n"/>
      <c r="O298" s="117" t="n">
        <v>0</v>
      </c>
      <c r="P298" s="117" t="n">
        <v>0</v>
      </c>
      <c r="Q298" s="117" t="n">
        <v>0</v>
      </c>
      <c r="R298" s="117" t="n">
        <v>0</v>
      </c>
      <c r="S298" s="118" t="n">
        <v>0</v>
      </c>
      <c r="T298" s="110" t="n"/>
    </row>
    <row r="299" ht="13.5" customHeight="1" s="52">
      <c r="A299" s="104" t="n">
        <v>292</v>
      </c>
      <c r="B299" s="119" t="n"/>
      <c r="C299" s="119" t="n"/>
      <c r="D299" s="119" t="n"/>
      <c r="F299" s="115" t="inlineStr">
        <is>
          <t>3408</t>
        </is>
      </c>
      <c r="G299" s="116" t="n"/>
      <c r="H299" s="115" t="inlineStr">
        <is>
          <t>Необоротні активи, утримувані для продажу</t>
        </is>
      </c>
      <c r="I299" s="115" t="inlineStr">
        <is>
          <t>А</t>
        </is>
      </c>
      <c r="J299" s="117" t="n">
        <v>0</v>
      </c>
      <c r="K299" s="117" t="n">
        <v>0</v>
      </c>
      <c r="L299" s="117" t="n">
        <v>0</v>
      </c>
      <c r="M299" s="117" t="n">
        <v>0</v>
      </c>
      <c r="N299" s="116" t="n"/>
      <c r="O299" s="117" t="n">
        <v>0</v>
      </c>
      <c r="P299" s="117" t="n">
        <v>0</v>
      </c>
      <c r="Q299" s="117" t="n">
        <v>0</v>
      </c>
      <c r="R299" s="117" t="n">
        <v>0</v>
      </c>
      <c r="S299" s="118" t="n">
        <v>0</v>
      </c>
      <c r="T299" s="110" t="n"/>
    </row>
    <row r="300" ht="13.5" customHeight="1" s="52">
      <c r="A300" s="104" t="n">
        <v>293</v>
      </c>
      <c r="B300" s="119" t="n"/>
      <c r="C300" s="119" t="n"/>
      <c r="D300" s="119" t="n"/>
      <c r="F300" s="115" t="inlineStr">
        <is>
          <t>3409</t>
        </is>
      </c>
      <c r="G300" s="116" t="n"/>
      <c r="H300" s="115" t="inlineStr">
        <is>
          <t>Майно, що перейшло у власність банку як заставодержателя</t>
        </is>
      </c>
      <c r="I300" s="115" t="inlineStr">
        <is>
          <t>А</t>
        </is>
      </c>
      <c r="J300" s="117" t="n">
        <v>0</v>
      </c>
      <c r="K300" s="117" t="n">
        <v>0</v>
      </c>
      <c r="L300" s="117" t="n">
        <v>0</v>
      </c>
      <c r="M300" s="117" t="n">
        <v>0</v>
      </c>
      <c r="N300" s="116" t="n"/>
      <c r="O300" s="117" t="n">
        <v>0</v>
      </c>
      <c r="P300" s="117" t="n">
        <v>0</v>
      </c>
      <c r="Q300" s="117" t="n">
        <v>5941.54</v>
      </c>
      <c r="R300" s="117" t="n">
        <v>5941.54</v>
      </c>
      <c r="S300" s="118" t="n">
        <v>0</v>
      </c>
      <c r="T300" s="110" t="n"/>
    </row>
    <row r="301" ht="13.5" customHeight="1" s="52">
      <c r="A301" s="104" t="n">
        <v>294</v>
      </c>
      <c r="B301" s="119" t="n"/>
      <c r="C301" s="119" t="n"/>
      <c r="D301" s="119" t="n"/>
      <c r="F301" s="120" t="inlineStr">
        <is>
          <t>Група 340 - Усього</t>
        </is>
      </c>
      <c r="G301" s="116" t="n"/>
      <c r="H301" s="116" t="n"/>
      <c r="I301" s="120" t="n"/>
      <c r="J301" s="121" t="n">
        <v>1521.51639</v>
      </c>
      <c r="K301" s="121" t="n">
        <v>1521.51639</v>
      </c>
      <c r="L301" s="121" t="n">
        <v>0</v>
      </c>
      <c r="M301" s="121" t="n">
        <v>3656.53646</v>
      </c>
      <c r="N301" s="116" t="n"/>
      <c r="O301" s="121" t="n">
        <v>3656.53646</v>
      </c>
      <c r="P301" s="121" t="n">
        <v>0</v>
      </c>
      <c r="Q301" s="121" t="n">
        <v>34310.71835</v>
      </c>
      <c r="R301" s="121" t="n">
        <v>34310.71835</v>
      </c>
      <c r="S301" s="122" t="n">
        <v>0</v>
      </c>
      <c r="T301" s="110" t="n"/>
    </row>
    <row r="302" ht="13.5" customHeight="1" s="52">
      <c r="A302" s="104" t="n">
        <v>295</v>
      </c>
      <c r="B302" s="119" t="n"/>
      <c r="C302" s="119" t="n"/>
      <c r="D302" s="115" t="inlineStr">
        <is>
          <t>342</t>
        </is>
      </c>
      <c r="E302" s="116" t="n"/>
      <c r="F302" s="115" t="inlineStr">
        <is>
          <t>3423</t>
        </is>
      </c>
      <c r="G302" s="116" t="n"/>
      <c r="H302" s="115" t="inlineStr">
        <is>
          <t>Інвестиції в дочірні небанківські фінансові установи, що утримуються з метою продажу</t>
        </is>
      </c>
      <c r="I302" s="115" t="inlineStr">
        <is>
          <t>А</t>
        </is>
      </c>
      <c r="J302" s="117" t="n">
        <v>0</v>
      </c>
      <c r="K302" s="117" t="n">
        <v>0</v>
      </c>
      <c r="L302" s="117" t="n">
        <v>0</v>
      </c>
      <c r="M302" s="117" t="n">
        <v>0</v>
      </c>
      <c r="N302" s="116" t="n"/>
      <c r="O302" s="117" t="n">
        <v>0</v>
      </c>
      <c r="P302" s="117" t="n">
        <v>0</v>
      </c>
      <c r="Q302" s="117" t="n">
        <v>0</v>
      </c>
      <c r="R302" s="117" t="n">
        <v>0</v>
      </c>
      <c r="S302" s="118" t="n">
        <v>0</v>
      </c>
      <c r="T302" s="110" t="n"/>
    </row>
    <row r="303" ht="14.25" customHeight="1" s="52">
      <c r="A303" s="104" t="n">
        <v>296</v>
      </c>
      <c r="B303" s="119" t="n"/>
      <c r="C303" s="119" t="n"/>
      <c r="D303" s="119" t="n"/>
      <c r="F303" s="115" t="inlineStr">
        <is>
          <t>3425</t>
        </is>
      </c>
      <c r="G303" s="116" t="n"/>
      <c r="H303" s="115" t="inlineStr">
        <is>
          <t>Інвестиції в інші дочірні компанії, що утримуються з метою продажу</t>
        </is>
      </c>
      <c r="I303" s="115" t="inlineStr">
        <is>
          <t>А</t>
        </is>
      </c>
      <c r="J303" s="117" t="n">
        <v>0</v>
      </c>
      <c r="K303" s="117" t="n">
        <v>0</v>
      </c>
      <c r="L303" s="117" t="n">
        <v>0</v>
      </c>
      <c r="M303" s="117" t="n">
        <v>0</v>
      </c>
      <c r="N303" s="116" t="n"/>
      <c r="O303" s="117" t="n">
        <v>0</v>
      </c>
      <c r="P303" s="117" t="n">
        <v>0</v>
      </c>
      <c r="Q303" s="117" t="n">
        <v>0</v>
      </c>
      <c r="R303" s="117" t="n">
        <v>0</v>
      </c>
      <c r="S303" s="118" t="n">
        <v>0</v>
      </c>
      <c r="T303" s="110" t="n"/>
    </row>
    <row r="304" ht="13.5" customHeight="1" s="52">
      <c r="A304" s="104" t="n">
        <v>297</v>
      </c>
      <c r="B304" s="119" t="n"/>
      <c r="C304" s="119" t="n"/>
      <c r="D304" s="119" t="n"/>
      <c r="F304" s="120" t="inlineStr">
        <is>
          <t>Група 342 - Усього</t>
        </is>
      </c>
      <c r="G304" s="116" t="n"/>
      <c r="H304" s="116" t="n"/>
      <c r="I304" s="120" t="n"/>
      <c r="J304" s="121" t="n">
        <v>0</v>
      </c>
      <c r="K304" s="121" t="n">
        <v>0</v>
      </c>
      <c r="L304" s="121" t="n">
        <v>0</v>
      </c>
      <c r="M304" s="121" t="n">
        <v>0</v>
      </c>
      <c r="N304" s="116" t="n"/>
      <c r="O304" s="121" t="n">
        <v>0</v>
      </c>
      <c r="P304" s="121" t="n">
        <v>0</v>
      </c>
      <c r="Q304" s="121" t="n">
        <v>0</v>
      </c>
      <c r="R304" s="121" t="n">
        <v>0</v>
      </c>
      <c r="S304" s="122" t="n">
        <v>0</v>
      </c>
      <c r="T304" s="110" t="n"/>
    </row>
    <row r="305" ht="18" customHeight="1" s="52">
      <c r="A305" s="104" t="n">
        <v>298</v>
      </c>
      <c r="B305" s="119" t="n"/>
      <c r="C305" s="119" t="n"/>
      <c r="D305" s="120" t="inlineStr">
        <is>
          <t>Розділ 34 - Усього</t>
        </is>
      </c>
      <c r="E305" s="116" t="n"/>
      <c r="F305" s="120" t="n"/>
      <c r="G305" s="116" t="n"/>
      <c r="H305" s="116" t="n"/>
      <c r="I305" s="120" t="n"/>
      <c r="J305" s="121" t="n">
        <v>1521.51639</v>
      </c>
      <c r="K305" s="121" t="n">
        <v>1521.51639</v>
      </c>
      <c r="L305" s="121" t="n">
        <v>0</v>
      </c>
      <c r="M305" s="121" t="n">
        <v>3656.53646</v>
      </c>
      <c r="N305" s="116" t="n"/>
      <c r="O305" s="121" t="n">
        <v>3656.53646</v>
      </c>
      <c r="P305" s="121" t="n">
        <v>0</v>
      </c>
      <c r="Q305" s="121" t="n">
        <v>34310.71835</v>
      </c>
      <c r="R305" s="121" t="n">
        <v>34310.71835</v>
      </c>
      <c r="S305" s="122" t="n">
        <v>0</v>
      </c>
      <c r="T305" s="110" t="n"/>
    </row>
    <row r="306" ht="13.5" customHeight="1" s="52">
      <c r="A306" s="104" t="n">
        <v>299</v>
      </c>
      <c r="B306" s="119" t="n"/>
      <c r="C306" s="115" t="inlineStr">
        <is>
          <t>35</t>
        </is>
      </c>
      <c r="D306" s="115" t="inlineStr">
        <is>
          <t>350</t>
        </is>
      </c>
      <c r="E306" s="116" t="n"/>
      <c r="F306" s="115" t="inlineStr">
        <is>
          <t>3500</t>
        </is>
      </c>
      <c r="G306" s="116" t="n"/>
      <c r="H306" s="115" t="inlineStr">
        <is>
          <t>Витрати майбутніх періодів</t>
        </is>
      </c>
      <c r="I306" s="115" t="inlineStr">
        <is>
          <t>А</t>
        </is>
      </c>
      <c r="J306" s="117" t="n">
        <v>9635.63279</v>
      </c>
      <c r="K306" s="117" t="n">
        <v>9627.17107</v>
      </c>
      <c r="L306" s="117" t="n">
        <v>8.46172</v>
      </c>
      <c r="M306" s="117" t="n">
        <v>12752.84375</v>
      </c>
      <c r="N306" s="116" t="n"/>
      <c r="O306" s="117" t="n">
        <v>12707.28447</v>
      </c>
      <c r="P306" s="117" t="n">
        <v>45.55928</v>
      </c>
      <c r="Q306" s="117" t="n">
        <v>70153.29246</v>
      </c>
      <c r="R306" s="117" t="n">
        <v>69840.58989</v>
      </c>
      <c r="S306" s="118" t="n">
        <v>312.70257</v>
      </c>
      <c r="T306" s="110" t="n"/>
    </row>
    <row r="307" ht="13.5" customHeight="1" s="52">
      <c r="A307" s="104" t="n">
        <v>300</v>
      </c>
      <c r="B307" s="119" t="n"/>
      <c r="C307" s="119" t="n"/>
      <c r="D307" s="119" t="n"/>
      <c r="F307" s="120" t="inlineStr">
        <is>
          <t>Група 350 - Усього</t>
        </is>
      </c>
      <c r="G307" s="116" t="n"/>
      <c r="H307" s="116" t="n"/>
      <c r="I307" s="120" t="n"/>
      <c r="J307" s="121" t="n">
        <v>9635.63279</v>
      </c>
      <c r="K307" s="121" t="n">
        <v>9627.17107</v>
      </c>
      <c r="L307" s="121" t="n">
        <v>8.46172</v>
      </c>
      <c r="M307" s="121" t="n">
        <v>12752.84375</v>
      </c>
      <c r="N307" s="116" t="n"/>
      <c r="O307" s="121" t="n">
        <v>12707.28447</v>
      </c>
      <c r="P307" s="121" t="n">
        <v>45.55928</v>
      </c>
      <c r="Q307" s="121" t="n">
        <v>70153.29246</v>
      </c>
      <c r="R307" s="121" t="n">
        <v>69840.58989</v>
      </c>
      <c r="S307" s="122" t="n">
        <v>312.70257</v>
      </c>
      <c r="T307" s="110" t="n"/>
    </row>
    <row r="308" ht="14.25" customHeight="1" s="52">
      <c r="A308" s="104" t="n">
        <v>301</v>
      </c>
      <c r="B308" s="119" t="n"/>
      <c r="C308" s="119" t="n"/>
      <c r="D308" s="115" t="inlineStr">
        <is>
          <t>351</t>
        </is>
      </c>
      <c r="E308" s="116" t="n"/>
      <c r="F308" s="115" t="inlineStr">
        <is>
          <t>3510</t>
        </is>
      </c>
      <c r="G308" s="116" t="n"/>
      <c r="H308" s="115" t="inlineStr">
        <is>
          <t>Дебіторська заборгованість з придбання активів</t>
        </is>
      </c>
      <c r="I308" s="115" t="inlineStr">
        <is>
          <t>А</t>
        </is>
      </c>
      <c r="J308" s="117" t="n">
        <v>26107.6804</v>
      </c>
      <c r="K308" s="117" t="n">
        <v>26107.6804</v>
      </c>
      <c r="L308" s="117" t="n">
        <v>0</v>
      </c>
      <c r="M308" s="117" t="n">
        <v>25879.17982</v>
      </c>
      <c r="N308" s="116" t="n"/>
      <c r="O308" s="117" t="n">
        <v>25879.17982</v>
      </c>
      <c r="P308" s="117" t="n">
        <v>0</v>
      </c>
      <c r="Q308" s="117" t="n">
        <v>17473.4406</v>
      </c>
      <c r="R308" s="117" t="n">
        <v>17473.4406</v>
      </c>
      <c r="S308" s="118" t="n">
        <v>0</v>
      </c>
      <c r="T308" s="110" t="n"/>
    </row>
    <row r="309" ht="13.5" customHeight="1" s="52">
      <c r="A309" s="104" t="n">
        <v>302</v>
      </c>
      <c r="B309" s="119" t="n"/>
      <c r="C309" s="119" t="n"/>
      <c r="D309" s="119" t="n"/>
      <c r="F309" s="115" t="inlineStr">
        <is>
          <t>3511</t>
        </is>
      </c>
      <c r="G309" s="116" t="n"/>
      <c r="H309" s="115" t="inlineStr">
        <is>
          <t xml:space="preserve">Договірний актив </t>
        </is>
      </c>
      <c r="I309" s="115" t="inlineStr">
        <is>
          <t>А</t>
        </is>
      </c>
      <c r="J309" s="117" t="n">
        <v>0</v>
      </c>
      <c r="K309" s="117" t="n">
        <v>0</v>
      </c>
      <c r="L309" s="117" t="n">
        <v>0</v>
      </c>
      <c r="M309" s="117" t="n">
        <v>0</v>
      </c>
      <c r="N309" s="116" t="n"/>
      <c r="O309" s="117" t="n">
        <v>0</v>
      </c>
      <c r="P309" s="117" t="n">
        <v>0</v>
      </c>
      <c r="Q309" s="117" t="n">
        <v>0</v>
      </c>
      <c r="R309" s="117" t="n">
        <v>0</v>
      </c>
      <c r="S309" s="118" t="n">
        <v>0</v>
      </c>
      <c r="T309" s="110" t="n"/>
    </row>
    <row r="310" ht="13.5" customHeight="1" s="52">
      <c r="A310" s="104" t="n">
        <v>303</v>
      </c>
      <c r="B310" s="119" t="n"/>
      <c r="C310" s="119" t="n"/>
      <c r="D310" s="119" t="n"/>
      <c r="F310" s="115" t="inlineStr">
        <is>
          <t>3519</t>
        </is>
      </c>
      <c r="G310" s="116" t="n"/>
      <c r="H310" s="115" t="inlineStr">
        <is>
          <t>Дебіторська заборгованість за послуги</t>
        </is>
      </c>
      <c r="I310" s="115" t="inlineStr">
        <is>
          <t>А</t>
        </is>
      </c>
      <c r="J310" s="117" t="n">
        <v>30159.59587</v>
      </c>
      <c r="K310" s="117" t="n">
        <v>30159.59587</v>
      </c>
      <c r="L310" s="117" t="n">
        <v>0</v>
      </c>
      <c r="M310" s="117" t="n">
        <v>15930.86095</v>
      </c>
      <c r="N310" s="116" t="n"/>
      <c r="O310" s="117" t="n">
        <v>15930.86095</v>
      </c>
      <c r="P310" s="117" t="n">
        <v>0</v>
      </c>
      <c r="Q310" s="117" t="n">
        <v>54859.34124</v>
      </c>
      <c r="R310" s="117" t="n">
        <v>54859.34124</v>
      </c>
      <c r="S310" s="118" t="n">
        <v>0</v>
      </c>
      <c r="T310" s="110" t="n"/>
    </row>
    <row r="311" ht="13.5" customHeight="1" s="52">
      <c r="A311" s="104" t="n">
        <v>304</v>
      </c>
      <c r="B311" s="119" t="n"/>
      <c r="C311" s="119" t="n"/>
      <c r="D311" s="119" t="n"/>
      <c r="F311" s="120" t="inlineStr">
        <is>
          <t>Група 351 - Усього</t>
        </is>
      </c>
      <c r="G311" s="116" t="n"/>
      <c r="H311" s="116" t="n"/>
      <c r="I311" s="120" t="n"/>
      <c r="J311" s="121" t="n">
        <v>56267.27627</v>
      </c>
      <c r="K311" s="121" t="n">
        <v>56267.27627</v>
      </c>
      <c r="L311" s="121" t="n">
        <v>0</v>
      </c>
      <c r="M311" s="121" t="n">
        <v>41810.04077</v>
      </c>
      <c r="N311" s="116" t="n"/>
      <c r="O311" s="121" t="n">
        <v>41810.04077</v>
      </c>
      <c r="P311" s="121" t="n">
        <v>0</v>
      </c>
      <c r="Q311" s="121" t="n">
        <v>72332.78184</v>
      </c>
      <c r="R311" s="121" t="n">
        <v>72332.78184</v>
      </c>
      <c r="S311" s="122" t="n">
        <v>0</v>
      </c>
      <c r="T311" s="110" t="n"/>
    </row>
    <row r="312" ht="13.5" customHeight="1" s="52">
      <c r="A312" s="104" t="n">
        <v>305</v>
      </c>
      <c r="B312" s="119" t="n"/>
      <c r="C312" s="119" t="n"/>
      <c r="D312" s="115" t="inlineStr">
        <is>
          <t>352</t>
        </is>
      </c>
      <c r="E312" s="116" t="n"/>
      <c r="F312" s="115" t="inlineStr">
        <is>
          <t>3520</t>
        </is>
      </c>
      <c r="G312" s="116" t="n"/>
      <c r="H312" s="115" t="inlineStr">
        <is>
          <t>Дебіторська заборгованість за податком на прибуток</t>
        </is>
      </c>
      <c r="I312" s="115" t="inlineStr">
        <is>
          <t>А</t>
        </is>
      </c>
      <c r="J312" s="117" t="n">
        <v>0</v>
      </c>
      <c r="K312" s="117" t="n">
        <v>0</v>
      </c>
      <c r="L312" s="117" t="n">
        <v>0</v>
      </c>
      <c r="M312" s="117" t="n">
        <v>0</v>
      </c>
      <c r="N312" s="116" t="n"/>
      <c r="O312" s="117" t="n">
        <v>0</v>
      </c>
      <c r="P312" s="117" t="n">
        <v>0</v>
      </c>
      <c r="Q312" s="117" t="n">
        <v>0</v>
      </c>
      <c r="R312" s="117" t="n">
        <v>0</v>
      </c>
      <c r="S312" s="118" t="n">
        <v>0</v>
      </c>
      <c r="T312" s="110" t="n"/>
    </row>
    <row r="313" ht="14.25" customHeight="1" s="52">
      <c r="A313" s="104" t="n">
        <v>306</v>
      </c>
      <c r="B313" s="119" t="n"/>
      <c r="C313" s="119" t="n"/>
      <c r="D313" s="119" t="n"/>
      <c r="F313" s="115" t="inlineStr">
        <is>
          <t>3521</t>
        </is>
      </c>
      <c r="G313" s="116" t="n"/>
      <c r="H313" s="115" t="inlineStr">
        <is>
          <t>Відстрочений податковий актив</t>
        </is>
      </c>
      <c r="I313" s="115" t="inlineStr">
        <is>
          <t>А</t>
        </is>
      </c>
      <c r="J313" s="117" t="n">
        <v>0</v>
      </c>
      <c r="K313" s="117" t="n">
        <v>0</v>
      </c>
      <c r="L313" s="117" t="n">
        <v>0</v>
      </c>
      <c r="M313" s="117" t="n">
        <v>0</v>
      </c>
      <c r="N313" s="116" t="n"/>
      <c r="O313" s="117" t="n">
        <v>0</v>
      </c>
      <c r="P313" s="117" t="n">
        <v>0</v>
      </c>
      <c r="Q313" s="117" t="n">
        <v>1687095.45403</v>
      </c>
      <c r="R313" s="117" t="n">
        <v>1687095.45403</v>
      </c>
      <c r="S313" s="118" t="n">
        <v>0</v>
      </c>
      <c r="T313" s="110" t="n"/>
    </row>
    <row r="314" ht="13.5" customHeight="1" s="52">
      <c r="A314" s="104" t="n">
        <v>307</v>
      </c>
      <c r="B314" s="119" t="n"/>
      <c r="C314" s="119" t="n"/>
      <c r="D314" s="119" t="n"/>
      <c r="F314" s="115" t="inlineStr">
        <is>
          <t>3522</t>
        </is>
      </c>
      <c r="G314" s="116" t="n"/>
      <c r="H314" s="115" t="inlineStr">
        <is>
          <t>Дебіторська заборгованість за податками та обов'язковими платежами, крім податку на прибуток</t>
        </is>
      </c>
      <c r="I314" s="115" t="inlineStr">
        <is>
          <t>А</t>
        </is>
      </c>
      <c r="J314" s="117" t="n">
        <v>43353.43683</v>
      </c>
      <c r="K314" s="117" t="n">
        <v>43353.43683</v>
      </c>
      <c r="L314" s="117" t="n">
        <v>0</v>
      </c>
      <c r="M314" s="117" t="n">
        <v>63913.08359</v>
      </c>
      <c r="N314" s="116" t="n"/>
      <c r="O314" s="117" t="n">
        <v>63913.08359</v>
      </c>
      <c r="P314" s="117" t="n">
        <v>0</v>
      </c>
      <c r="Q314" s="117" t="n">
        <v>53376.33005</v>
      </c>
      <c r="R314" s="117" t="n">
        <v>53376.33005</v>
      </c>
      <c r="S314" s="118" t="n">
        <v>0</v>
      </c>
      <c r="T314" s="110" t="n"/>
    </row>
    <row r="315" ht="13.5" customHeight="1" s="52">
      <c r="A315" s="104" t="n">
        <v>308</v>
      </c>
      <c r="B315" s="119" t="n"/>
      <c r="C315" s="119" t="n"/>
      <c r="D315" s="119" t="n"/>
      <c r="F315" s="120" t="inlineStr">
        <is>
          <t>Група 352 - Усього</t>
        </is>
      </c>
      <c r="G315" s="116" t="n"/>
      <c r="H315" s="116" t="n"/>
      <c r="I315" s="120" t="n"/>
      <c r="J315" s="121" t="n">
        <v>43353.43683</v>
      </c>
      <c r="K315" s="121" t="n">
        <v>43353.43683</v>
      </c>
      <c r="L315" s="121" t="n">
        <v>0</v>
      </c>
      <c r="M315" s="121" t="n">
        <v>63913.08359</v>
      </c>
      <c r="N315" s="116" t="n"/>
      <c r="O315" s="121" t="n">
        <v>63913.08359</v>
      </c>
      <c r="P315" s="121" t="n">
        <v>0</v>
      </c>
      <c r="Q315" s="121" t="n">
        <v>1740471.78408</v>
      </c>
      <c r="R315" s="121" t="n">
        <v>1740471.78408</v>
      </c>
      <c r="S315" s="122" t="n">
        <v>0</v>
      </c>
      <c r="T315" s="110" t="n"/>
    </row>
    <row r="316" ht="13.5" customHeight="1" s="52">
      <c r="A316" s="104" t="n">
        <v>309</v>
      </c>
      <c r="B316" s="119" t="n"/>
      <c r="C316" s="119" t="n"/>
      <c r="D316" s="115" t="inlineStr">
        <is>
          <t>354</t>
        </is>
      </c>
      <c r="E316" s="116" t="n"/>
      <c r="F316" s="115" t="inlineStr">
        <is>
          <t>3540</t>
        </is>
      </c>
      <c r="G316" s="116" t="n"/>
      <c r="H316" s="115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6" s="115" t="inlineStr">
        <is>
          <t>А</t>
        </is>
      </c>
      <c r="J316" s="117" t="n">
        <v>78388269.38125999</v>
      </c>
      <c r="K316" s="117" t="n">
        <v>36087382.79767</v>
      </c>
      <c r="L316" s="117" t="n">
        <v>42300886.58359</v>
      </c>
      <c r="M316" s="117" t="n">
        <v>78394430.76158001</v>
      </c>
      <c r="N316" s="116" t="n"/>
      <c r="O316" s="117" t="n">
        <v>36093544.17799</v>
      </c>
      <c r="P316" s="117" t="n">
        <v>42300886.58359</v>
      </c>
      <c r="Q316" s="117" t="n">
        <v>0.90291</v>
      </c>
      <c r="R316" s="117" t="n">
        <v>0.90291</v>
      </c>
      <c r="S316" s="118" t="n">
        <v>0</v>
      </c>
      <c r="T316" s="110" t="n"/>
    </row>
    <row r="317" ht="13.5" customHeight="1" s="52">
      <c r="A317" s="104" t="n">
        <v>310</v>
      </c>
      <c r="B317" s="119" t="n"/>
      <c r="C317" s="119" t="n"/>
      <c r="D317" s="119" t="n"/>
      <c r="F317" s="115" t="inlineStr">
        <is>
          <t>3541</t>
        </is>
      </c>
      <c r="G317" s="116" t="n"/>
      <c r="H317" s="115" t="inlineStr">
        <is>
          <t>Дебіторська заборгованість за розрахунками за цінними паперами для банку</t>
        </is>
      </c>
      <c r="I317" s="115" t="inlineStr">
        <is>
          <t>А</t>
        </is>
      </c>
      <c r="J317" s="117" t="n">
        <v>4226927.7793</v>
      </c>
      <c r="K317" s="117" t="n">
        <v>694452.53251</v>
      </c>
      <c r="L317" s="117" t="n">
        <v>3532475.24679</v>
      </c>
      <c r="M317" s="117" t="n">
        <v>4226927.7793</v>
      </c>
      <c r="N317" s="116" t="n"/>
      <c r="O317" s="117" t="n">
        <v>694452.53251</v>
      </c>
      <c r="P317" s="117" t="n">
        <v>3532475.24679</v>
      </c>
      <c r="Q317" s="117" t="n">
        <v>0</v>
      </c>
      <c r="R317" s="117" t="n">
        <v>0</v>
      </c>
      <c r="S317" s="118" t="n">
        <v>0</v>
      </c>
      <c r="T317" s="110" t="n"/>
    </row>
    <row r="318" ht="14.25" customHeight="1" s="52">
      <c r="A318" s="104" t="n">
        <v>311</v>
      </c>
      <c r="B318" s="119" t="n"/>
      <c r="C318" s="119" t="n"/>
      <c r="D318" s="119" t="n"/>
      <c r="F318" s="115" t="inlineStr">
        <is>
          <t>3542</t>
        </is>
      </c>
      <c r="G318" s="116" t="n"/>
      <c r="H318" s="115" t="inlineStr">
        <is>
          <t>Дебіторська заборгованість за кредитними операціями</t>
        </is>
      </c>
      <c r="I318" s="115" t="inlineStr">
        <is>
          <t>А</t>
        </is>
      </c>
      <c r="J318" s="117" t="n">
        <v>0</v>
      </c>
      <c r="K318" s="117" t="n">
        <v>0</v>
      </c>
      <c r="L318" s="117" t="n">
        <v>0</v>
      </c>
      <c r="M318" s="117" t="n">
        <v>0</v>
      </c>
      <c r="N318" s="116" t="n"/>
      <c r="O318" s="117" t="n">
        <v>0</v>
      </c>
      <c r="P318" s="117" t="n">
        <v>0</v>
      </c>
      <c r="Q318" s="117" t="n">
        <v>0</v>
      </c>
      <c r="R318" s="117" t="n">
        <v>0</v>
      </c>
      <c r="S318" s="118" t="n">
        <v>0</v>
      </c>
      <c r="T318" s="110" t="n"/>
    </row>
    <row r="319" ht="13.5" customHeight="1" s="52">
      <c r="A319" s="104" t="n">
        <v>312</v>
      </c>
      <c r="B319" s="119" t="n"/>
      <c r="C319" s="119" t="n"/>
      <c r="D319" s="119" t="n"/>
      <c r="F319" s="115" t="inlineStr">
        <is>
          <t>3548</t>
        </is>
      </c>
      <c r="G319" s="116" t="n"/>
      <c r="H319" s="115" t="inlineStr">
        <is>
          <t>Дебіторська заборгованість за операціями з іншими фінансовими інструментами</t>
        </is>
      </c>
      <c r="I319" s="115" t="inlineStr">
        <is>
          <t>А</t>
        </is>
      </c>
      <c r="J319" s="117" t="n">
        <v>3431.57813</v>
      </c>
      <c r="K319" s="117" t="n">
        <v>3431.57813</v>
      </c>
      <c r="L319" s="117" t="n">
        <v>0</v>
      </c>
      <c r="M319" s="117" t="n">
        <v>3431.57813</v>
      </c>
      <c r="N319" s="116" t="n"/>
      <c r="O319" s="117" t="n">
        <v>3431.57813</v>
      </c>
      <c r="P319" s="117" t="n">
        <v>0</v>
      </c>
      <c r="Q319" s="117" t="n">
        <v>0</v>
      </c>
      <c r="R319" s="117" t="n">
        <v>0</v>
      </c>
      <c r="S319" s="118" t="n">
        <v>0</v>
      </c>
      <c r="T319" s="110" t="n"/>
    </row>
    <row r="320" ht="13.5" customHeight="1" s="52">
      <c r="A320" s="104" t="n">
        <v>313</v>
      </c>
      <c r="B320" s="119" t="n"/>
      <c r="C320" s="119" t="n"/>
      <c r="D320" s="119" t="n"/>
      <c r="F320" s="120" t="inlineStr">
        <is>
          <t>Група 354 - Усього</t>
        </is>
      </c>
      <c r="G320" s="116" t="n"/>
      <c r="H320" s="116" t="n"/>
      <c r="I320" s="120" t="n"/>
      <c r="J320" s="121" t="n">
        <v>82618628.73869</v>
      </c>
      <c r="K320" s="121" t="n">
        <v>36785266.90831</v>
      </c>
      <c r="L320" s="121" t="n">
        <v>45833361.83038</v>
      </c>
      <c r="M320" s="121" t="n">
        <v>82624790.11901</v>
      </c>
      <c r="N320" s="116" t="n"/>
      <c r="O320" s="121" t="n">
        <v>36791428.28863</v>
      </c>
      <c r="P320" s="121" t="n">
        <v>45833361.83038</v>
      </c>
      <c r="Q320" s="121" t="n">
        <v>0.90291</v>
      </c>
      <c r="R320" s="121" t="n">
        <v>0.90291</v>
      </c>
      <c r="S320" s="122" t="n">
        <v>0</v>
      </c>
      <c r="T320" s="110" t="n"/>
    </row>
    <row r="321" ht="13.5" customHeight="1" s="52">
      <c r="A321" s="104" t="n">
        <v>314</v>
      </c>
      <c r="B321" s="119" t="n"/>
      <c r="C321" s="119" t="n"/>
      <c r="D321" s="115" t="inlineStr">
        <is>
          <t>355</t>
        </is>
      </c>
      <c r="E321" s="116" t="n"/>
      <c r="F321" s="115" t="inlineStr">
        <is>
          <t>3550</t>
        </is>
      </c>
      <c r="G321" s="116" t="n"/>
      <c r="H321" s="115" t="inlineStr">
        <is>
          <t>Аванси працівникам банку на витрати з відрядження</t>
        </is>
      </c>
      <c r="I321" s="115" t="inlineStr">
        <is>
          <t>А</t>
        </is>
      </c>
      <c r="J321" s="117" t="n">
        <v>920.51279</v>
      </c>
      <c r="K321" s="117" t="n">
        <v>543.527</v>
      </c>
      <c r="L321" s="117" t="n">
        <v>376.98579</v>
      </c>
      <c r="M321" s="117" t="n">
        <v>125.61916</v>
      </c>
      <c r="N321" s="116" t="n"/>
      <c r="O321" s="117" t="n">
        <v>124.947</v>
      </c>
      <c r="P321" s="117" t="n">
        <v>0.67216</v>
      </c>
      <c r="Q321" s="117" t="n">
        <v>803.83363</v>
      </c>
      <c r="R321" s="117" t="n">
        <v>427.52</v>
      </c>
      <c r="S321" s="118" t="n">
        <v>376.31363</v>
      </c>
      <c r="T321" s="110" t="n"/>
    </row>
    <row r="322" ht="13.5" customHeight="1" s="52">
      <c r="A322" s="104" t="n">
        <v>315</v>
      </c>
      <c r="B322" s="119" t="n"/>
      <c r="C322" s="119" t="n"/>
      <c r="D322" s="119" t="n"/>
      <c r="F322" s="115" t="inlineStr">
        <is>
          <t>3551</t>
        </is>
      </c>
      <c r="G322" s="116" t="n"/>
      <c r="H322" s="115" t="inlineStr">
        <is>
          <t>Аванси працівникам банку на господарські витрати</t>
        </is>
      </c>
      <c r="I322" s="115" t="inlineStr">
        <is>
          <t>А</t>
        </is>
      </c>
      <c r="J322" s="117" t="n">
        <v>15.38486</v>
      </c>
      <c r="K322" s="117" t="n">
        <v>15.38486</v>
      </c>
      <c r="L322" s="117" t="n">
        <v>0</v>
      </c>
      <c r="M322" s="117" t="n">
        <v>0</v>
      </c>
      <c r="N322" s="116" t="n"/>
      <c r="O322" s="117" t="n">
        <v>0</v>
      </c>
      <c r="P322" s="117" t="n">
        <v>0</v>
      </c>
      <c r="Q322" s="117" t="n">
        <v>15.38486</v>
      </c>
      <c r="R322" s="117" t="n">
        <v>15.38486</v>
      </c>
      <c r="S322" s="118" t="n">
        <v>0</v>
      </c>
      <c r="T322" s="110" t="n"/>
    </row>
    <row r="323" ht="14.25" customHeight="1" s="52">
      <c r="A323" s="104" t="n">
        <v>316</v>
      </c>
      <c r="B323" s="119" t="n"/>
      <c r="C323" s="119" t="n"/>
      <c r="D323" s="119" t="n"/>
      <c r="F323" s="115" t="inlineStr">
        <is>
          <t>3552</t>
        </is>
      </c>
      <c r="G323" s="116" t="n"/>
      <c r="H323" s="115" t="inlineStr">
        <is>
          <t xml:space="preserve">Нестачі та інші нарахування на працівників банку </t>
        </is>
      </c>
      <c r="I323" s="115" t="inlineStr">
        <is>
          <t>А</t>
        </is>
      </c>
      <c r="J323" s="117" t="n">
        <v>0</v>
      </c>
      <c r="K323" s="117" t="n">
        <v>0</v>
      </c>
      <c r="L323" s="117" t="n">
        <v>0</v>
      </c>
      <c r="M323" s="117" t="n">
        <v>0</v>
      </c>
      <c r="N323" s="116" t="n"/>
      <c r="O323" s="117" t="n">
        <v>0</v>
      </c>
      <c r="P323" s="117" t="n">
        <v>0</v>
      </c>
      <c r="Q323" s="117" t="n">
        <v>1262.10676</v>
      </c>
      <c r="R323" s="117" t="n">
        <v>1262.10676</v>
      </c>
      <c r="S323" s="118" t="n">
        <v>0</v>
      </c>
      <c r="T323" s="110" t="n"/>
    </row>
    <row r="324" ht="13.5" customHeight="1" s="52">
      <c r="A324" s="104" t="n">
        <v>317</v>
      </c>
      <c r="B324" s="119" t="n"/>
      <c r="C324" s="119" t="n"/>
      <c r="D324" s="119" t="n"/>
      <c r="F324" s="115" t="inlineStr">
        <is>
          <t>3559</t>
        </is>
      </c>
      <c r="G324" s="116" t="n"/>
      <c r="H324" s="115" t="inlineStr">
        <is>
          <t>Інша дебіторська заборгованість за розрахунками з працівниками банку та іншими особами</t>
        </is>
      </c>
      <c r="I324" s="115" t="inlineStr">
        <is>
          <t>А</t>
        </is>
      </c>
      <c r="J324" s="117" t="n">
        <v>59767.77362</v>
      </c>
      <c r="K324" s="117" t="n">
        <v>59767.77362</v>
      </c>
      <c r="L324" s="117" t="n">
        <v>0</v>
      </c>
      <c r="M324" s="117" t="n">
        <v>59764.46077</v>
      </c>
      <c r="N324" s="116" t="n"/>
      <c r="O324" s="117" t="n">
        <v>59764.46077</v>
      </c>
      <c r="P324" s="117" t="n">
        <v>0</v>
      </c>
      <c r="Q324" s="117" t="n">
        <v>29.95041</v>
      </c>
      <c r="R324" s="117" t="n">
        <v>29.95041</v>
      </c>
      <c r="S324" s="118" t="n">
        <v>0</v>
      </c>
      <c r="T324" s="110" t="n"/>
    </row>
    <row r="325" ht="13.5" customHeight="1" s="52">
      <c r="A325" s="104" t="n">
        <v>318</v>
      </c>
      <c r="B325" s="119" t="n"/>
      <c r="C325" s="119" t="n"/>
      <c r="D325" s="119" t="n"/>
      <c r="F325" s="120" t="inlineStr">
        <is>
          <t>Група 355 - Усього</t>
        </is>
      </c>
      <c r="G325" s="116" t="n"/>
      <c r="H325" s="116" t="n"/>
      <c r="I325" s="120" t="n"/>
      <c r="J325" s="121" t="n">
        <v>60703.67127</v>
      </c>
      <c r="K325" s="121" t="n">
        <v>60326.68548</v>
      </c>
      <c r="L325" s="121" t="n">
        <v>376.98579</v>
      </c>
      <c r="M325" s="121" t="n">
        <v>59890.07993</v>
      </c>
      <c r="N325" s="116" t="n"/>
      <c r="O325" s="121" t="n">
        <v>59889.40777</v>
      </c>
      <c r="P325" s="121" t="n">
        <v>0.67216</v>
      </c>
      <c r="Q325" s="121" t="n">
        <v>2111.27566</v>
      </c>
      <c r="R325" s="121" t="n">
        <v>1734.96203</v>
      </c>
      <c r="S325" s="122" t="n">
        <v>376.31363</v>
      </c>
      <c r="T325" s="110" t="n"/>
    </row>
    <row r="326" ht="13.5" customHeight="1" s="52">
      <c r="A326" s="104" t="n">
        <v>319</v>
      </c>
      <c r="B326" s="119" t="n"/>
      <c r="C326" s="119" t="n"/>
      <c r="D326" s="115" t="inlineStr">
        <is>
          <t>357</t>
        </is>
      </c>
      <c r="E326" s="116" t="n"/>
      <c r="F326" s="115" t="inlineStr">
        <is>
          <t>3570</t>
        </is>
      </c>
      <c r="G326" s="116" t="n"/>
      <c r="H326" s="115" t="inlineStr">
        <is>
          <t xml:space="preserve">Нараховані доходи за розрахунково-касове обслуговування </t>
        </is>
      </c>
      <c r="I326" s="115" t="inlineStr">
        <is>
          <t>А</t>
        </is>
      </c>
      <c r="J326" s="117" t="n">
        <v>31020.78276</v>
      </c>
      <c r="K326" s="117" t="n">
        <v>31020.78276</v>
      </c>
      <c r="L326" s="117" t="n">
        <v>0</v>
      </c>
      <c r="M326" s="117" t="n">
        <v>31752.06806</v>
      </c>
      <c r="N326" s="116" t="n"/>
      <c r="O326" s="117" t="n">
        <v>31752.06806</v>
      </c>
      <c r="P326" s="117" t="n">
        <v>0</v>
      </c>
      <c r="Q326" s="117" t="n">
        <v>20070.14553</v>
      </c>
      <c r="R326" s="117" t="n">
        <v>20070.14553</v>
      </c>
      <c r="S326" s="118" t="n">
        <v>0</v>
      </c>
      <c r="T326" s="110" t="n"/>
    </row>
    <row r="327" ht="13.5" customHeight="1" s="52">
      <c r="A327" s="104" t="n">
        <v>320</v>
      </c>
      <c r="B327" s="119" t="n"/>
      <c r="C327" s="119" t="n"/>
      <c r="D327" s="119" t="n"/>
      <c r="F327" s="115" t="inlineStr">
        <is>
          <t>3578</t>
        </is>
      </c>
      <c r="G327" s="116" t="n"/>
      <c r="H327" s="115" t="inlineStr">
        <is>
          <t xml:space="preserve">Інші нараховані доходи </t>
        </is>
      </c>
      <c r="I327" s="115" t="inlineStr">
        <is>
          <t>А</t>
        </is>
      </c>
      <c r="J327" s="117" t="n">
        <v>58892.87682</v>
      </c>
      <c r="K327" s="117" t="n">
        <v>58892.87682</v>
      </c>
      <c r="L327" s="117" t="n">
        <v>0</v>
      </c>
      <c r="M327" s="117" t="n">
        <v>41234.10728</v>
      </c>
      <c r="N327" s="116" t="n"/>
      <c r="O327" s="117" t="n">
        <v>41234.10728</v>
      </c>
      <c r="P327" s="117" t="n">
        <v>0</v>
      </c>
      <c r="Q327" s="117" t="n">
        <v>105168.29585</v>
      </c>
      <c r="R327" s="117" t="n">
        <v>105168.29585</v>
      </c>
      <c r="S327" s="118" t="n">
        <v>0</v>
      </c>
      <c r="T327" s="110" t="n"/>
    </row>
    <row r="328" ht="14.25" customHeight="1" s="52">
      <c r="A328" s="104" t="n">
        <v>321</v>
      </c>
      <c r="B328" s="119" t="n"/>
      <c r="C328" s="119" t="n"/>
      <c r="D328" s="119" t="n"/>
      <c r="F328" s="120" t="inlineStr">
        <is>
          <t>Група 357 - Усього</t>
        </is>
      </c>
      <c r="G328" s="116" t="n"/>
      <c r="H328" s="116" t="n"/>
      <c r="I328" s="120" t="n"/>
      <c r="J328" s="121" t="n">
        <v>89913.65958000001</v>
      </c>
      <c r="K328" s="121" t="n">
        <v>89913.65958000001</v>
      </c>
      <c r="L328" s="121" t="n">
        <v>0</v>
      </c>
      <c r="M328" s="121" t="n">
        <v>72986.17534</v>
      </c>
      <c r="N328" s="116" t="n"/>
      <c r="O328" s="121" t="n">
        <v>72986.17534</v>
      </c>
      <c r="P328" s="121" t="n">
        <v>0</v>
      </c>
      <c r="Q328" s="121" t="n">
        <v>125238.44138</v>
      </c>
      <c r="R328" s="121" t="n">
        <v>125238.44138</v>
      </c>
      <c r="S328" s="122" t="n">
        <v>0</v>
      </c>
      <c r="T328" s="110" t="n"/>
    </row>
    <row r="329" ht="13.5" customHeight="1" s="52">
      <c r="A329" s="104" t="n">
        <v>322</v>
      </c>
      <c r="B329" s="119" t="n"/>
      <c r="C329" s="119" t="n"/>
      <c r="D329" s="115" t="inlineStr">
        <is>
          <t>359</t>
        </is>
      </c>
      <c r="E329" s="116" t="n"/>
      <c r="F329" s="115" t="inlineStr">
        <is>
          <t>3590</t>
        </is>
      </c>
      <c r="G329" s="116" t="n"/>
      <c r="H329" s="115" t="inlineStr">
        <is>
          <t xml:space="preserve">Резерви під нефінансову дебіторську заборгованість за операціями банку </t>
        </is>
      </c>
      <c r="I329" s="115" t="inlineStr">
        <is>
          <t>П</t>
        </is>
      </c>
      <c r="J329" s="117" t="n">
        <v>6769.49394</v>
      </c>
      <c r="K329" s="117" t="n">
        <v>6769.49394</v>
      </c>
      <c r="L329" s="117" t="n">
        <v>0</v>
      </c>
      <c r="M329" s="117" t="n">
        <v>3021.54418</v>
      </c>
      <c r="N329" s="116" t="n"/>
      <c r="O329" s="117" t="n">
        <v>3021.54418</v>
      </c>
      <c r="P329" s="117" t="n">
        <v>0</v>
      </c>
      <c r="Q329" s="117" t="n">
        <v>-32071.33078</v>
      </c>
      <c r="R329" s="117" t="n">
        <v>-32071.33078</v>
      </c>
      <c r="S329" s="118" t="n">
        <v>0</v>
      </c>
      <c r="T329" s="110" t="n"/>
    </row>
    <row r="330" ht="13.5" customHeight="1" s="52">
      <c r="A330" s="104" t="n">
        <v>323</v>
      </c>
      <c r="B330" s="119" t="n"/>
      <c r="C330" s="119" t="n"/>
      <c r="D330" s="119" t="n"/>
      <c r="F330" s="115" t="inlineStr">
        <is>
          <t>3599</t>
        </is>
      </c>
      <c r="G330" s="116" t="n"/>
      <c r="H330" s="115" t="inlineStr">
        <is>
          <t xml:space="preserve">Резерви під фінансову дебіторську заборгованість за операціями банку </t>
        </is>
      </c>
      <c r="I330" s="115" t="inlineStr">
        <is>
          <t>П</t>
        </is>
      </c>
      <c r="J330" s="117" t="n">
        <v>1640.62293</v>
      </c>
      <c r="K330" s="117" t="n">
        <v>1640.62293</v>
      </c>
      <c r="L330" s="117" t="n">
        <v>0</v>
      </c>
      <c r="M330" s="117" t="n">
        <v>3443.94039</v>
      </c>
      <c r="N330" s="116" t="n"/>
      <c r="O330" s="117" t="n">
        <v>3443.94039</v>
      </c>
      <c r="P330" s="117" t="n">
        <v>0</v>
      </c>
      <c r="Q330" s="117" t="n">
        <v>-43007.15321</v>
      </c>
      <c r="R330" s="117" t="n">
        <v>-43007.15321</v>
      </c>
      <c r="S330" s="118" t="n">
        <v>0</v>
      </c>
      <c r="T330" s="110" t="n"/>
    </row>
    <row r="331" ht="13.5" customHeight="1" s="52">
      <c r="A331" s="104" t="n">
        <v>324</v>
      </c>
      <c r="B331" s="119" t="n"/>
      <c r="C331" s="119" t="n"/>
      <c r="D331" s="119" t="n"/>
      <c r="F331" s="120" t="inlineStr">
        <is>
          <t>Група 359 - Усього</t>
        </is>
      </c>
      <c r="G331" s="116" t="n"/>
      <c r="H331" s="116" t="n"/>
      <c r="I331" s="120" t="n"/>
      <c r="J331" s="121" t="n">
        <v>8410.11687</v>
      </c>
      <c r="K331" s="121" t="n">
        <v>8410.11687</v>
      </c>
      <c r="L331" s="121" t="n">
        <v>0</v>
      </c>
      <c r="M331" s="121" t="n">
        <v>6465.48457</v>
      </c>
      <c r="N331" s="116" t="n"/>
      <c r="O331" s="121" t="n">
        <v>6465.48457</v>
      </c>
      <c r="P331" s="121" t="n">
        <v>0</v>
      </c>
      <c r="Q331" s="121" t="n">
        <v>-75078.48398999999</v>
      </c>
      <c r="R331" s="121" t="n">
        <v>-75078.48398999999</v>
      </c>
      <c r="S331" s="122" t="n">
        <v>0</v>
      </c>
      <c r="T331" s="110" t="n"/>
    </row>
    <row r="332" ht="18" customHeight="1" s="52">
      <c r="A332" s="104" t="n">
        <v>325</v>
      </c>
      <c r="B332" s="119" t="n"/>
      <c r="C332" s="119" t="n"/>
      <c r="D332" s="120" t="inlineStr">
        <is>
          <t>Розділ 35 - Усього</t>
        </is>
      </c>
      <c r="E332" s="116" t="n"/>
      <c r="F332" s="120" t="n"/>
      <c r="G332" s="116" t="n"/>
      <c r="H332" s="116" t="n"/>
      <c r="I332" s="120" t="n"/>
      <c r="J332" s="121" t="n">
        <v>82886912.5323</v>
      </c>
      <c r="K332" s="121" t="n">
        <v>37053165.25441</v>
      </c>
      <c r="L332" s="121" t="n">
        <v>45833747.27789</v>
      </c>
      <c r="M332" s="121" t="n">
        <v>82882607.82696</v>
      </c>
      <c r="N332" s="116" t="n"/>
      <c r="O332" s="121" t="n">
        <v>37049199.76514</v>
      </c>
      <c r="P332" s="121" t="n">
        <v>45833408.06182</v>
      </c>
      <c r="Q332" s="121" t="n">
        <v>1935229.99434</v>
      </c>
      <c r="R332" s="121" t="n">
        <v>1934540.97814</v>
      </c>
      <c r="S332" s="122" t="n">
        <v>689.0162</v>
      </c>
      <c r="T332" s="110" t="n"/>
    </row>
    <row r="333" ht="14.25" customHeight="1" s="52">
      <c r="A333" s="104" t="n">
        <v>326</v>
      </c>
      <c r="B333" s="119" t="n"/>
      <c r="C333" s="115" t="inlineStr">
        <is>
          <t>37</t>
        </is>
      </c>
      <c r="D333" s="115" t="inlineStr">
        <is>
          <t>370</t>
        </is>
      </c>
      <c r="E333" s="116" t="n"/>
      <c r="F333" s="115" t="inlineStr">
        <is>
          <t>3705</t>
        </is>
      </c>
      <c r="G333" s="116" t="n"/>
      <c r="H333" s="115" t="inlineStr">
        <is>
          <t>Клірингові рахунки за розрахунками платіжними картками</t>
        </is>
      </c>
      <c r="I333" s="115" t="inlineStr">
        <is>
          <t>А</t>
        </is>
      </c>
      <c r="J333" s="117" t="n">
        <v>66943899.15389</v>
      </c>
      <c r="K333" s="117" t="n">
        <v>66943899.15389</v>
      </c>
      <c r="L333" s="117" t="n">
        <v>0</v>
      </c>
      <c r="M333" s="117" t="n">
        <v>66943899.15389</v>
      </c>
      <c r="N333" s="116" t="n"/>
      <c r="O333" s="117" t="n">
        <v>66943899.15389</v>
      </c>
      <c r="P333" s="117" t="n">
        <v>0</v>
      </c>
      <c r="Q333" s="117" t="n">
        <v>0</v>
      </c>
      <c r="R333" s="117" t="n">
        <v>0</v>
      </c>
      <c r="S333" s="118" t="n">
        <v>0</v>
      </c>
      <c r="T333" s="110" t="n"/>
    </row>
    <row r="334" ht="13.5" customHeight="1" s="52">
      <c r="A334" s="104" t="n">
        <v>327</v>
      </c>
      <c r="B334" s="119" t="n"/>
      <c r="C334" s="119" t="n"/>
      <c r="D334" s="119" t="n"/>
      <c r="F334" s="115" t="inlineStr">
        <is>
          <t>3706</t>
        </is>
      </c>
      <c r="G334" s="116" t="n"/>
      <c r="H334" s="115" t="inlineStr">
        <is>
          <t>Клірингові рахунки за іншими розрахунками</t>
        </is>
      </c>
      <c r="I334" s="115" t="inlineStr">
        <is>
          <t>А</t>
        </is>
      </c>
      <c r="J334" s="117" t="n">
        <v>0</v>
      </c>
      <c r="K334" s="117" t="n">
        <v>0</v>
      </c>
      <c r="L334" s="117" t="n">
        <v>0</v>
      </c>
      <c r="M334" s="117" t="n">
        <v>0</v>
      </c>
      <c r="N334" s="116" t="n"/>
      <c r="O334" s="117" t="n">
        <v>0</v>
      </c>
      <c r="P334" s="117" t="n">
        <v>0</v>
      </c>
      <c r="Q334" s="117" t="n">
        <v>0</v>
      </c>
      <c r="R334" s="117" t="n">
        <v>0</v>
      </c>
      <c r="S334" s="118" t="n">
        <v>0</v>
      </c>
      <c r="T334" s="110" t="n"/>
    </row>
    <row r="335" ht="13.5" customHeight="1" s="52">
      <c r="A335" s="104" t="n">
        <v>328</v>
      </c>
      <c r="B335" s="119" t="n"/>
      <c r="C335" s="119" t="n"/>
      <c r="D335" s="119" t="n"/>
      <c r="F335" s="120" t="inlineStr">
        <is>
          <t>Група 370 - Усього</t>
        </is>
      </c>
      <c r="G335" s="116" t="n"/>
      <c r="H335" s="116" t="n"/>
      <c r="I335" s="120" t="n"/>
      <c r="J335" s="121" t="n">
        <v>66943899.15389</v>
      </c>
      <c r="K335" s="121" t="n">
        <v>66943899.15389</v>
      </c>
      <c r="L335" s="121" t="n">
        <v>0</v>
      </c>
      <c r="M335" s="121" t="n">
        <v>66943899.15389</v>
      </c>
      <c r="N335" s="116" t="n"/>
      <c r="O335" s="121" t="n">
        <v>66943899.15389</v>
      </c>
      <c r="P335" s="121" t="n">
        <v>0</v>
      </c>
      <c r="Q335" s="121" t="n">
        <v>0</v>
      </c>
      <c r="R335" s="121" t="n">
        <v>0</v>
      </c>
      <c r="S335" s="122" t="n">
        <v>0</v>
      </c>
      <c r="T335" s="110" t="n"/>
    </row>
    <row r="336" ht="13.5" customHeight="1" s="52">
      <c r="A336" s="104" t="n">
        <v>329</v>
      </c>
      <c r="B336" s="119" t="n"/>
      <c r="C336" s="119" t="n"/>
      <c r="D336" s="115" t="inlineStr">
        <is>
          <t>371</t>
        </is>
      </c>
      <c r="E336" s="116" t="n"/>
      <c r="F336" s="115" t="inlineStr">
        <is>
          <t>3710</t>
        </is>
      </c>
      <c r="G336" s="116" t="n"/>
      <c r="H336" s="115" t="inlineStr">
        <is>
          <t>Дебетові суми до з'ясування</t>
        </is>
      </c>
      <c r="I336" s="115" t="inlineStr">
        <is>
          <t>А</t>
        </is>
      </c>
      <c r="J336" s="117" t="n">
        <v>0</v>
      </c>
      <c r="K336" s="117" t="n">
        <v>0</v>
      </c>
      <c r="L336" s="117" t="n">
        <v>0</v>
      </c>
      <c r="M336" s="117" t="n">
        <v>0</v>
      </c>
      <c r="N336" s="116" t="n"/>
      <c r="O336" s="117" t="n">
        <v>0</v>
      </c>
      <c r="P336" s="117" t="n">
        <v>0</v>
      </c>
      <c r="Q336" s="117" t="n">
        <v>0</v>
      </c>
      <c r="R336" s="117" t="n">
        <v>0</v>
      </c>
      <c r="S336" s="118" t="n">
        <v>0</v>
      </c>
      <c r="T336" s="110" t="n"/>
    </row>
    <row r="337" ht="13.5" customHeight="1" s="52">
      <c r="A337" s="104" t="n">
        <v>330</v>
      </c>
      <c r="B337" s="119" t="n"/>
      <c r="C337" s="119" t="n"/>
      <c r="D337" s="119" t="n"/>
      <c r="F337" s="120" t="inlineStr">
        <is>
          <t>Група 371 - Усього</t>
        </is>
      </c>
      <c r="G337" s="116" t="n"/>
      <c r="H337" s="116" t="n"/>
      <c r="I337" s="120" t="n"/>
      <c r="J337" s="121" t="n">
        <v>0</v>
      </c>
      <c r="K337" s="121" t="n">
        <v>0</v>
      </c>
      <c r="L337" s="121" t="n">
        <v>0</v>
      </c>
      <c r="M337" s="121" t="n">
        <v>0</v>
      </c>
      <c r="N337" s="116" t="n"/>
      <c r="O337" s="121" t="n">
        <v>0</v>
      </c>
      <c r="P337" s="121" t="n">
        <v>0</v>
      </c>
      <c r="Q337" s="121" t="n">
        <v>0</v>
      </c>
      <c r="R337" s="121" t="n">
        <v>0</v>
      </c>
      <c r="S337" s="122" t="n">
        <v>0</v>
      </c>
      <c r="T337" s="110" t="n"/>
    </row>
    <row r="338" ht="14.25" customHeight="1" s="52">
      <c r="A338" s="104" t="n">
        <v>331</v>
      </c>
      <c r="B338" s="119" t="n"/>
      <c r="C338" s="119" t="n"/>
      <c r="D338" s="115" t="inlineStr">
        <is>
          <t>373</t>
        </is>
      </c>
      <c r="E338" s="116" t="n"/>
      <c r="F338" s="115" t="inlineStr">
        <is>
          <t>3739</t>
        </is>
      </c>
      <c r="G338" s="116" t="n"/>
      <c r="H338" s="115" t="inlineStr">
        <is>
          <t>Транзитний рахунок за іншими розрахунками</t>
        </is>
      </c>
      <c r="I338" s="115" t="inlineStr">
        <is>
          <t>А</t>
        </is>
      </c>
      <c r="J338" s="117" t="n">
        <v>948114793.89429</v>
      </c>
      <c r="K338" s="117" t="n">
        <v>663080304.61103</v>
      </c>
      <c r="L338" s="117" t="n">
        <v>285034489.28326</v>
      </c>
      <c r="M338" s="117" t="n">
        <v>948424405.7092299</v>
      </c>
      <c r="N338" s="116" t="n"/>
      <c r="O338" s="117" t="n">
        <v>663078606.54988</v>
      </c>
      <c r="P338" s="117" t="n">
        <v>285345799.15935</v>
      </c>
      <c r="Q338" s="117" t="n">
        <v>0</v>
      </c>
      <c r="R338" s="117" t="n">
        <v>0</v>
      </c>
      <c r="S338" s="118" t="n">
        <v>0</v>
      </c>
      <c r="T338" s="110" t="n"/>
    </row>
    <row r="339" ht="13.5" customHeight="1" s="52">
      <c r="A339" s="104" t="n">
        <v>332</v>
      </c>
      <c r="B339" s="119" t="n"/>
      <c r="C339" s="119" t="n"/>
      <c r="D339" s="119" t="n"/>
      <c r="F339" s="120" t="inlineStr">
        <is>
          <t>Група 373 - Усього</t>
        </is>
      </c>
      <c r="G339" s="116" t="n"/>
      <c r="H339" s="116" t="n"/>
      <c r="I339" s="120" t="n"/>
      <c r="J339" s="121" t="n">
        <v>948114793.89429</v>
      </c>
      <c r="K339" s="121" t="n">
        <v>663080304.61103</v>
      </c>
      <c r="L339" s="121" t="n">
        <v>285034489.28326</v>
      </c>
      <c r="M339" s="121" t="n">
        <v>948424405.7092299</v>
      </c>
      <c r="N339" s="116" t="n"/>
      <c r="O339" s="121" t="n">
        <v>663078606.54988</v>
      </c>
      <c r="P339" s="121" t="n">
        <v>285345799.15935</v>
      </c>
      <c r="Q339" s="121" t="n">
        <v>0</v>
      </c>
      <c r="R339" s="121" t="n">
        <v>0</v>
      </c>
      <c r="S339" s="122" t="n">
        <v>0</v>
      </c>
      <c r="T339" s="110" t="n"/>
    </row>
    <row r="340" ht="20.25" customHeight="1" s="52">
      <c r="A340" s="104" t="n">
        <v>333</v>
      </c>
      <c r="B340" s="119" t="n"/>
      <c r="C340" s="119" t="n"/>
      <c r="D340" s="120" t="inlineStr">
        <is>
          <t>Розділ 37 - Усього</t>
        </is>
      </c>
      <c r="E340" s="116" t="n"/>
      <c r="F340" s="120" t="n"/>
      <c r="G340" s="116" t="n"/>
      <c r="H340" s="116" t="n"/>
      <c r="I340" s="120" t="n"/>
      <c r="J340" s="121" t="n">
        <v>1015058693.04818</v>
      </c>
      <c r="K340" s="121" t="n">
        <v>730024203.76492</v>
      </c>
      <c r="L340" s="121" t="n">
        <v>285034489.28326</v>
      </c>
      <c r="M340" s="121" t="n">
        <v>1015368304.86312</v>
      </c>
      <c r="N340" s="116" t="n"/>
      <c r="O340" s="121" t="n">
        <v>730022505.70377</v>
      </c>
      <c r="P340" s="121" t="n">
        <v>285345799.15935</v>
      </c>
      <c r="Q340" s="121" t="n">
        <v>0</v>
      </c>
      <c r="R340" s="121" t="n">
        <v>0</v>
      </c>
      <c r="S340" s="122" t="n">
        <v>0</v>
      </c>
      <c r="T340" s="110" t="n"/>
    </row>
    <row r="341" ht="13.5" customHeight="1" s="52">
      <c r="A341" s="104" t="n">
        <v>334</v>
      </c>
      <c r="B341" s="119" t="n"/>
      <c r="C341" s="115" t="inlineStr">
        <is>
          <t>38</t>
        </is>
      </c>
      <c r="D341" s="115" t="inlineStr">
        <is>
          <t>380</t>
        </is>
      </c>
      <c r="E341" s="116" t="n"/>
      <c r="F341" s="115" t="inlineStr">
        <is>
          <t>3800</t>
        </is>
      </c>
      <c r="G341" s="116" t="n"/>
      <c r="H341" s="115" t="inlineStr">
        <is>
          <t>Позиція банку щодо іноземної валюти та банківських металів</t>
        </is>
      </c>
      <c r="I341" s="115" t="inlineStr">
        <is>
          <t>А</t>
        </is>
      </c>
      <c r="J341" s="117" t="n">
        <v>84374055.1859</v>
      </c>
      <c r="K341" s="117" t="n">
        <v>0</v>
      </c>
      <c r="L341" s="117" t="n">
        <v>84374055.1859</v>
      </c>
      <c r="M341" s="117" t="n">
        <v>84629281.70254</v>
      </c>
      <c r="N341" s="116" t="n"/>
      <c r="O341" s="117" t="n">
        <v>0</v>
      </c>
      <c r="P341" s="117" t="n">
        <v>84629281.70254</v>
      </c>
      <c r="Q341" s="117" t="n">
        <v>20931472.74973</v>
      </c>
      <c r="R341" s="117" t="n">
        <v>0</v>
      </c>
      <c r="S341" s="118" t="n">
        <v>20931472.74973</v>
      </c>
      <c r="T341" s="110" t="n"/>
    </row>
    <row r="342" ht="13.5" customHeight="1" s="52">
      <c r="A342" s="104" t="n">
        <v>335</v>
      </c>
      <c r="B342" s="119" t="n"/>
      <c r="C342" s="119" t="n"/>
      <c r="D342" s="119" t="n"/>
      <c r="F342" s="115" t="inlineStr">
        <is>
          <t>3801</t>
        </is>
      </c>
      <c r="G342" s="116" t="n"/>
      <c r="H342" s="115" t="inlineStr">
        <is>
          <t>Еквівалент позиції банку щодо іноземної валюти та банківських металів</t>
        </is>
      </c>
      <c r="I342" s="115" t="inlineStr">
        <is>
          <t>П</t>
        </is>
      </c>
      <c r="J342" s="117" t="n">
        <v>0</v>
      </c>
      <c r="K342" s="117" t="n">
        <v>0</v>
      </c>
      <c r="L342" s="117" t="n">
        <v>0</v>
      </c>
      <c r="M342" s="117" t="n">
        <v>0</v>
      </c>
      <c r="N342" s="116" t="n"/>
      <c r="O342" s="117" t="n">
        <v>0</v>
      </c>
      <c r="P342" s="117" t="n">
        <v>0</v>
      </c>
      <c r="Q342" s="117" t="n">
        <v>-20931472.74973</v>
      </c>
      <c r="R342" s="117" t="n">
        <v>-20931472.74973</v>
      </c>
      <c r="S342" s="118" t="n">
        <v>0</v>
      </c>
      <c r="T342" s="110" t="n"/>
    </row>
    <row r="343" ht="14.25" customHeight="1" s="52">
      <c r="A343" s="104" t="n">
        <v>336</v>
      </c>
      <c r="B343" s="119" t="n"/>
      <c r="C343" s="119" t="n"/>
      <c r="D343" s="119" t="n"/>
      <c r="F343" s="120" t="inlineStr">
        <is>
          <t>Група 380 - Усього</t>
        </is>
      </c>
      <c r="G343" s="116" t="n"/>
      <c r="H343" s="116" t="n"/>
      <c r="I343" s="120" t="n"/>
      <c r="J343" s="121" t="n">
        <v>84374055.1859</v>
      </c>
      <c r="K343" s="121" t="n">
        <v>0</v>
      </c>
      <c r="L343" s="121" t="n">
        <v>84374055.1859</v>
      </c>
      <c r="M343" s="121" t="n">
        <v>84629281.70254</v>
      </c>
      <c r="N343" s="116" t="n"/>
      <c r="O343" s="121" t="n">
        <v>0</v>
      </c>
      <c r="P343" s="121" t="n">
        <v>84629281.70254</v>
      </c>
      <c r="Q343" s="121" t="n">
        <v>0</v>
      </c>
      <c r="R343" s="121" t="n">
        <v>-20931472.74973</v>
      </c>
      <c r="S343" s="122" t="n">
        <v>20931472.74973</v>
      </c>
      <c r="T343" s="110" t="n"/>
    </row>
    <row r="344" ht="18" customHeight="1" s="52">
      <c r="A344" s="104" t="n">
        <v>337</v>
      </c>
      <c r="B344" s="119" t="n"/>
      <c r="C344" s="119" t="n"/>
      <c r="D344" s="120" t="inlineStr">
        <is>
          <t>Розділ 38 - Усього</t>
        </is>
      </c>
      <c r="E344" s="116" t="n"/>
      <c r="F344" s="120" t="n"/>
      <c r="G344" s="116" t="n"/>
      <c r="H344" s="116" t="n"/>
      <c r="I344" s="120" t="n"/>
      <c r="J344" s="121" t="n">
        <v>84374055.1859</v>
      </c>
      <c r="K344" s="121" t="n">
        <v>0</v>
      </c>
      <c r="L344" s="121" t="n">
        <v>84374055.1859</v>
      </c>
      <c r="M344" s="121" t="n">
        <v>84629281.70254</v>
      </c>
      <c r="N344" s="116" t="n"/>
      <c r="O344" s="121" t="n">
        <v>0</v>
      </c>
      <c r="P344" s="121" t="n">
        <v>84629281.70254</v>
      </c>
      <c r="Q344" s="121" t="n">
        <v>0</v>
      </c>
      <c r="R344" s="121" t="n">
        <v>-20931472.74973</v>
      </c>
      <c r="S344" s="122" t="n">
        <v>20931472.74973</v>
      </c>
      <c r="T344" s="110" t="n"/>
    </row>
    <row r="345" ht="13.5" customHeight="1" s="52">
      <c r="A345" s="104" t="n">
        <v>338</v>
      </c>
      <c r="B345" s="119" t="n"/>
      <c r="C345" s="115" t="inlineStr">
        <is>
          <t>39</t>
        </is>
      </c>
      <c r="D345" s="115" t="inlineStr">
        <is>
          <t>390</t>
        </is>
      </c>
      <c r="E345" s="116" t="n"/>
      <c r="F345" s="115" t="inlineStr">
        <is>
          <t>3900</t>
        </is>
      </c>
      <c r="G345" s="116" t="n"/>
      <c r="H345" s="115" t="inlineStr">
        <is>
          <t>Рахунки філій, що відкриті в банку</t>
        </is>
      </c>
      <c r="I345" s="115" t="inlineStr">
        <is>
          <t>А</t>
        </is>
      </c>
      <c r="J345" s="117" t="n">
        <v>0</v>
      </c>
      <c r="K345" s="117" t="n">
        <v>0</v>
      </c>
      <c r="L345" s="117" t="n">
        <v>0</v>
      </c>
      <c r="M345" s="117" t="n">
        <v>0</v>
      </c>
      <c r="N345" s="116" t="n"/>
      <c r="O345" s="117" t="n">
        <v>0</v>
      </c>
      <c r="P345" s="117" t="n">
        <v>0</v>
      </c>
      <c r="Q345" s="117" t="n">
        <v>0</v>
      </c>
      <c r="R345" s="117" t="n">
        <v>0</v>
      </c>
      <c r="S345" s="118" t="n">
        <v>0</v>
      </c>
      <c r="T345" s="110" t="n"/>
    </row>
    <row r="346" ht="13.5" customHeight="1" s="52">
      <c r="A346" s="104" t="n">
        <v>339</v>
      </c>
      <c r="B346" s="119" t="n"/>
      <c r="C346" s="119" t="n"/>
      <c r="D346" s="119" t="n"/>
      <c r="F346" s="115" t="inlineStr">
        <is>
          <t>3901</t>
        </is>
      </c>
      <c r="G346" s="116" t="n"/>
      <c r="H346" s="115" t="inlineStr">
        <is>
          <t>Рахунки, що відкриті для філій банку</t>
        </is>
      </c>
      <c r="I346" s="115" t="inlineStr">
        <is>
          <t>А</t>
        </is>
      </c>
      <c r="J346" s="117" t="n">
        <v>0</v>
      </c>
      <c r="K346" s="117" t="n">
        <v>0</v>
      </c>
      <c r="L346" s="117" t="n">
        <v>0</v>
      </c>
      <c r="M346" s="117" t="n">
        <v>0</v>
      </c>
      <c r="N346" s="116" t="n"/>
      <c r="O346" s="117" t="n">
        <v>0</v>
      </c>
      <c r="P346" s="117" t="n">
        <v>0</v>
      </c>
      <c r="Q346" s="117" t="n">
        <v>0</v>
      </c>
      <c r="R346" s="117" t="n">
        <v>0</v>
      </c>
      <c r="S346" s="118" t="n">
        <v>0</v>
      </c>
      <c r="T346" s="110" t="n"/>
    </row>
    <row r="347" ht="13.5" customHeight="1" s="52">
      <c r="A347" s="104" t="n">
        <v>340</v>
      </c>
      <c r="B347" s="119" t="n"/>
      <c r="C347" s="119" t="n"/>
      <c r="D347" s="119" t="n"/>
      <c r="F347" s="115" t="inlineStr">
        <is>
          <t>3902</t>
        </is>
      </c>
      <c r="G347" s="116" t="n"/>
      <c r="H347" s="115" t="inlineStr">
        <is>
          <t>Розрахунки за коштами, що надані філіям банку</t>
        </is>
      </c>
      <c r="I347" s="115" t="inlineStr">
        <is>
          <t>А</t>
        </is>
      </c>
      <c r="J347" s="117" t="n">
        <v>0</v>
      </c>
      <c r="K347" s="117" t="n">
        <v>0</v>
      </c>
      <c r="L347" s="117" t="n">
        <v>0</v>
      </c>
      <c r="M347" s="117" t="n">
        <v>0</v>
      </c>
      <c r="N347" s="116" t="n"/>
      <c r="O347" s="117" t="n">
        <v>0</v>
      </c>
      <c r="P347" s="117" t="n">
        <v>0</v>
      </c>
      <c r="Q347" s="117" t="n">
        <v>0</v>
      </c>
      <c r="R347" s="117" t="n">
        <v>0</v>
      </c>
      <c r="S347" s="118" t="n">
        <v>0</v>
      </c>
      <c r="T347" s="110" t="n"/>
    </row>
    <row r="348" ht="14.25" customHeight="1" s="52">
      <c r="A348" s="104" t="n">
        <v>341</v>
      </c>
      <c r="B348" s="119" t="n"/>
      <c r="C348" s="119" t="n"/>
      <c r="D348" s="119" t="n"/>
      <c r="F348" s="115" t="inlineStr">
        <is>
          <t>3904</t>
        </is>
      </c>
      <c r="G348" s="116" t="n"/>
      <c r="H348" s="115" t="inlineStr">
        <is>
          <t>Нараховані доходи за коштами, що надані філіям банку</t>
        </is>
      </c>
      <c r="I348" s="115" t="inlineStr">
        <is>
          <t>А</t>
        </is>
      </c>
      <c r="J348" s="117" t="n">
        <v>0</v>
      </c>
      <c r="K348" s="117" t="n">
        <v>0</v>
      </c>
      <c r="L348" s="117" t="n">
        <v>0</v>
      </c>
      <c r="M348" s="117" t="n">
        <v>0</v>
      </c>
      <c r="N348" s="116" t="n"/>
      <c r="O348" s="117" t="n">
        <v>0</v>
      </c>
      <c r="P348" s="117" t="n">
        <v>0</v>
      </c>
      <c r="Q348" s="117" t="n">
        <v>0</v>
      </c>
      <c r="R348" s="117" t="n">
        <v>0</v>
      </c>
      <c r="S348" s="118" t="n">
        <v>0</v>
      </c>
      <c r="T348" s="110" t="n"/>
    </row>
    <row r="349" ht="13.5" customHeight="1" s="52">
      <c r="A349" s="104" t="n">
        <v>342</v>
      </c>
      <c r="B349" s="119" t="n"/>
      <c r="C349" s="119" t="n"/>
      <c r="D349" s="119" t="n"/>
      <c r="F349" s="115" t="inlineStr">
        <is>
          <t>3906</t>
        </is>
      </c>
      <c r="G349" s="116" t="n"/>
      <c r="H349" s="115" t="inlineStr">
        <is>
          <t>Дебіторська заборгованість за операціями з готівкою між філіями банку</t>
        </is>
      </c>
      <c r="I349" s="115" t="inlineStr">
        <is>
          <t>А</t>
        </is>
      </c>
      <c r="J349" s="117" t="n">
        <v>0</v>
      </c>
      <c r="K349" s="117" t="n">
        <v>0</v>
      </c>
      <c r="L349" s="117" t="n">
        <v>0</v>
      </c>
      <c r="M349" s="117" t="n">
        <v>0</v>
      </c>
      <c r="N349" s="116" t="n"/>
      <c r="O349" s="117" t="n">
        <v>0</v>
      </c>
      <c r="P349" s="117" t="n">
        <v>0</v>
      </c>
      <c r="Q349" s="117" t="n">
        <v>0</v>
      </c>
      <c r="R349" s="117" t="n">
        <v>0</v>
      </c>
      <c r="S349" s="118" t="n">
        <v>0</v>
      </c>
      <c r="T349" s="110" t="n"/>
    </row>
    <row r="350" ht="13.5" customHeight="1" s="52">
      <c r="A350" s="104" t="n">
        <v>343</v>
      </c>
      <c r="B350" s="119" t="n"/>
      <c r="C350" s="119" t="n"/>
      <c r="D350" s="119" t="n"/>
      <c r="F350" s="120" t="inlineStr">
        <is>
          <t>Група 390 - Усього</t>
        </is>
      </c>
      <c r="G350" s="116" t="n"/>
      <c r="H350" s="116" t="n"/>
      <c r="I350" s="120" t="n"/>
      <c r="J350" s="121" t="n">
        <v>0</v>
      </c>
      <c r="K350" s="121" t="n">
        <v>0</v>
      </c>
      <c r="L350" s="121" t="n">
        <v>0</v>
      </c>
      <c r="M350" s="121" t="n">
        <v>0</v>
      </c>
      <c r="N350" s="116" t="n"/>
      <c r="O350" s="121" t="n">
        <v>0</v>
      </c>
      <c r="P350" s="121" t="n">
        <v>0</v>
      </c>
      <c r="Q350" s="121" t="n">
        <v>0</v>
      </c>
      <c r="R350" s="121" t="n">
        <v>0</v>
      </c>
      <c r="S350" s="122" t="n">
        <v>0</v>
      </c>
      <c r="T350" s="110" t="n"/>
    </row>
    <row r="351" ht="18" customHeight="1" s="52">
      <c r="A351" s="104" t="n">
        <v>344</v>
      </c>
      <c r="B351" s="119" t="n"/>
      <c r="C351" s="119" t="n"/>
      <c r="D351" s="120" t="inlineStr">
        <is>
          <t>Розділ 39 - Усього</t>
        </is>
      </c>
      <c r="E351" s="116" t="n"/>
      <c r="F351" s="120" t="n"/>
      <c r="G351" s="116" t="n"/>
      <c r="H351" s="116" t="n"/>
      <c r="I351" s="120" t="n"/>
      <c r="J351" s="121" t="n">
        <v>0</v>
      </c>
      <c r="K351" s="121" t="n">
        <v>0</v>
      </c>
      <c r="L351" s="121" t="n">
        <v>0</v>
      </c>
      <c r="M351" s="121" t="n">
        <v>0</v>
      </c>
      <c r="N351" s="116" t="n"/>
      <c r="O351" s="121" t="n">
        <v>0</v>
      </c>
      <c r="P351" s="121" t="n">
        <v>0</v>
      </c>
      <c r="Q351" s="121" t="n">
        <v>0</v>
      </c>
      <c r="R351" s="121" t="n">
        <v>0</v>
      </c>
      <c r="S351" s="122" t="n">
        <v>0</v>
      </c>
      <c r="T351" s="110" t="n"/>
    </row>
    <row r="352" ht="22.5" customHeight="1" s="52">
      <c r="A352" s="104" t="n">
        <v>345</v>
      </c>
      <c r="B352" s="119" t="n"/>
      <c r="C352" s="120" t="inlineStr">
        <is>
          <t xml:space="preserve">  Клас 3 - Усього</t>
        </is>
      </c>
      <c r="D352" s="120" t="n"/>
      <c r="E352" s="116" t="n"/>
      <c r="F352" s="120" t="n"/>
      <c r="G352" s="116" t="n"/>
      <c r="H352" s="116" t="n"/>
      <c r="I352" s="120" t="n"/>
      <c r="J352" s="121" t="n">
        <v>1189073298.12457</v>
      </c>
      <c r="K352" s="121" t="n">
        <v>767536452.69838</v>
      </c>
      <c r="L352" s="121" t="n">
        <v>421536845.42619</v>
      </c>
      <c r="M352" s="121" t="n">
        <v>1188355011.53619</v>
      </c>
      <c r="N352" s="116" t="n"/>
      <c r="O352" s="121" t="n">
        <v>767532255.80898</v>
      </c>
      <c r="P352" s="121" t="n">
        <v>420822755.72721</v>
      </c>
      <c r="Q352" s="121" t="n">
        <v>33133413.93409</v>
      </c>
      <c r="R352" s="121" t="n">
        <v>-18718861.57534</v>
      </c>
      <c r="S352" s="122" t="n">
        <v>51852275.50943</v>
      </c>
      <c r="T352" s="110" t="n"/>
    </row>
    <row r="353" ht="14.25" customHeight="1" s="52">
      <c r="A353" s="104" t="n">
        <v>346</v>
      </c>
      <c r="B353" s="115" t="inlineStr">
        <is>
          <t>Клас 4</t>
        </is>
      </c>
      <c r="C353" s="115" t="inlineStr">
        <is>
          <t>41</t>
        </is>
      </c>
      <c r="D353" s="115" t="inlineStr">
        <is>
          <t>410</t>
        </is>
      </c>
      <c r="E353" s="116" t="n"/>
      <c r="F353" s="115" t="inlineStr">
        <is>
          <t>4105</t>
        </is>
      </c>
      <c r="G353" s="116" t="n"/>
      <c r="H353" s="115" t="inlineStr">
        <is>
          <t>Інвестиції в інші асоційовані компанії</t>
        </is>
      </c>
      <c r="I353" s="115" t="inlineStr">
        <is>
          <t>А</t>
        </is>
      </c>
      <c r="J353" s="117" t="n">
        <v>0</v>
      </c>
      <c r="K353" s="117" t="n">
        <v>0</v>
      </c>
      <c r="L353" s="117" t="n">
        <v>0</v>
      </c>
      <c r="M353" s="117" t="n">
        <v>0</v>
      </c>
      <c r="N353" s="116" t="n"/>
      <c r="O353" s="117" t="n">
        <v>0</v>
      </c>
      <c r="P353" s="117" t="n">
        <v>0</v>
      </c>
      <c r="Q353" s="117" t="n">
        <v>0</v>
      </c>
      <c r="R353" s="117" t="n">
        <v>0</v>
      </c>
      <c r="S353" s="118" t="n">
        <v>0</v>
      </c>
      <c r="T353" s="110" t="n"/>
    </row>
    <row r="354" ht="13.5" customHeight="1" s="52">
      <c r="A354" s="104" t="n">
        <v>347</v>
      </c>
      <c r="B354" s="119" t="n"/>
      <c r="C354" s="119" t="n"/>
      <c r="D354" s="119" t="n"/>
      <c r="F354" s="120" t="inlineStr">
        <is>
          <t>Група 410 - Усього</t>
        </is>
      </c>
      <c r="G354" s="116" t="n"/>
      <c r="H354" s="116" t="n"/>
      <c r="I354" s="120" t="n"/>
      <c r="J354" s="121" t="n">
        <v>0</v>
      </c>
      <c r="K354" s="121" t="n">
        <v>0</v>
      </c>
      <c r="L354" s="121" t="n">
        <v>0</v>
      </c>
      <c r="M354" s="121" t="n">
        <v>0</v>
      </c>
      <c r="N354" s="116" t="n"/>
      <c r="O354" s="121" t="n">
        <v>0</v>
      </c>
      <c r="P354" s="121" t="n">
        <v>0</v>
      </c>
      <c r="Q354" s="121" t="n">
        <v>0</v>
      </c>
      <c r="R354" s="121" t="n">
        <v>0</v>
      </c>
      <c r="S354" s="122" t="n">
        <v>0</v>
      </c>
      <c r="T354" s="110" t="n"/>
    </row>
    <row r="355" ht="18" customHeight="1" s="52">
      <c r="A355" s="104" t="n">
        <v>348</v>
      </c>
      <c r="B355" s="119" t="n"/>
      <c r="C355" s="119" t="n"/>
      <c r="D355" s="120" t="inlineStr">
        <is>
          <t>Розділ 41 - Усього</t>
        </is>
      </c>
      <c r="E355" s="116" t="n"/>
      <c r="F355" s="120" t="n"/>
      <c r="G355" s="116" t="n"/>
      <c r="H355" s="116" t="n"/>
      <c r="I355" s="120" t="n"/>
      <c r="J355" s="121" t="n">
        <v>0</v>
      </c>
      <c r="K355" s="121" t="n">
        <v>0</v>
      </c>
      <c r="L355" s="121" t="n">
        <v>0</v>
      </c>
      <c r="M355" s="121" t="n">
        <v>0</v>
      </c>
      <c r="N355" s="116" t="n"/>
      <c r="O355" s="121" t="n">
        <v>0</v>
      </c>
      <c r="P355" s="121" t="n">
        <v>0</v>
      </c>
      <c r="Q355" s="121" t="n">
        <v>0</v>
      </c>
      <c r="R355" s="121" t="n">
        <v>0</v>
      </c>
      <c r="S355" s="122" t="n">
        <v>0</v>
      </c>
      <c r="T355" s="110" t="n"/>
    </row>
    <row r="356" ht="13.5" customHeight="1" s="52">
      <c r="A356" s="104" t="n">
        <v>349</v>
      </c>
      <c r="B356" s="119" t="n"/>
      <c r="C356" s="115" t="inlineStr">
        <is>
          <t>42</t>
        </is>
      </c>
      <c r="D356" s="115" t="inlineStr">
        <is>
          <t>420</t>
        </is>
      </c>
      <c r="E356" s="116" t="n"/>
      <c r="F356" s="115" t="inlineStr">
        <is>
          <t>4203</t>
        </is>
      </c>
      <c r="G356" s="116" t="n"/>
      <c r="H356" s="115" t="inlineStr">
        <is>
          <t>Інвестиції в дочірні небанківські фінансові установи</t>
        </is>
      </c>
      <c r="I356" s="115" t="inlineStr">
        <is>
          <t>А</t>
        </is>
      </c>
      <c r="J356" s="117" t="n">
        <v>0</v>
      </c>
      <c r="K356" s="117" t="n">
        <v>0</v>
      </c>
      <c r="L356" s="117" t="n">
        <v>0</v>
      </c>
      <c r="M356" s="117" t="n">
        <v>0</v>
      </c>
      <c r="N356" s="116" t="n"/>
      <c r="O356" s="117" t="n">
        <v>0</v>
      </c>
      <c r="P356" s="117" t="n">
        <v>0</v>
      </c>
      <c r="Q356" s="117" t="n">
        <v>0</v>
      </c>
      <c r="R356" s="117" t="n">
        <v>0</v>
      </c>
      <c r="S356" s="118" t="n">
        <v>0</v>
      </c>
      <c r="T356" s="110" t="n"/>
    </row>
    <row r="357" ht="13.5" customHeight="1" s="52">
      <c r="A357" s="104" t="n">
        <v>350</v>
      </c>
      <c r="B357" s="119" t="n"/>
      <c r="C357" s="119" t="n"/>
      <c r="D357" s="119" t="n"/>
      <c r="F357" s="115" t="inlineStr">
        <is>
          <t>4205</t>
        </is>
      </c>
      <c r="G357" s="116" t="n"/>
      <c r="H357" s="115" t="inlineStr">
        <is>
          <t>Інвестиції в інші дочірні компанії</t>
        </is>
      </c>
      <c r="I357" s="115" t="inlineStr">
        <is>
          <t>А</t>
        </is>
      </c>
      <c r="J357" s="117" t="n">
        <v>0</v>
      </c>
      <c r="K357" s="117" t="n">
        <v>0</v>
      </c>
      <c r="L357" s="117" t="n">
        <v>0</v>
      </c>
      <c r="M357" s="117" t="n">
        <v>0</v>
      </c>
      <c r="N357" s="116" t="n"/>
      <c r="O357" s="117" t="n">
        <v>0</v>
      </c>
      <c r="P357" s="117" t="n">
        <v>0</v>
      </c>
      <c r="Q357" s="117" t="n">
        <v>0</v>
      </c>
      <c r="R357" s="117" t="n">
        <v>0</v>
      </c>
      <c r="S357" s="118" t="n">
        <v>0</v>
      </c>
      <c r="T357" s="110" t="n"/>
    </row>
    <row r="358" ht="14.25" customHeight="1" s="52">
      <c r="A358" s="104" t="n">
        <v>351</v>
      </c>
      <c r="B358" s="119" t="n"/>
      <c r="C358" s="119" t="n"/>
      <c r="D358" s="119" t="n"/>
      <c r="F358" s="120" t="inlineStr">
        <is>
          <t>Група 420 - Усього</t>
        </is>
      </c>
      <c r="G358" s="116" t="n"/>
      <c r="H358" s="116" t="n"/>
      <c r="I358" s="120" t="n"/>
      <c r="J358" s="121" t="n">
        <v>0</v>
      </c>
      <c r="K358" s="121" t="n">
        <v>0</v>
      </c>
      <c r="L358" s="121" t="n">
        <v>0</v>
      </c>
      <c r="M358" s="121" t="n">
        <v>0</v>
      </c>
      <c r="N358" s="116" t="n"/>
      <c r="O358" s="121" t="n">
        <v>0</v>
      </c>
      <c r="P358" s="121" t="n">
        <v>0</v>
      </c>
      <c r="Q358" s="121" t="n">
        <v>0</v>
      </c>
      <c r="R358" s="121" t="n">
        <v>0</v>
      </c>
      <c r="S358" s="122" t="n">
        <v>0</v>
      </c>
      <c r="T358" s="110" t="n"/>
    </row>
    <row r="359" ht="19.5" customHeight="1" s="52">
      <c r="A359" s="104" t="n">
        <v>352</v>
      </c>
      <c r="B359" s="119" t="n"/>
      <c r="C359" s="119" t="n"/>
      <c r="D359" s="120" t="inlineStr">
        <is>
          <t>Розділ 42 - Усього</t>
        </is>
      </c>
      <c r="E359" s="116" t="n"/>
      <c r="F359" s="120" t="n"/>
      <c r="G359" s="116" t="n"/>
      <c r="H359" s="116" t="n"/>
      <c r="I359" s="120" t="n"/>
      <c r="J359" s="121" t="n">
        <v>0</v>
      </c>
      <c r="K359" s="121" t="n">
        <v>0</v>
      </c>
      <c r="L359" s="121" t="n">
        <v>0</v>
      </c>
      <c r="M359" s="121" t="n">
        <v>0</v>
      </c>
      <c r="N359" s="116" t="n"/>
      <c r="O359" s="121" t="n">
        <v>0</v>
      </c>
      <c r="P359" s="121" t="n">
        <v>0</v>
      </c>
      <c r="Q359" s="121" t="n">
        <v>0</v>
      </c>
      <c r="R359" s="121" t="n">
        <v>0</v>
      </c>
      <c r="S359" s="122" t="n">
        <v>0</v>
      </c>
      <c r="T359" s="110" t="n"/>
    </row>
    <row r="360" ht="13.5" customHeight="1" s="52">
      <c r="A360" s="104" t="n">
        <v>353</v>
      </c>
      <c r="B360" s="119" t="n"/>
      <c r="C360" s="115" t="inlineStr">
        <is>
          <t>43</t>
        </is>
      </c>
      <c r="D360" s="115" t="inlineStr">
        <is>
          <t>430</t>
        </is>
      </c>
      <c r="E360" s="116" t="n"/>
      <c r="F360" s="115" t="inlineStr">
        <is>
          <t>4300</t>
        </is>
      </c>
      <c r="G360" s="116" t="n"/>
      <c r="H360" s="115" t="inlineStr">
        <is>
          <t>Нематеріальні активи</t>
        </is>
      </c>
      <c r="I360" s="115" t="inlineStr">
        <is>
          <t>А</t>
        </is>
      </c>
      <c r="J360" s="117" t="n">
        <v>0</v>
      </c>
      <c r="K360" s="117" t="n">
        <v>0</v>
      </c>
      <c r="L360" s="117" t="n">
        <v>0</v>
      </c>
      <c r="M360" s="117" t="n">
        <v>0</v>
      </c>
      <c r="N360" s="116" t="n"/>
      <c r="O360" s="117" t="n">
        <v>0</v>
      </c>
      <c r="P360" s="117" t="n">
        <v>0</v>
      </c>
      <c r="Q360" s="117" t="n">
        <v>340346.75469</v>
      </c>
      <c r="R360" s="117" t="n">
        <v>340346.75469</v>
      </c>
      <c r="S360" s="118" t="n">
        <v>0</v>
      </c>
      <c r="T360" s="110" t="n"/>
    </row>
    <row r="361" ht="13.5" customHeight="1" s="52">
      <c r="A361" s="104" t="n">
        <v>354</v>
      </c>
      <c r="B361" s="119" t="n"/>
      <c r="C361" s="119" t="n"/>
      <c r="D361" s="119" t="n"/>
      <c r="F361" s="115" t="inlineStr">
        <is>
          <t>4309</t>
        </is>
      </c>
      <c r="G361" s="116" t="n"/>
      <c r="H361" s="115" t="inlineStr">
        <is>
          <t>Накопичена амортизація нематеріальних активів</t>
        </is>
      </c>
      <c r="I361" s="115" t="inlineStr">
        <is>
          <t>П</t>
        </is>
      </c>
      <c r="J361" s="117" t="n">
        <v>0</v>
      </c>
      <c r="K361" s="117" t="n">
        <v>0</v>
      </c>
      <c r="L361" s="117" t="n">
        <v>0</v>
      </c>
      <c r="M361" s="117" t="n">
        <v>3366.70879</v>
      </c>
      <c r="N361" s="116" t="n"/>
      <c r="O361" s="117" t="n">
        <v>3366.70879</v>
      </c>
      <c r="P361" s="117" t="n">
        <v>0</v>
      </c>
      <c r="Q361" s="117" t="n">
        <v>-209020.86835</v>
      </c>
      <c r="R361" s="117" t="n">
        <v>-209020.86835</v>
      </c>
      <c r="S361" s="118" t="n">
        <v>0</v>
      </c>
      <c r="T361" s="110" t="n"/>
    </row>
    <row r="362" ht="13.5" customHeight="1" s="52">
      <c r="A362" s="104" t="n">
        <v>355</v>
      </c>
      <c r="B362" s="119" t="n"/>
      <c r="C362" s="119" t="n"/>
      <c r="D362" s="119" t="n"/>
      <c r="F362" s="120" t="inlineStr">
        <is>
          <t>Група 430 - Усього</t>
        </is>
      </c>
      <c r="G362" s="116" t="n"/>
      <c r="H362" s="116" t="n"/>
      <c r="I362" s="120" t="n"/>
      <c r="J362" s="121" t="n">
        <v>0</v>
      </c>
      <c r="K362" s="121" t="n">
        <v>0</v>
      </c>
      <c r="L362" s="121" t="n">
        <v>0</v>
      </c>
      <c r="M362" s="121" t="n">
        <v>3366.70879</v>
      </c>
      <c r="N362" s="116" t="n"/>
      <c r="O362" s="121" t="n">
        <v>3366.70879</v>
      </c>
      <c r="P362" s="121" t="n">
        <v>0</v>
      </c>
      <c r="Q362" s="121" t="n">
        <v>131325.88634</v>
      </c>
      <c r="R362" s="121" t="n">
        <v>131325.88634</v>
      </c>
      <c r="S362" s="122" t="n">
        <v>0</v>
      </c>
      <c r="T362" s="110" t="n"/>
    </row>
    <row r="363" ht="14.25" customHeight="1" s="52">
      <c r="A363" s="104" t="n">
        <v>356</v>
      </c>
      <c r="B363" s="119" t="n"/>
      <c r="C363" s="119" t="n"/>
      <c r="D363" s="115" t="inlineStr">
        <is>
          <t>431</t>
        </is>
      </c>
      <c r="E363" s="116" t="n"/>
      <c r="F363" s="115" t="inlineStr">
        <is>
          <t>4310</t>
        </is>
      </c>
      <c r="G363" s="116" t="n"/>
      <c r="H363" s="115" t="inlineStr">
        <is>
          <t>Капітальні інвестиції за не введеними в експлуатацію нематеріальними активами</t>
        </is>
      </c>
      <c r="I363" s="115" t="inlineStr">
        <is>
          <t>А</t>
        </is>
      </c>
      <c r="J363" s="117" t="n">
        <v>9231.039510000001</v>
      </c>
      <c r="K363" s="117" t="n">
        <v>9231.039510000001</v>
      </c>
      <c r="L363" s="117" t="n">
        <v>0</v>
      </c>
      <c r="M363" s="117" t="n">
        <v>0</v>
      </c>
      <c r="N363" s="116" t="n"/>
      <c r="O363" s="117" t="n">
        <v>0</v>
      </c>
      <c r="P363" s="117" t="n">
        <v>0</v>
      </c>
      <c r="Q363" s="117" t="n">
        <v>63244.82287</v>
      </c>
      <c r="R363" s="117" t="n">
        <v>63244.82287</v>
      </c>
      <c r="S363" s="118" t="n">
        <v>0</v>
      </c>
      <c r="T363" s="110" t="n"/>
    </row>
    <row r="364" ht="13.5" customHeight="1" s="52">
      <c r="A364" s="104" t="n">
        <v>357</v>
      </c>
      <c r="B364" s="119" t="n"/>
      <c r="C364" s="119" t="n"/>
      <c r="D364" s="119" t="n"/>
      <c r="F364" s="120" t="inlineStr">
        <is>
          <t>Група 431 - Усього</t>
        </is>
      </c>
      <c r="G364" s="116" t="n"/>
      <c r="H364" s="116" t="n"/>
      <c r="I364" s="120" t="n"/>
      <c r="J364" s="121" t="n">
        <v>9231.039510000001</v>
      </c>
      <c r="K364" s="121" t="n">
        <v>9231.039510000001</v>
      </c>
      <c r="L364" s="121" t="n">
        <v>0</v>
      </c>
      <c r="M364" s="121" t="n">
        <v>0</v>
      </c>
      <c r="N364" s="116" t="n"/>
      <c r="O364" s="121" t="n">
        <v>0</v>
      </c>
      <c r="P364" s="121" t="n">
        <v>0</v>
      </c>
      <c r="Q364" s="121" t="n">
        <v>63244.82287</v>
      </c>
      <c r="R364" s="121" t="n">
        <v>63244.82287</v>
      </c>
      <c r="S364" s="122" t="n">
        <v>0</v>
      </c>
      <c r="T364" s="110" t="n"/>
    </row>
    <row r="365" ht="18.75" customHeight="1" s="52">
      <c r="A365" s="104" t="n">
        <v>358</v>
      </c>
      <c r="B365" s="119" t="n"/>
      <c r="C365" s="119" t="n"/>
      <c r="D365" s="120" t="inlineStr">
        <is>
          <t>Розділ 43 - Усього</t>
        </is>
      </c>
      <c r="E365" s="116" t="n"/>
      <c r="F365" s="120" t="n"/>
      <c r="G365" s="116" t="n"/>
      <c r="H365" s="116" t="n"/>
      <c r="I365" s="120" t="n"/>
      <c r="J365" s="121" t="n">
        <v>9231.039510000001</v>
      </c>
      <c r="K365" s="121" t="n">
        <v>9231.039510000001</v>
      </c>
      <c r="L365" s="121" t="n">
        <v>0</v>
      </c>
      <c r="M365" s="121" t="n">
        <v>3366.70879</v>
      </c>
      <c r="N365" s="116" t="n"/>
      <c r="O365" s="121" t="n">
        <v>3366.70879</v>
      </c>
      <c r="P365" s="121" t="n">
        <v>0</v>
      </c>
      <c r="Q365" s="121" t="n">
        <v>194570.70921</v>
      </c>
      <c r="R365" s="121" t="n">
        <v>194570.70921</v>
      </c>
      <c r="S365" s="122" t="n">
        <v>0</v>
      </c>
      <c r="T365" s="110" t="n"/>
    </row>
    <row r="366" ht="13.5" customHeight="1" s="52">
      <c r="A366" s="104" t="n">
        <v>359</v>
      </c>
      <c r="B366" s="119" t="n"/>
      <c r="C366" s="115" t="inlineStr">
        <is>
          <t>44</t>
        </is>
      </c>
      <c r="D366" s="115" t="inlineStr">
        <is>
          <t>440</t>
        </is>
      </c>
      <c r="E366" s="116" t="n"/>
      <c r="F366" s="115" t="inlineStr">
        <is>
          <t>4400</t>
        </is>
      </c>
      <c r="G366" s="116" t="n"/>
      <c r="H366" s="115" t="inlineStr">
        <is>
          <t>Основні засоби</t>
        </is>
      </c>
      <c r="I366" s="115" t="inlineStr">
        <is>
          <t>А</t>
        </is>
      </c>
      <c r="J366" s="117" t="n">
        <v>33674.59699</v>
      </c>
      <c r="K366" s="117" t="n">
        <v>33674.59699</v>
      </c>
      <c r="L366" s="117" t="n">
        <v>0</v>
      </c>
      <c r="M366" s="117" t="n">
        <v>25096.57078</v>
      </c>
      <c r="N366" s="116" t="n"/>
      <c r="O366" s="117" t="n">
        <v>25096.57078</v>
      </c>
      <c r="P366" s="117" t="n">
        <v>0</v>
      </c>
      <c r="Q366" s="117" t="n">
        <v>2212327.05109</v>
      </c>
      <c r="R366" s="117" t="n">
        <v>2212327.05109</v>
      </c>
      <c r="S366" s="118" t="n">
        <v>0</v>
      </c>
      <c r="T366" s="110" t="n"/>
    </row>
    <row r="367" ht="13.5" customHeight="1" s="52">
      <c r="A367" s="104" t="n">
        <v>360</v>
      </c>
      <c r="B367" s="119" t="n"/>
      <c r="C367" s="119" t="n"/>
      <c r="D367" s="119" t="n"/>
      <c r="F367" s="115" t="inlineStr">
        <is>
          <t>4409</t>
        </is>
      </c>
      <c r="G367" s="116" t="n"/>
      <c r="H367" s="115" t="inlineStr">
        <is>
          <t>Знос основних засобів</t>
        </is>
      </c>
      <c r="I367" s="115" t="inlineStr">
        <is>
          <t>П</t>
        </is>
      </c>
      <c r="J367" s="117" t="n">
        <v>4719.08177</v>
      </c>
      <c r="K367" s="117" t="n">
        <v>4719.08177</v>
      </c>
      <c r="L367" s="117" t="n">
        <v>0</v>
      </c>
      <c r="M367" s="117" t="n">
        <v>5446.51699</v>
      </c>
      <c r="N367" s="116" t="n"/>
      <c r="O367" s="117" t="n">
        <v>5446.51699</v>
      </c>
      <c r="P367" s="117" t="n">
        <v>0</v>
      </c>
      <c r="Q367" s="117" t="n">
        <v>-657453.69734</v>
      </c>
      <c r="R367" s="117" t="n">
        <v>-657453.69734</v>
      </c>
      <c r="S367" s="118" t="n">
        <v>0</v>
      </c>
      <c r="T367" s="110" t="n"/>
    </row>
    <row r="368" ht="14.25" customHeight="1" s="52">
      <c r="A368" s="104" t="n">
        <v>361</v>
      </c>
      <c r="B368" s="119" t="n"/>
      <c r="C368" s="119" t="n"/>
      <c r="D368" s="119" t="n"/>
      <c r="F368" s="120" t="inlineStr">
        <is>
          <t>Група 440 - Усього</t>
        </is>
      </c>
      <c r="G368" s="116" t="n"/>
      <c r="H368" s="116" t="n"/>
      <c r="I368" s="120" t="n"/>
      <c r="J368" s="121" t="n">
        <v>38393.67876</v>
      </c>
      <c r="K368" s="121" t="n">
        <v>38393.67876</v>
      </c>
      <c r="L368" s="121" t="n">
        <v>0</v>
      </c>
      <c r="M368" s="121" t="n">
        <v>30543.08777</v>
      </c>
      <c r="N368" s="116" t="n"/>
      <c r="O368" s="121" t="n">
        <v>30543.08777</v>
      </c>
      <c r="P368" s="121" t="n">
        <v>0</v>
      </c>
      <c r="Q368" s="121" t="n">
        <v>1554873.35375</v>
      </c>
      <c r="R368" s="121" t="n">
        <v>1554873.35375</v>
      </c>
      <c r="S368" s="122" t="n">
        <v>0</v>
      </c>
      <c r="T368" s="110" t="n"/>
    </row>
    <row r="369" ht="13.5" customHeight="1" s="52">
      <c r="A369" s="104" t="n">
        <v>362</v>
      </c>
      <c r="B369" s="119" t="n"/>
      <c r="C369" s="119" t="n"/>
      <c r="D369" s="115" t="inlineStr">
        <is>
          <t>441</t>
        </is>
      </c>
      <c r="E369" s="116" t="n"/>
      <c r="F369" s="115" t="inlineStr">
        <is>
          <t>4410</t>
        </is>
      </c>
      <c r="G369" s="116" t="n"/>
      <c r="H369" s="115" t="inlineStr">
        <is>
          <t>Інвестиційна нерухомість</t>
        </is>
      </c>
      <c r="I369" s="115" t="inlineStr">
        <is>
          <t>А</t>
        </is>
      </c>
      <c r="J369" s="117" t="n">
        <v>5439.21382</v>
      </c>
      <c r="K369" s="117" t="n">
        <v>5439.21382</v>
      </c>
      <c r="L369" s="117" t="n">
        <v>0</v>
      </c>
      <c r="M369" s="117" t="n">
        <v>22.54752</v>
      </c>
      <c r="N369" s="116" t="n"/>
      <c r="O369" s="117" t="n">
        <v>22.54752</v>
      </c>
      <c r="P369" s="117" t="n">
        <v>0</v>
      </c>
      <c r="Q369" s="117" t="n">
        <v>1453679.26546</v>
      </c>
      <c r="R369" s="117" t="n">
        <v>1453679.26546</v>
      </c>
      <c r="S369" s="118" t="n">
        <v>0</v>
      </c>
      <c r="T369" s="110" t="n"/>
    </row>
    <row r="370" ht="13.5" customHeight="1" s="52">
      <c r="A370" s="104" t="n">
        <v>363</v>
      </c>
      <c r="B370" s="119" t="n"/>
      <c r="C370" s="119" t="n"/>
      <c r="D370" s="119" t="n"/>
      <c r="F370" s="115" t="inlineStr">
        <is>
          <t>4419</t>
        </is>
      </c>
      <c r="G370" s="116" t="n"/>
      <c r="H370" s="115" t="inlineStr">
        <is>
          <t>Знос інвестиційної нерухомості</t>
        </is>
      </c>
      <c r="I370" s="115" t="inlineStr">
        <is>
          <t>П</t>
        </is>
      </c>
      <c r="J370" s="117" t="n">
        <v>0</v>
      </c>
      <c r="K370" s="117" t="n">
        <v>0</v>
      </c>
      <c r="L370" s="117" t="n">
        <v>0</v>
      </c>
      <c r="M370" s="117" t="n">
        <v>0</v>
      </c>
      <c r="N370" s="116" t="n"/>
      <c r="O370" s="117" t="n">
        <v>0</v>
      </c>
      <c r="P370" s="117" t="n">
        <v>0</v>
      </c>
      <c r="Q370" s="117" t="n">
        <v>0</v>
      </c>
      <c r="R370" s="117" t="n">
        <v>0</v>
      </c>
      <c r="S370" s="118" t="n">
        <v>0</v>
      </c>
      <c r="T370" s="110" t="n"/>
    </row>
    <row r="371" ht="13.5" customHeight="1" s="52">
      <c r="A371" s="104" t="n">
        <v>364</v>
      </c>
      <c r="B371" s="119" t="n"/>
      <c r="C371" s="119" t="n"/>
      <c r="D371" s="119" t="n"/>
      <c r="F371" s="120" t="inlineStr">
        <is>
          <t>Група 441 - Усього</t>
        </is>
      </c>
      <c r="G371" s="116" t="n"/>
      <c r="H371" s="116" t="n"/>
      <c r="I371" s="120" t="n"/>
      <c r="J371" s="121" t="n">
        <v>5439.21382</v>
      </c>
      <c r="K371" s="121" t="n">
        <v>5439.21382</v>
      </c>
      <c r="L371" s="121" t="n">
        <v>0</v>
      </c>
      <c r="M371" s="121" t="n">
        <v>22.54752</v>
      </c>
      <c r="N371" s="116" t="n"/>
      <c r="O371" s="121" t="n">
        <v>22.54752</v>
      </c>
      <c r="P371" s="121" t="n">
        <v>0</v>
      </c>
      <c r="Q371" s="121" t="n">
        <v>1453679.26546</v>
      </c>
      <c r="R371" s="121" t="n">
        <v>1453679.26546</v>
      </c>
      <c r="S371" s="122" t="n">
        <v>0</v>
      </c>
      <c r="T371" s="110" t="n"/>
    </row>
    <row r="372" ht="13.5" customHeight="1" s="52">
      <c r="A372" s="104" t="n">
        <v>365</v>
      </c>
      <c r="B372" s="119" t="n"/>
      <c r="C372" s="119" t="n"/>
      <c r="D372" s="115" t="inlineStr">
        <is>
          <t>443</t>
        </is>
      </c>
      <c r="E372" s="116" t="n"/>
      <c r="F372" s="115" t="inlineStr">
        <is>
          <t>4430</t>
        </is>
      </c>
      <c r="G372" s="116" t="n"/>
      <c r="H372" s="115" t="inlineStr">
        <is>
          <t>Капітальні інвестиції за незавершеним будівництвом і за не введеними в експлуатацію основними засобами</t>
        </is>
      </c>
      <c r="I372" s="115" t="inlineStr">
        <is>
          <t>А</t>
        </is>
      </c>
      <c r="J372" s="117" t="n">
        <v>28033.62547</v>
      </c>
      <c r="K372" s="117" t="n">
        <v>28033.62547</v>
      </c>
      <c r="L372" s="117" t="n">
        <v>0</v>
      </c>
      <c r="M372" s="117" t="n">
        <v>33768.99055</v>
      </c>
      <c r="N372" s="116" t="n"/>
      <c r="O372" s="117" t="n">
        <v>33768.99055</v>
      </c>
      <c r="P372" s="117" t="n">
        <v>0</v>
      </c>
      <c r="Q372" s="117" t="n">
        <v>14514.28063</v>
      </c>
      <c r="R372" s="117" t="n">
        <v>14514.28063</v>
      </c>
      <c r="S372" s="118" t="n">
        <v>0</v>
      </c>
      <c r="T372" s="110" t="n"/>
    </row>
    <row r="373" ht="14.25" customHeight="1" s="52">
      <c r="A373" s="104" t="n">
        <v>366</v>
      </c>
      <c r="B373" s="119" t="n"/>
      <c r="C373" s="119" t="n"/>
      <c r="D373" s="119" t="n"/>
      <c r="F373" s="115" t="inlineStr">
        <is>
          <t>4431</t>
        </is>
      </c>
      <c r="G373" s="116" t="n"/>
      <c r="H373" s="115" t="inlineStr">
        <is>
          <t>Обладнання, що потребує монтажу</t>
        </is>
      </c>
      <c r="I373" s="115" t="inlineStr">
        <is>
          <t>А</t>
        </is>
      </c>
      <c r="J373" s="117" t="n">
        <v>0</v>
      </c>
      <c r="K373" s="117" t="n">
        <v>0</v>
      </c>
      <c r="L373" s="117" t="n">
        <v>0</v>
      </c>
      <c r="M373" s="117" t="n">
        <v>0</v>
      </c>
      <c r="N373" s="116" t="n"/>
      <c r="O373" s="117" t="n">
        <v>0</v>
      </c>
      <c r="P373" s="117" t="n">
        <v>0</v>
      </c>
      <c r="Q373" s="117" t="n">
        <v>0</v>
      </c>
      <c r="R373" s="117" t="n">
        <v>0</v>
      </c>
      <c r="S373" s="118" t="n">
        <v>0</v>
      </c>
      <c r="T373" s="110" t="n"/>
    </row>
    <row r="374" ht="13.5" customHeight="1" s="52">
      <c r="A374" s="104" t="n">
        <v>367</v>
      </c>
      <c r="B374" s="119" t="n"/>
      <c r="C374" s="119" t="n"/>
      <c r="D374" s="119" t="n"/>
      <c r="F374" s="120" t="inlineStr">
        <is>
          <t>Група 443 - Усього</t>
        </is>
      </c>
      <c r="G374" s="116" t="n"/>
      <c r="H374" s="116" t="n"/>
      <c r="I374" s="120" t="n"/>
      <c r="J374" s="121" t="n">
        <v>28033.62547</v>
      </c>
      <c r="K374" s="121" t="n">
        <v>28033.62547</v>
      </c>
      <c r="L374" s="121" t="n">
        <v>0</v>
      </c>
      <c r="M374" s="121" t="n">
        <v>33768.99055</v>
      </c>
      <c r="N374" s="116" t="n"/>
      <c r="O374" s="121" t="n">
        <v>33768.99055</v>
      </c>
      <c r="P374" s="121" t="n">
        <v>0</v>
      </c>
      <c r="Q374" s="121" t="n">
        <v>14514.28063</v>
      </c>
      <c r="R374" s="121" t="n">
        <v>14514.28063</v>
      </c>
      <c r="S374" s="122" t="n">
        <v>0</v>
      </c>
      <c r="T374" s="110" t="n"/>
    </row>
    <row r="375" ht="18" customHeight="1" s="52">
      <c r="A375" s="104" t="n">
        <v>368</v>
      </c>
      <c r="B375" s="119" t="n"/>
      <c r="C375" s="119" t="n"/>
      <c r="D375" s="120" t="inlineStr">
        <is>
          <t>Розділ 44 - Усього</t>
        </is>
      </c>
      <c r="E375" s="116" t="n"/>
      <c r="F375" s="120" t="n"/>
      <c r="G375" s="116" t="n"/>
      <c r="H375" s="116" t="n"/>
      <c r="I375" s="120" t="n"/>
      <c r="J375" s="121" t="n">
        <v>71866.51805</v>
      </c>
      <c r="K375" s="121" t="n">
        <v>71866.51805</v>
      </c>
      <c r="L375" s="121" t="n">
        <v>0</v>
      </c>
      <c r="M375" s="121" t="n">
        <v>64334.62584</v>
      </c>
      <c r="N375" s="116" t="n"/>
      <c r="O375" s="121" t="n">
        <v>64334.62584</v>
      </c>
      <c r="P375" s="121" t="n">
        <v>0</v>
      </c>
      <c r="Q375" s="121" t="n">
        <v>3023066.89984</v>
      </c>
      <c r="R375" s="121" t="n">
        <v>3023066.89984</v>
      </c>
      <c r="S375" s="122" t="n">
        <v>0</v>
      </c>
      <c r="T375" s="110" t="n"/>
    </row>
    <row r="376" ht="13.5" customHeight="1" s="52">
      <c r="A376" s="104" t="n">
        <v>369</v>
      </c>
      <c r="B376" s="119" t="n"/>
      <c r="C376" s="115" t="inlineStr">
        <is>
          <t>45</t>
        </is>
      </c>
      <c r="D376" s="115" t="inlineStr">
        <is>
          <t>450</t>
        </is>
      </c>
      <c r="E376" s="116" t="n"/>
      <c r="F376" s="115" t="inlineStr">
        <is>
          <t>4500</t>
        </is>
      </c>
      <c r="G376" s="116" t="n"/>
      <c r="H376" s="115" t="inlineStr">
        <is>
          <t>Інші необоротні матеріальні активи</t>
        </is>
      </c>
      <c r="I376" s="115" t="inlineStr">
        <is>
          <t>А</t>
        </is>
      </c>
      <c r="J376" s="117" t="n">
        <v>94.39355999999999</v>
      </c>
      <c r="K376" s="117" t="n">
        <v>94.39355999999999</v>
      </c>
      <c r="L376" s="117" t="n">
        <v>0</v>
      </c>
      <c r="M376" s="117" t="n">
        <v>463.91123</v>
      </c>
      <c r="N376" s="116" t="n"/>
      <c r="O376" s="117" t="n">
        <v>463.91123</v>
      </c>
      <c r="P376" s="117" t="n">
        <v>0</v>
      </c>
      <c r="Q376" s="117" t="n">
        <v>90639.96971999999</v>
      </c>
      <c r="R376" s="117" t="n">
        <v>90639.96971999999</v>
      </c>
      <c r="S376" s="118" t="n">
        <v>0</v>
      </c>
      <c r="T376" s="110" t="n"/>
    </row>
    <row r="377" ht="13.5" customHeight="1" s="52">
      <c r="A377" s="104" t="n">
        <v>370</v>
      </c>
      <c r="B377" s="119" t="n"/>
      <c r="C377" s="119" t="n"/>
      <c r="D377" s="119" t="n"/>
      <c r="F377" s="115" t="inlineStr">
        <is>
          <t>4509</t>
        </is>
      </c>
      <c r="G377" s="116" t="n"/>
      <c r="H377" s="115" t="inlineStr">
        <is>
          <t>Знос інших необоротних матеріальних активів</t>
        </is>
      </c>
      <c r="I377" s="115" t="inlineStr">
        <is>
          <t>П</t>
        </is>
      </c>
      <c r="J377" s="117" t="n">
        <v>463.91123</v>
      </c>
      <c r="K377" s="117" t="n">
        <v>463.91123</v>
      </c>
      <c r="L377" s="117" t="n">
        <v>0</v>
      </c>
      <c r="M377" s="117" t="n">
        <v>483.52812</v>
      </c>
      <c r="N377" s="116" t="n"/>
      <c r="O377" s="117" t="n">
        <v>483.52812</v>
      </c>
      <c r="P377" s="117" t="n">
        <v>0</v>
      </c>
      <c r="Q377" s="117" t="n">
        <v>-58341.80139</v>
      </c>
      <c r="R377" s="117" t="n">
        <v>-58341.80139</v>
      </c>
      <c r="S377" s="118" t="n">
        <v>0</v>
      </c>
      <c r="T377" s="110" t="n"/>
    </row>
    <row r="378" ht="14.25" customHeight="1" s="52">
      <c r="A378" s="104" t="n">
        <v>371</v>
      </c>
      <c r="B378" s="119" t="n"/>
      <c r="C378" s="119" t="n"/>
      <c r="D378" s="119" t="n"/>
      <c r="F378" s="120" t="inlineStr">
        <is>
          <t>Група 450 - Усього</t>
        </is>
      </c>
      <c r="G378" s="116" t="n"/>
      <c r="H378" s="116" t="n"/>
      <c r="I378" s="120" t="n"/>
      <c r="J378" s="121" t="n">
        <v>558.30479</v>
      </c>
      <c r="K378" s="121" t="n">
        <v>558.30479</v>
      </c>
      <c r="L378" s="121" t="n">
        <v>0</v>
      </c>
      <c r="M378" s="121" t="n">
        <v>947.43935</v>
      </c>
      <c r="N378" s="116" t="n"/>
      <c r="O378" s="121" t="n">
        <v>947.43935</v>
      </c>
      <c r="P378" s="121" t="n">
        <v>0</v>
      </c>
      <c r="Q378" s="121" t="n">
        <v>32298.16833</v>
      </c>
      <c r="R378" s="121" t="n">
        <v>32298.16833</v>
      </c>
      <c r="S378" s="122" t="n">
        <v>0</v>
      </c>
      <c r="T378" s="110" t="n"/>
    </row>
    <row r="379" ht="13.5" customHeight="1" s="52">
      <c r="A379" s="104" t="n">
        <v>372</v>
      </c>
      <c r="B379" s="119" t="n"/>
      <c r="C379" s="119" t="n"/>
      <c r="D379" s="115" t="inlineStr">
        <is>
          <t>453</t>
        </is>
      </c>
      <c r="E379" s="116" t="n"/>
      <c r="F379" s="115" t="inlineStr">
        <is>
          <t>4530</t>
        </is>
      </c>
      <c r="G379" s="116" t="n"/>
      <c r="H379" s="115" t="inlineStr">
        <is>
          <t>Капітальні інвестиції за необоротними активами, що отримані в лізинг (оренду)</t>
        </is>
      </c>
      <c r="I379" s="115" t="inlineStr">
        <is>
          <t>А</t>
        </is>
      </c>
      <c r="J379" s="117" t="n">
        <v>0</v>
      </c>
      <c r="K379" s="117" t="n">
        <v>0</v>
      </c>
      <c r="L379" s="117" t="n">
        <v>0</v>
      </c>
      <c r="M379" s="117" t="n">
        <v>0</v>
      </c>
      <c r="N379" s="116" t="n"/>
      <c r="O379" s="117" t="n">
        <v>0</v>
      </c>
      <c r="P379" s="117" t="n">
        <v>0</v>
      </c>
      <c r="Q379" s="117" t="n">
        <v>1040.97859</v>
      </c>
      <c r="R379" s="117" t="n">
        <v>1040.97859</v>
      </c>
      <c r="S379" s="118" t="n">
        <v>0</v>
      </c>
      <c r="T379" s="110" t="n"/>
    </row>
    <row r="380" ht="13.5" customHeight="1" s="52">
      <c r="A380" s="104" t="n">
        <v>373</v>
      </c>
      <c r="B380" s="119" t="n"/>
      <c r="C380" s="119" t="n"/>
      <c r="D380" s="119" t="n"/>
      <c r="F380" s="120" t="inlineStr">
        <is>
          <t>Група 453 - Усього</t>
        </is>
      </c>
      <c r="G380" s="116" t="n"/>
      <c r="H380" s="116" t="n"/>
      <c r="I380" s="120" t="n"/>
      <c r="J380" s="121" t="n">
        <v>0</v>
      </c>
      <c r="K380" s="121" t="n">
        <v>0</v>
      </c>
      <c r="L380" s="121" t="n">
        <v>0</v>
      </c>
      <c r="M380" s="121" t="n">
        <v>0</v>
      </c>
      <c r="N380" s="116" t="n"/>
      <c r="O380" s="121" t="n">
        <v>0</v>
      </c>
      <c r="P380" s="121" t="n">
        <v>0</v>
      </c>
      <c r="Q380" s="121" t="n">
        <v>1040.97859</v>
      </c>
      <c r="R380" s="121" t="n">
        <v>1040.97859</v>
      </c>
      <c r="S380" s="122" t="n">
        <v>0</v>
      </c>
      <c r="T380" s="110" t="n"/>
    </row>
    <row r="381" ht="17.25" customHeight="1" s="52">
      <c r="A381" s="104" t="n">
        <v>374</v>
      </c>
      <c r="B381" s="119" t="n"/>
      <c r="C381" s="119" t="n"/>
      <c r="D381" s="120" t="inlineStr">
        <is>
          <t>Розділ 45 - Усього</t>
        </is>
      </c>
      <c r="E381" s="116" t="n"/>
      <c r="F381" s="120" t="n"/>
      <c r="G381" s="116" t="n"/>
      <c r="H381" s="116" t="n"/>
      <c r="I381" s="120" t="n"/>
      <c r="J381" s="121" t="n">
        <v>558.30479</v>
      </c>
      <c r="K381" s="121" t="n">
        <v>558.30479</v>
      </c>
      <c r="L381" s="121" t="n">
        <v>0</v>
      </c>
      <c r="M381" s="121" t="n">
        <v>947.43935</v>
      </c>
      <c r="N381" s="116" t="n"/>
      <c r="O381" s="121" t="n">
        <v>947.43935</v>
      </c>
      <c r="P381" s="121" t="n">
        <v>0</v>
      </c>
      <c r="Q381" s="121" t="n">
        <v>33339.14692</v>
      </c>
      <c r="R381" s="121" t="n">
        <v>33339.14692</v>
      </c>
      <c r="S381" s="122" t="n">
        <v>0</v>
      </c>
      <c r="T381" s="110" t="n"/>
    </row>
    <row r="382" ht="13.5" customHeight="1" s="52">
      <c r="A382" s="104" t="n">
        <v>375</v>
      </c>
      <c r="B382" s="119" t="n"/>
      <c r="C382" s="115" t="inlineStr">
        <is>
          <t>46</t>
        </is>
      </c>
      <c r="D382" s="115" t="inlineStr">
        <is>
          <t>460</t>
        </is>
      </c>
      <c r="E382" s="116" t="n"/>
      <c r="F382" s="115" t="inlineStr">
        <is>
          <t>4600</t>
        </is>
      </c>
      <c r="G382" s="116" t="n"/>
      <c r="H382" s="115" t="inlineStr">
        <is>
          <t>Активи з права користування</t>
        </is>
      </c>
      <c r="I382" s="115" t="inlineStr">
        <is>
          <t>А</t>
        </is>
      </c>
      <c r="J382" s="117" t="n">
        <v>0</v>
      </c>
      <c r="K382" s="117" t="n">
        <v>0</v>
      </c>
      <c r="L382" s="117" t="n">
        <v>0</v>
      </c>
      <c r="M382" s="117" t="n">
        <v>0</v>
      </c>
      <c r="N382" s="116" t="n"/>
      <c r="O382" s="117" t="n">
        <v>0</v>
      </c>
      <c r="P382" s="117" t="n">
        <v>0</v>
      </c>
      <c r="Q382" s="117" t="n">
        <v>74547.65453</v>
      </c>
      <c r="R382" s="117" t="n">
        <v>74547.65453</v>
      </c>
      <c r="S382" s="118" t="n">
        <v>0</v>
      </c>
      <c r="T382" s="110" t="n"/>
    </row>
    <row r="383" ht="14.25" customHeight="1" s="52">
      <c r="A383" s="104" t="n">
        <v>376</v>
      </c>
      <c r="B383" s="119" t="n"/>
      <c r="C383" s="119" t="n"/>
      <c r="D383" s="119" t="n"/>
      <c r="F383" s="115" t="inlineStr">
        <is>
          <t>4609</t>
        </is>
      </c>
      <c r="G383" s="116" t="n"/>
      <c r="H383" s="115" t="inlineStr">
        <is>
          <t>Накопичена амортизація активів з права користування</t>
        </is>
      </c>
      <c r="I383" s="115" t="inlineStr">
        <is>
          <t>П</t>
        </is>
      </c>
      <c r="J383" s="117" t="n">
        <v>0</v>
      </c>
      <c r="K383" s="117" t="n">
        <v>0</v>
      </c>
      <c r="L383" s="117" t="n">
        <v>0</v>
      </c>
      <c r="M383" s="117" t="n">
        <v>917.6734</v>
      </c>
      <c r="N383" s="116" t="n"/>
      <c r="O383" s="117" t="n">
        <v>917.6734</v>
      </c>
      <c r="P383" s="117" t="n">
        <v>0</v>
      </c>
      <c r="Q383" s="117" t="n">
        <v>-15521.41334</v>
      </c>
      <c r="R383" s="117" t="n">
        <v>-15521.41334</v>
      </c>
      <c r="S383" s="118" t="n">
        <v>0</v>
      </c>
      <c r="T383" s="110" t="n"/>
    </row>
    <row r="384" ht="13.5" customHeight="1" s="52">
      <c r="A384" s="104" t="n">
        <v>377</v>
      </c>
      <c r="B384" s="119" t="n"/>
      <c r="C384" s="119" t="n"/>
      <c r="D384" s="119" t="n"/>
      <c r="F384" s="120" t="inlineStr">
        <is>
          <t>Група 460 - Усього</t>
        </is>
      </c>
      <c r="G384" s="116" t="n"/>
      <c r="H384" s="116" t="n"/>
      <c r="I384" s="120" t="n"/>
      <c r="J384" s="121" t="n">
        <v>0</v>
      </c>
      <c r="K384" s="121" t="n">
        <v>0</v>
      </c>
      <c r="L384" s="121" t="n">
        <v>0</v>
      </c>
      <c r="M384" s="121" t="n">
        <v>917.6734</v>
      </c>
      <c r="N384" s="116" t="n"/>
      <c r="O384" s="121" t="n">
        <v>917.6734</v>
      </c>
      <c r="P384" s="121" t="n">
        <v>0</v>
      </c>
      <c r="Q384" s="121" t="n">
        <v>59026.24119</v>
      </c>
      <c r="R384" s="121" t="n">
        <v>59026.24119</v>
      </c>
      <c r="S384" s="122" t="n">
        <v>0</v>
      </c>
      <c r="T384" s="110" t="n"/>
    </row>
    <row r="385" ht="18.75" customHeight="1" s="52">
      <c r="A385" s="104" t="n">
        <v>378</v>
      </c>
      <c r="B385" s="119" t="n"/>
      <c r="C385" s="119" t="n"/>
      <c r="D385" s="120" t="inlineStr">
        <is>
          <t>Розділ 46 - Усього</t>
        </is>
      </c>
      <c r="E385" s="116" t="n"/>
      <c r="F385" s="120" t="n"/>
      <c r="G385" s="116" t="n"/>
      <c r="H385" s="116" t="n"/>
      <c r="I385" s="120" t="n"/>
      <c r="J385" s="121" t="n">
        <v>0</v>
      </c>
      <c r="K385" s="121" t="n">
        <v>0</v>
      </c>
      <c r="L385" s="121" t="n">
        <v>0</v>
      </c>
      <c r="M385" s="121" t="n">
        <v>917.6734</v>
      </c>
      <c r="N385" s="116" t="n"/>
      <c r="O385" s="121" t="n">
        <v>917.6734</v>
      </c>
      <c r="P385" s="121" t="n">
        <v>0</v>
      </c>
      <c r="Q385" s="121" t="n">
        <v>59026.24119</v>
      </c>
      <c r="R385" s="121" t="n">
        <v>59026.24119</v>
      </c>
      <c r="S385" s="122" t="n">
        <v>0</v>
      </c>
      <c r="T385" s="110" t="n"/>
    </row>
    <row r="386" ht="18.75" customHeight="1" s="52">
      <c r="A386" s="104" t="n">
        <v>379</v>
      </c>
      <c r="B386" s="119" t="n"/>
      <c r="C386" s="120" t="inlineStr">
        <is>
          <t xml:space="preserve">  Клас 4 - Усього</t>
        </is>
      </c>
      <c r="D386" s="120" t="n"/>
      <c r="E386" s="116" t="n"/>
      <c r="F386" s="120" t="n"/>
      <c r="G386" s="116" t="n"/>
      <c r="H386" s="116" t="n"/>
      <c r="I386" s="120" t="n"/>
      <c r="J386" s="121" t="n">
        <v>81655.86235</v>
      </c>
      <c r="K386" s="121" t="n">
        <v>81655.86235</v>
      </c>
      <c r="L386" s="121" t="n">
        <v>0</v>
      </c>
      <c r="M386" s="121" t="n">
        <v>69566.44738</v>
      </c>
      <c r="N386" s="116" t="n"/>
      <c r="O386" s="121" t="n">
        <v>69566.44738</v>
      </c>
      <c r="P386" s="121" t="n">
        <v>0</v>
      </c>
      <c r="Q386" s="121" t="n">
        <v>3310002.99716</v>
      </c>
      <c r="R386" s="121" t="n">
        <v>3310002.99716</v>
      </c>
      <c r="S386" s="122" t="n">
        <v>0</v>
      </c>
      <c r="T386" s="110" t="n"/>
    </row>
    <row r="387" ht="25.5" customHeight="1" s="52">
      <c r="A387" s="104" t="n">
        <v>380</v>
      </c>
      <c r="B387" s="123" t="inlineStr">
        <is>
          <t xml:space="preserve">  Активи - Усього</t>
        </is>
      </c>
      <c r="C387" s="123" t="n"/>
      <c r="D387" s="123" t="n"/>
      <c r="E387" s="124" t="n"/>
      <c r="F387" s="123" t="n"/>
      <c r="G387" s="124" t="n"/>
      <c r="H387" s="124" t="n"/>
      <c r="I387" s="123" t="n"/>
      <c r="J387" s="125" t="n">
        <v>3100315399.64446</v>
      </c>
      <c r="K387" s="125" t="n">
        <v>2032753619.18058</v>
      </c>
      <c r="L387" s="125" t="n">
        <v>1067561780.46388</v>
      </c>
      <c r="M387" s="125" t="n">
        <v>3114145262.02711</v>
      </c>
      <c r="N387" s="124" t="n"/>
      <c r="O387" s="125" t="n">
        <v>2032984470.77935</v>
      </c>
      <c r="P387" s="125" t="n">
        <v>1081160791.24776</v>
      </c>
      <c r="Q387" s="125" t="n">
        <v>287247105.1209</v>
      </c>
      <c r="R387" s="125" t="n">
        <v>146239351.04968</v>
      </c>
      <c r="S387" s="126" t="n">
        <v>141007754.07122</v>
      </c>
      <c r="T387" s="110" t="n"/>
    </row>
    <row r="388" ht="12" customHeight="1" s="52">
      <c r="A388" s="104" t="n">
        <v>381</v>
      </c>
      <c r="B388" s="105" t="inlineStr">
        <is>
          <t>Пасиви</t>
        </is>
      </c>
      <c r="C388" s="106" t="n"/>
      <c r="D388" s="106" t="n"/>
      <c r="E388" s="106" t="n"/>
      <c r="F388" s="106" t="n"/>
      <c r="G388" s="106" t="n"/>
      <c r="H388" s="107" t="n"/>
      <c r="I388" s="108" t="n"/>
      <c r="J388" s="108" t="n"/>
      <c r="K388" s="108" t="n"/>
      <c r="L388" s="108" t="n"/>
      <c r="M388" s="109" t="n"/>
      <c r="N388" s="108" t="n"/>
      <c r="O388" s="108" t="n"/>
      <c r="P388" s="108" t="n"/>
      <c r="Q388" s="108" t="n"/>
      <c r="R388" s="108" t="n"/>
      <c r="S388" s="108" t="n"/>
      <c r="T388" s="110" t="n"/>
    </row>
    <row r="389" ht="11.25" customHeight="1" s="52">
      <c r="A389" s="104" t="n">
        <v>382</v>
      </c>
      <c r="B389" s="127" t="inlineStr">
        <is>
          <t>Класи 1 - 4</t>
        </is>
      </c>
      <c r="C389" s="106" t="n"/>
      <c r="D389" s="106" t="n"/>
      <c r="E389" s="106" t="n"/>
      <c r="F389" s="106" t="n"/>
      <c r="G389" s="106" t="n"/>
      <c r="H389" s="107" t="n"/>
      <c r="I389" s="111" t="n"/>
      <c r="J389" s="111" t="n"/>
      <c r="K389" s="111" t="n"/>
      <c r="L389" s="111" t="n"/>
      <c r="M389" s="112" t="n"/>
      <c r="N389" s="111" t="n"/>
      <c r="O389" s="111" t="n"/>
      <c r="P389" s="111" t="n"/>
      <c r="Q389" s="111" t="n"/>
      <c r="R389" s="111" t="n"/>
      <c r="S389" s="111" t="n"/>
      <c r="T389" s="110" t="n"/>
    </row>
    <row r="390" ht="15" customHeight="1" s="52">
      <c r="A390" s="104" t="n">
        <v>383</v>
      </c>
      <c r="B390" s="128" t="inlineStr">
        <is>
          <t>Зобов'язання</t>
        </is>
      </c>
      <c r="H390" s="114" t="n"/>
      <c r="I390" s="108" t="n"/>
      <c r="J390" s="108" t="n"/>
      <c r="K390" s="108" t="n"/>
      <c r="L390" s="108" t="n"/>
      <c r="M390" s="109" t="n"/>
      <c r="N390" s="108" t="n"/>
      <c r="O390" s="108" t="n"/>
      <c r="P390" s="108" t="n"/>
      <c r="Q390" s="108" t="n"/>
      <c r="R390" s="108" t="n"/>
      <c r="S390" s="108" t="n"/>
      <c r="T390" s="110" t="n"/>
    </row>
    <row r="391" ht="13.5" customHeight="1" s="52">
      <c r="A391" s="104" t="n">
        <v>384</v>
      </c>
      <c r="B391" s="115" t="inlineStr">
        <is>
          <t>Клас 1</t>
        </is>
      </c>
      <c r="C391" s="115" t="inlineStr">
        <is>
          <t>13</t>
        </is>
      </c>
      <c r="D391" s="115" t="inlineStr">
        <is>
          <t>131</t>
        </is>
      </c>
      <c r="E391" s="116" t="n"/>
      <c r="F391" s="115" t="inlineStr">
        <is>
          <t>1310</t>
        </is>
      </c>
      <c r="G391" s="116" t="n"/>
      <c r="H391" s="115" t="inlineStr">
        <is>
          <t>Кредити овернайт, що отримані від Національного банку України шляхом рефінансування</t>
        </is>
      </c>
      <c r="I391" s="115" t="inlineStr">
        <is>
          <t>П</t>
        </is>
      </c>
      <c r="J391" s="117" t="n">
        <v>0</v>
      </c>
      <c r="K391" s="117" t="n">
        <v>0</v>
      </c>
      <c r="L391" s="117" t="n">
        <v>0</v>
      </c>
      <c r="M391" s="117" t="n">
        <v>0</v>
      </c>
      <c r="N391" s="116" t="n"/>
      <c r="O391" s="117" t="n">
        <v>0</v>
      </c>
      <c r="P391" s="117" t="n">
        <v>0</v>
      </c>
      <c r="Q391" s="117" t="n">
        <v>0</v>
      </c>
      <c r="R391" s="117" t="n">
        <v>0</v>
      </c>
      <c r="S391" s="118" t="n">
        <v>0</v>
      </c>
      <c r="T391" s="110" t="n"/>
    </row>
    <row r="392" ht="13.5" customHeight="1" s="52">
      <c r="A392" s="104" t="n">
        <v>385</v>
      </c>
      <c r="B392" s="119" t="n"/>
      <c r="C392" s="119" t="n"/>
      <c r="D392" s="119" t="n"/>
      <c r="F392" s="115" t="inlineStr">
        <is>
          <t>1312</t>
        </is>
      </c>
      <c r="G392" s="116" t="n"/>
      <c r="H392" s="115" t="inlineStr">
        <is>
          <t>Інші кредити, що отримані від Національного банку України шляхом рефінансування</t>
        </is>
      </c>
      <c r="I392" s="115" t="inlineStr">
        <is>
          <t>П</t>
        </is>
      </c>
      <c r="J392" s="117" t="n">
        <v>0</v>
      </c>
      <c r="K392" s="117" t="n">
        <v>0</v>
      </c>
      <c r="L392" s="117" t="n">
        <v>0</v>
      </c>
      <c r="M392" s="117" t="n">
        <v>0</v>
      </c>
      <c r="N392" s="116" t="n"/>
      <c r="O392" s="117" t="n">
        <v>0</v>
      </c>
      <c r="P392" s="117" t="n">
        <v>0</v>
      </c>
      <c r="Q392" s="117" t="n">
        <v>0</v>
      </c>
      <c r="R392" s="117" t="n">
        <v>0</v>
      </c>
      <c r="S392" s="118" t="n">
        <v>0</v>
      </c>
      <c r="T392" s="110" t="n"/>
    </row>
    <row r="393" ht="14.25" customHeight="1" s="52">
      <c r="A393" s="104" t="n">
        <v>386</v>
      </c>
      <c r="B393" s="119" t="n"/>
      <c r="C393" s="119" t="n"/>
      <c r="D393" s="119" t="n"/>
      <c r="F393" s="115" t="inlineStr">
        <is>
          <t>1316</t>
        </is>
      </c>
      <c r="G393" s="116" t="n"/>
      <c r="H393" s="115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93" s="115" t="inlineStr">
        <is>
          <t>А</t>
        </is>
      </c>
      <c r="J393" s="117" t="n">
        <v>0</v>
      </c>
      <c r="K393" s="117" t="n">
        <v>0</v>
      </c>
      <c r="L393" s="117" t="n">
        <v>0</v>
      </c>
      <c r="M393" s="117" t="n">
        <v>0</v>
      </c>
      <c r="N393" s="116" t="n"/>
      <c r="O393" s="117" t="n">
        <v>0</v>
      </c>
      <c r="P393" s="117" t="n">
        <v>0</v>
      </c>
      <c r="Q393" s="117" t="n">
        <v>0</v>
      </c>
      <c r="R393" s="117" t="n">
        <v>0</v>
      </c>
      <c r="S393" s="118" t="n">
        <v>0</v>
      </c>
      <c r="T393" s="110" t="n"/>
    </row>
    <row r="394" ht="13.5" customHeight="1" s="52">
      <c r="A394" s="104" t="n">
        <v>387</v>
      </c>
      <c r="B394" s="119" t="n"/>
      <c r="C394" s="119" t="n"/>
      <c r="D394" s="119" t="n"/>
      <c r="F394" s="119" t="n"/>
      <c r="H394" s="119" t="n"/>
      <c r="I394" s="115" t="inlineStr">
        <is>
          <t>П</t>
        </is>
      </c>
      <c r="J394" s="117" t="n">
        <v>0</v>
      </c>
      <c r="K394" s="117" t="n">
        <v>0</v>
      </c>
      <c r="L394" s="117" t="n">
        <v>0</v>
      </c>
      <c r="M394" s="117" t="n">
        <v>0</v>
      </c>
      <c r="N394" s="116" t="n"/>
      <c r="O394" s="117" t="n">
        <v>0</v>
      </c>
      <c r="P394" s="117" t="n">
        <v>0</v>
      </c>
      <c r="Q394" s="117" t="n">
        <v>0</v>
      </c>
      <c r="R394" s="117" t="n">
        <v>0</v>
      </c>
      <c r="S394" s="118" t="n">
        <v>0</v>
      </c>
      <c r="T394" s="110" t="n"/>
    </row>
    <row r="395" ht="13.5" customHeight="1" s="52">
      <c r="A395" s="104" t="n">
        <v>388</v>
      </c>
      <c r="B395" s="119" t="n"/>
      <c r="C395" s="119" t="n"/>
      <c r="D395" s="119" t="n"/>
      <c r="F395" s="115" t="inlineStr">
        <is>
          <t>1318</t>
        </is>
      </c>
      <c r="G395" s="116" t="n"/>
      <c r="H395" s="115" t="inlineStr">
        <is>
          <t>Нараховані витрати за кредитами, що отримані від Національного банку України шляхом рефінансування</t>
        </is>
      </c>
      <c r="I395" s="115" t="inlineStr">
        <is>
          <t>П</t>
        </is>
      </c>
      <c r="J395" s="117" t="n">
        <v>0</v>
      </c>
      <c r="K395" s="117" t="n">
        <v>0</v>
      </c>
      <c r="L395" s="117" t="n">
        <v>0</v>
      </c>
      <c r="M395" s="117" t="n">
        <v>0</v>
      </c>
      <c r="N395" s="116" t="n"/>
      <c r="O395" s="117" t="n">
        <v>0</v>
      </c>
      <c r="P395" s="117" t="n">
        <v>0</v>
      </c>
      <c r="Q395" s="117" t="n">
        <v>0</v>
      </c>
      <c r="R395" s="117" t="n">
        <v>0</v>
      </c>
      <c r="S395" s="118" t="n">
        <v>0</v>
      </c>
      <c r="T395" s="110" t="n"/>
    </row>
    <row r="396" ht="13.5" customHeight="1" s="52">
      <c r="A396" s="104" t="n">
        <v>389</v>
      </c>
      <c r="B396" s="119" t="n"/>
      <c r="C396" s="119" t="n"/>
      <c r="D396" s="119" t="n"/>
      <c r="F396" s="120" t="inlineStr">
        <is>
          <t>Група 131 - Усього</t>
        </is>
      </c>
      <c r="G396" s="116" t="n"/>
      <c r="H396" s="116" t="n"/>
      <c r="I396" s="120" t="n"/>
      <c r="J396" s="121" t="n">
        <v>0</v>
      </c>
      <c r="K396" s="121" t="n">
        <v>0</v>
      </c>
      <c r="L396" s="121" t="n">
        <v>0</v>
      </c>
      <c r="M396" s="121" t="n">
        <v>0</v>
      </c>
      <c r="N396" s="116" t="n"/>
      <c r="O396" s="121" t="n">
        <v>0</v>
      </c>
      <c r="P396" s="121" t="n">
        <v>0</v>
      </c>
      <c r="Q396" s="121" t="n">
        <v>0</v>
      </c>
      <c r="R396" s="121" t="n">
        <v>0</v>
      </c>
      <c r="S396" s="122" t="n">
        <v>0</v>
      </c>
      <c r="T396" s="110" t="n"/>
    </row>
    <row r="397" ht="17.25" customHeight="1" s="52">
      <c r="A397" s="104" t="n">
        <v>390</v>
      </c>
      <c r="B397" s="119" t="n"/>
      <c r="C397" s="119" t="n"/>
      <c r="D397" s="120" t="inlineStr">
        <is>
          <t>Розділ 13 - Усього</t>
        </is>
      </c>
      <c r="E397" s="116" t="n"/>
      <c r="F397" s="120" t="n"/>
      <c r="G397" s="116" t="n"/>
      <c r="H397" s="116" t="n"/>
      <c r="I397" s="120" t="n"/>
      <c r="J397" s="121" t="n">
        <v>0</v>
      </c>
      <c r="K397" s="121" t="n">
        <v>0</v>
      </c>
      <c r="L397" s="121" t="n">
        <v>0</v>
      </c>
      <c r="M397" s="121" t="n">
        <v>0</v>
      </c>
      <c r="N397" s="116" t="n"/>
      <c r="O397" s="121" t="n">
        <v>0</v>
      </c>
      <c r="P397" s="121" t="n">
        <v>0</v>
      </c>
      <c r="Q397" s="121" t="n">
        <v>0</v>
      </c>
      <c r="R397" s="121" t="n">
        <v>0</v>
      </c>
      <c r="S397" s="122" t="n">
        <v>0</v>
      </c>
      <c r="T397" s="110" t="n"/>
    </row>
    <row r="398" ht="14.25" customHeight="1" s="52">
      <c r="A398" s="104" t="n">
        <v>391</v>
      </c>
      <c r="B398" s="119" t="n"/>
      <c r="C398" s="115" t="inlineStr">
        <is>
          <t>15</t>
        </is>
      </c>
      <c r="D398" s="115" t="inlineStr">
        <is>
          <t>150</t>
        </is>
      </c>
      <c r="E398" s="116" t="n"/>
      <c r="F398" s="115" t="inlineStr">
        <is>
          <t>1507</t>
        </is>
      </c>
      <c r="G398" s="116" t="n"/>
      <c r="H398" s="115" t="inlineStr">
        <is>
          <t>Нараховані витрати за отриманими кредитами овердрафт від інших банків</t>
        </is>
      </c>
      <c r="I398" s="115" t="inlineStr">
        <is>
          <t>П</t>
        </is>
      </c>
      <c r="J398" s="117" t="n">
        <v>0</v>
      </c>
      <c r="K398" s="117" t="n">
        <v>0</v>
      </c>
      <c r="L398" s="117" t="n">
        <v>0</v>
      </c>
      <c r="M398" s="117" t="n">
        <v>0</v>
      </c>
      <c r="N398" s="116" t="n"/>
      <c r="O398" s="117" t="n">
        <v>0</v>
      </c>
      <c r="P398" s="117" t="n">
        <v>0</v>
      </c>
      <c r="Q398" s="117" t="n">
        <v>0</v>
      </c>
      <c r="R398" s="117" t="n">
        <v>0</v>
      </c>
      <c r="S398" s="118" t="n">
        <v>0</v>
      </c>
      <c r="T398" s="110" t="n"/>
    </row>
    <row r="399" ht="13.5" customHeight="1" s="52">
      <c r="A399" s="104" t="n">
        <v>392</v>
      </c>
      <c r="B399" s="119" t="n"/>
      <c r="C399" s="119" t="n"/>
      <c r="D399" s="119" t="n"/>
      <c r="F399" s="115" t="inlineStr">
        <is>
          <t>1500</t>
        </is>
      </c>
      <c r="G399" s="116" t="n"/>
      <c r="H399" s="115" t="inlineStr">
        <is>
          <t>Кореспондентські рахунки, що відкриті в інших банках</t>
        </is>
      </c>
      <c r="I399" s="115" t="inlineStr">
        <is>
          <t>П</t>
        </is>
      </c>
      <c r="J399" s="117" t="n">
        <v>0</v>
      </c>
      <c r="K399" s="117" t="n">
        <v>0</v>
      </c>
      <c r="L399" s="117" t="n">
        <v>0</v>
      </c>
      <c r="M399" s="117" t="n">
        <v>0</v>
      </c>
      <c r="N399" s="116" t="n"/>
      <c r="O399" s="117" t="n">
        <v>0</v>
      </c>
      <c r="P399" s="117" t="n">
        <v>0</v>
      </c>
      <c r="Q399" s="117" t="n">
        <v>0</v>
      </c>
      <c r="R399" s="117" t="n">
        <v>0</v>
      </c>
      <c r="S399" s="118" t="n">
        <v>0</v>
      </c>
      <c r="T399" s="110" t="n"/>
    </row>
    <row r="400" ht="13.5" customHeight="1" s="52">
      <c r="A400" s="104" t="n">
        <v>393</v>
      </c>
      <c r="B400" s="119" t="n"/>
      <c r="C400" s="119" t="n"/>
      <c r="D400" s="119" t="n"/>
      <c r="F400" s="120" t="inlineStr">
        <is>
          <t>Група 150 - Усього</t>
        </is>
      </c>
      <c r="G400" s="116" t="n"/>
      <c r="H400" s="116" t="n"/>
      <c r="I400" s="120" t="n"/>
      <c r="J400" s="121" t="n">
        <v>0</v>
      </c>
      <c r="K400" s="121" t="n">
        <v>0</v>
      </c>
      <c r="L400" s="121" t="n">
        <v>0</v>
      </c>
      <c r="M400" s="121" t="n">
        <v>0</v>
      </c>
      <c r="N400" s="116" t="n"/>
      <c r="O400" s="121" t="n">
        <v>0</v>
      </c>
      <c r="P400" s="121" t="n">
        <v>0</v>
      </c>
      <c r="Q400" s="121" t="n">
        <v>0</v>
      </c>
      <c r="R400" s="121" t="n">
        <v>0</v>
      </c>
      <c r="S400" s="122" t="n">
        <v>0</v>
      </c>
      <c r="T400" s="110" t="n"/>
    </row>
    <row r="401" ht="21" customHeight="1" s="52">
      <c r="A401" s="104" t="n">
        <v>394</v>
      </c>
      <c r="B401" s="119" t="n"/>
      <c r="C401" s="119" t="n"/>
      <c r="D401" s="120" t="inlineStr">
        <is>
          <t>Розділ 15 - Усього</t>
        </is>
      </c>
      <c r="E401" s="116" t="n"/>
      <c r="F401" s="120" t="n"/>
      <c r="G401" s="116" t="n"/>
      <c r="H401" s="116" t="n"/>
      <c r="I401" s="120" t="n"/>
      <c r="J401" s="121" t="n">
        <v>0</v>
      </c>
      <c r="K401" s="121" t="n">
        <v>0</v>
      </c>
      <c r="L401" s="121" t="n">
        <v>0</v>
      </c>
      <c r="M401" s="121" t="n">
        <v>0</v>
      </c>
      <c r="N401" s="116" t="n"/>
      <c r="O401" s="121" t="n">
        <v>0</v>
      </c>
      <c r="P401" s="121" t="n">
        <v>0</v>
      </c>
      <c r="Q401" s="121" t="n">
        <v>0</v>
      </c>
      <c r="R401" s="121" t="n">
        <v>0</v>
      </c>
      <c r="S401" s="122" t="n">
        <v>0</v>
      </c>
      <c r="T401" s="110" t="n"/>
    </row>
    <row r="402" ht="13.5" customHeight="1" s="52">
      <c r="A402" s="104" t="n">
        <v>395</v>
      </c>
      <c r="B402" s="119" t="n"/>
      <c r="C402" s="115" t="inlineStr">
        <is>
          <t>16</t>
        </is>
      </c>
      <c r="D402" s="115" t="inlineStr">
        <is>
          <t>160</t>
        </is>
      </c>
      <c r="E402" s="116" t="n"/>
      <c r="F402" s="115" t="inlineStr">
        <is>
          <t>1600</t>
        </is>
      </c>
      <c r="G402" s="116" t="n"/>
      <c r="H402" s="115" t="inlineStr">
        <is>
          <t>Кореспондентські рахунки інших банків</t>
        </is>
      </c>
      <c r="I402" s="115" t="inlineStr">
        <is>
          <t>П</t>
        </is>
      </c>
      <c r="J402" s="117" t="n">
        <v>0</v>
      </c>
      <c r="K402" s="117" t="n">
        <v>0</v>
      </c>
      <c r="L402" s="117" t="n">
        <v>0</v>
      </c>
      <c r="M402" s="117" t="n">
        <v>0</v>
      </c>
      <c r="N402" s="116" t="n"/>
      <c r="O402" s="117" t="n">
        <v>0</v>
      </c>
      <c r="P402" s="117" t="n">
        <v>0</v>
      </c>
      <c r="Q402" s="117" t="n">
        <v>5732488.38539</v>
      </c>
      <c r="R402" s="117" t="n">
        <v>4509134.76147</v>
      </c>
      <c r="S402" s="118" t="n">
        <v>1223353.62392</v>
      </c>
      <c r="T402" s="110" t="n"/>
    </row>
    <row r="403" ht="14.25" customHeight="1" s="52">
      <c r="A403" s="104" t="n">
        <v>396</v>
      </c>
      <c r="B403" s="119" t="n"/>
      <c r="C403" s="119" t="n"/>
      <c r="D403" s="119" t="n"/>
      <c r="F403" s="115" t="inlineStr">
        <is>
          <t>1602</t>
        </is>
      </c>
      <c r="G403" s="116" t="n"/>
      <c r="H403" s="115" t="inlineStr">
        <is>
          <t>Кошти інших банків за рахунками умовного зберігання (ескроу)</t>
        </is>
      </c>
      <c r="I403" s="115" t="inlineStr">
        <is>
          <t>П</t>
        </is>
      </c>
      <c r="J403" s="117" t="n">
        <v>0</v>
      </c>
      <c r="K403" s="117" t="n">
        <v>0</v>
      </c>
      <c r="L403" s="117" t="n">
        <v>0</v>
      </c>
      <c r="M403" s="117" t="n">
        <v>0</v>
      </c>
      <c r="N403" s="116" t="n"/>
      <c r="O403" s="117" t="n">
        <v>0</v>
      </c>
      <c r="P403" s="117" t="n">
        <v>0</v>
      </c>
      <c r="Q403" s="117" t="n">
        <v>0</v>
      </c>
      <c r="R403" s="117" t="n">
        <v>0</v>
      </c>
      <c r="S403" s="118" t="n">
        <v>0</v>
      </c>
      <c r="T403" s="110" t="n"/>
    </row>
    <row r="404" ht="13.5" customHeight="1" s="52">
      <c r="A404" s="104" t="n">
        <v>397</v>
      </c>
      <c r="B404" s="119" t="n"/>
      <c r="C404" s="119" t="n"/>
      <c r="D404" s="119" t="n"/>
      <c r="F404" s="115" t="inlineStr">
        <is>
          <t>1608</t>
        </is>
      </c>
      <c r="G404" s="116" t="n"/>
      <c r="H404" s="115" t="inlineStr">
        <is>
          <t>Нараховані витрати за коштами на вимогу інших банків</t>
        </is>
      </c>
      <c r="I404" s="115" t="inlineStr">
        <is>
          <t>А</t>
        </is>
      </c>
      <c r="J404" s="117" t="n">
        <v>0</v>
      </c>
      <c r="K404" s="117" t="n">
        <v>0</v>
      </c>
      <c r="L404" s="117" t="n">
        <v>0</v>
      </c>
      <c r="M404" s="117" t="n">
        <v>0</v>
      </c>
      <c r="N404" s="116" t="n"/>
      <c r="O404" s="117" t="n">
        <v>0</v>
      </c>
      <c r="P404" s="117" t="n">
        <v>0</v>
      </c>
      <c r="Q404" s="117" t="n">
        <v>0</v>
      </c>
      <c r="R404" s="117" t="n">
        <v>0</v>
      </c>
      <c r="S404" s="118" t="n">
        <v>0</v>
      </c>
      <c r="T404" s="110" t="n"/>
    </row>
    <row r="405" ht="13.5" customHeight="1" s="52">
      <c r="A405" s="104" t="n">
        <v>398</v>
      </c>
      <c r="B405" s="119" t="n"/>
      <c r="C405" s="119" t="n"/>
      <c r="D405" s="119" t="n"/>
      <c r="F405" s="119" t="n"/>
      <c r="H405" s="119" t="n"/>
      <c r="I405" s="115" t="inlineStr">
        <is>
          <t>П</t>
        </is>
      </c>
      <c r="J405" s="117" t="n">
        <v>0</v>
      </c>
      <c r="K405" s="117" t="n">
        <v>0</v>
      </c>
      <c r="L405" s="117" t="n">
        <v>0</v>
      </c>
      <c r="M405" s="117" t="n">
        <v>0</v>
      </c>
      <c r="N405" s="116" t="n"/>
      <c r="O405" s="117" t="n">
        <v>0</v>
      </c>
      <c r="P405" s="117" t="n">
        <v>0</v>
      </c>
      <c r="Q405" s="117" t="n">
        <v>0</v>
      </c>
      <c r="R405" s="117" t="n">
        <v>0</v>
      </c>
      <c r="S405" s="118" t="n">
        <v>0</v>
      </c>
      <c r="T405" s="110" t="n"/>
    </row>
    <row r="406" ht="13.5" customHeight="1" s="52">
      <c r="A406" s="104" t="n">
        <v>399</v>
      </c>
      <c r="B406" s="119" t="n"/>
      <c r="C406" s="119" t="n"/>
      <c r="D406" s="119" t="n"/>
      <c r="F406" s="120" t="inlineStr">
        <is>
          <t>Група 160 - Усього</t>
        </is>
      </c>
      <c r="G406" s="116" t="n"/>
      <c r="H406" s="116" t="n"/>
      <c r="I406" s="120" t="n"/>
      <c r="J406" s="121" t="n">
        <v>0</v>
      </c>
      <c r="K406" s="121" t="n">
        <v>0</v>
      </c>
      <c r="L406" s="121" t="n">
        <v>0</v>
      </c>
      <c r="M406" s="121" t="n">
        <v>0</v>
      </c>
      <c r="N406" s="116" t="n"/>
      <c r="O406" s="121" t="n">
        <v>0</v>
      </c>
      <c r="P406" s="121" t="n">
        <v>0</v>
      </c>
      <c r="Q406" s="121" t="n">
        <v>5732488.38539</v>
      </c>
      <c r="R406" s="121" t="n">
        <v>4509134.76147</v>
      </c>
      <c r="S406" s="122" t="n">
        <v>1223353.62392</v>
      </c>
      <c r="T406" s="110" t="n"/>
    </row>
    <row r="407" ht="13.5" customHeight="1" s="52">
      <c r="A407" s="104" t="n">
        <v>400</v>
      </c>
      <c r="B407" s="119" t="n"/>
      <c r="C407" s="119" t="n"/>
      <c r="D407" s="115" t="inlineStr">
        <is>
          <t>161</t>
        </is>
      </c>
      <c r="E407" s="116" t="n"/>
      <c r="F407" s="115" t="inlineStr">
        <is>
          <t>1613</t>
        </is>
      </c>
      <c r="G407" s="116" t="n"/>
      <c r="H407" s="115" t="inlineStr">
        <is>
          <t>Строкові вклади (депозити) інших банків, які обліковуються за амортизованою собівартістю</t>
        </is>
      </c>
      <c r="I407" s="115" t="inlineStr">
        <is>
          <t>П</t>
        </is>
      </c>
      <c r="J407" s="117" t="n">
        <v>177.4026</v>
      </c>
      <c r="K407" s="117" t="n">
        <v>0</v>
      </c>
      <c r="L407" s="117" t="n">
        <v>177.4026</v>
      </c>
      <c r="M407" s="117" t="n">
        <v>266.928</v>
      </c>
      <c r="N407" s="116" t="n"/>
      <c r="O407" s="117" t="n">
        <v>0</v>
      </c>
      <c r="P407" s="117" t="n">
        <v>266.928</v>
      </c>
      <c r="Q407" s="117" t="n">
        <v>16961.5056</v>
      </c>
      <c r="R407" s="117" t="n">
        <v>0</v>
      </c>
      <c r="S407" s="118" t="n">
        <v>16961.5056</v>
      </c>
      <c r="T407" s="110" t="n"/>
    </row>
    <row r="408" ht="14.25" customHeight="1" s="52">
      <c r="A408" s="104" t="n">
        <v>401</v>
      </c>
      <c r="B408" s="119" t="n"/>
      <c r="C408" s="119" t="n"/>
      <c r="D408" s="119" t="n"/>
      <c r="F408" s="115" t="inlineStr">
        <is>
          <t>1618</t>
        </is>
      </c>
      <c r="G408" s="116" t="n"/>
      <c r="H408" s="115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8" s="115" t="inlineStr">
        <is>
          <t>А</t>
        </is>
      </c>
      <c r="J408" s="117" t="n">
        <v>11.29248</v>
      </c>
      <c r="K408" s="117" t="n">
        <v>0</v>
      </c>
      <c r="L408" s="117" t="n">
        <v>11.29248</v>
      </c>
      <c r="M408" s="117" t="n">
        <v>11.29248</v>
      </c>
      <c r="N408" s="116" t="n"/>
      <c r="O408" s="117" t="n">
        <v>0</v>
      </c>
      <c r="P408" s="117" t="n">
        <v>11.29248</v>
      </c>
      <c r="Q408" s="117" t="n">
        <v>0</v>
      </c>
      <c r="R408" s="117" t="n">
        <v>0</v>
      </c>
      <c r="S408" s="118" t="n">
        <v>0</v>
      </c>
      <c r="T408" s="110" t="n"/>
    </row>
    <row r="409" ht="13.5" customHeight="1" s="52">
      <c r="A409" s="104" t="n">
        <v>402</v>
      </c>
      <c r="B409" s="119" t="n"/>
      <c r="C409" s="119" t="n"/>
      <c r="D409" s="119" t="n"/>
      <c r="F409" s="119" t="n"/>
      <c r="H409" s="119" t="n"/>
      <c r="I409" s="115" t="inlineStr">
        <is>
          <t>П</t>
        </is>
      </c>
      <c r="J409" s="117" t="n">
        <v>0</v>
      </c>
      <c r="K409" s="117" t="n">
        <v>0</v>
      </c>
      <c r="L409" s="117" t="n">
        <v>0</v>
      </c>
      <c r="M409" s="117" t="n">
        <v>0</v>
      </c>
      <c r="N409" s="116" t="n"/>
      <c r="O409" s="117" t="n">
        <v>0</v>
      </c>
      <c r="P409" s="117" t="n">
        <v>0</v>
      </c>
      <c r="Q409" s="117" t="n">
        <v>0</v>
      </c>
      <c r="R409" s="117" t="n">
        <v>0</v>
      </c>
      <c r="S409" s="118" t="n">
        <v>0</v>
      </c>
      <c r="T409" s="110" t="n"/>
    </row>
    <row r="410" ht="13.5" customHeight="1" s="52">
      <c r="A410" s="104" t="n">
        <v>403</v>
      </c>
      <c r="B410" s="119" t="n"/>
      <c r="C410" s="119" t="n"/>
      <c r="D410" s="119" t="n"/>
      <c r="F410" s="115" t="inlineStr">
        <is>
          <t>1616</t>
        </is>
      </c>
      <c r="G410" s="116" t="n"/>
      <c r="H410" s="115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10" s="115" t="inlineStr">
        <is>
          <t>А</t>
        </is>
      </c>
      <c r="J410" s="117" t="n">
        <v>0</v>
      </c>
      <c r="K410" s="117" t="n">
        <v>0</v>
      </c>
      <c r="L410" s="117" t="n">
        <v>0</v>
      </c>
      <c r="M410" s="117" t="n">
        <v>0</v>
      </c>
      <c r="N410" s="116" t="n"/>
      <c r="O410" s="117" t="n">
        <v>0</v>
      </c>
      <c r="P410" s="117" t="n">
        <v>0</v>
      </c>
      <c r="Q410" s="117" t="n">
        <v>0</v>
      </c>
      <c r="R410" s="117" t="n">
        <v>0</v>
      </c>
      <c r="S410" s="118" t="n">
        <v>0</v>
      </c>
      <c r="T410" s="110" t="n"/>
    </row>
    <row r="411" ht="13.5" customHeight="1" s="52">
      <c r="A411" s="104" t="n">
        <v>404</v>
      </c>
      <c r="B411" s="119" t="n"/>
      <c r="C411" s="119" t="n"/>
      <c r="D411" s="119" t="n"/>
      <c r="F411" s="120" t="inlineStr">
        <is>
          <t>Група 161 - Усього</t>
        </is>
      </c>
      <c r="G411" s="116" t="n"/>
      <c r="H411" s="116" t="n"/>
      <c r="I411" s="120" t="n"/>
      <c r="J411" s="121" t="n">
        <v>188.69508</v>
      </c>
      <c r="K411" s="121" t="n">
        <v>0</v>
      </c>
      <c r="L411" s="121" t="n">
        <v>188.69508</v>
      </c>
      <c r="M411" s="121" t="n">
        <v>278.22048</v>
      </c>
      <c r="N411" s="116" t="n"/>
      <c r="O411" s="121" t="n">
        <v>0</v>
      </c>
      <c r="P411" s="121" t="n">
        <v>278.22048</v>
      </c>
      <c r="Q411" s="121" t="n">
        <v>16961.5056</v>
      </c>
      <c r="R411" s="121" t="n">
        <v>0</v>
      </c>
      <c r="S411" s="122" t="n">
        <v>16961.5056</v>
      </c>
      <c r="T411" s="110" t="n"/>
    </row>
    <row r="412" ht="13.5" customHeight="1" s="52">
      <c r="A412" s="104" t="n">
        <v>405</v>
      </c>
      <c r="B412" s="119" t="n"/>
      <c r="C412" s="119" t="n"/>
      <c r="D412" s="115" t="inlineStr">
        <is>
          <t>162</t>
        </is>
      </c>
      <c r="E412" s="116" t="n"/>
      <c r="F412" s="115" t="inlineStr">
        <is>
          <t>1621</t>
        </is>
      </c>
      <c r="G412" s="116" t="n"/>
      <c r="H412" s="115" t="inlineStr">
        <is>
          <t>Кредити овернайт, що отримані від інших банків, які обліковуються за амортизованою собівартістю</t>
        </is>
      </c>
      <c r="I412" s="115" t="inlineStr">
        <is>
          <t>П</t>
        </is>
      </c>
      <c r="J412" s="117" t="n">
        <v>0</v>
      </c>
      <c r="K412" s="117" t="n">
        <v>0</v>
      </c>
      <c r="L412" s="117" t="n">
        <v>0</v>
      </c>
      <c r="M412" s="117" t="n">
        <v>0</v>
      </c>
      <c r="N412" s="116" t="n"/>
      <c r="O412" s="117" t="n">
        <v>0</v>
      </c>
      <c r="P412" s="117" t="n">
        <v>0</v>
      </c>
      <c r="Q412" s="117" t="n">
        <v>0</v>
      </c>
      <c r="R412" s="117" t="n">
        <v>0</v>
      </c>
      <c r="S412" s="118" t="n">
        <v>0</v>
      </c>
      <c r="T412" s="110" t="n"/>
    </row>
    <row r="413" ht="14.25" customHeight="1" s="52">
      <c r="A413" s="104" t="n">
        <v>406</v>
      </c>
      <c r="B413" s="119" t="n"/>
      <c r="C413" s="119" t="n"/>
      <c r="D413" s="119" t="n"/>
      <c r="F413" s="115" t="inlineStr">
        <is>
          <t>1622</t>
        </is>
      </c>
      <c r="G413" s="116" t="n"/>
      <c r="H413" s="115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13" s="115" t="inlineStr">
        <is>
          <t>П</t>
        </is>
      </c>
      <c r="J413" s="117" t="n">
        <v>0</v>
      </c>
      <c r="K413" s="117" t="n">
        <v>0</v>
      </c>
      <c r="L413" s="117" t="n">
        <v>0</v>
      </c>
      <c r="M413" s="117" t="n">
        <v>0</v>
      </c>
      <c r="N413" s="116" t="n"/>
      <c r="O413" s="117" t="n">
        <v>0</v>
      </c>
      <c r="P413" s="117" t="n">
        <v>0</v>
      </c>
      <c r="Q413" s="117" t="n">
        <v>0</v>
      </c>
      <c r="R413" s="117" t="n">
        <v>0</v>
      </c>
      <c r="S413" s="118" t="n">
        <v>0</v>
      </c>
      <c r="T413" s="110" t="n"/>
    </row>
    <row r="414" ht="13.5" customHeight="1" s="52">
      <c r="A414" s="104" t="n">
        <v>407</v>
      </c>
      <c r="B414" s="119" t="n"/>
      <c r="C414" s="119" t="n"/>
      <c r="D414" s="119" t="n"/>
      <c r="F414" s="115" t="inlineStr">
        <is>
          <t>1623</t>
        </is>
      </c>
      <c r="G414" s="116" t="n"/>
      <c r="H414" s="115" t="inlineStr">
        <is>
          <t>Інші кредити, що отримані від інших банків, які обліковуються за амортизованою собівартістю</t>
        </is>
      </c>
      <c r="I414" s="115" t="inlineStr">
        <is>
          <t>П</t>
        </is>
      </c>
      <c r="J414" s="117" t="n">
        <v>0</v>
      </c>
      <c r="K414" s="117" t="n">
        <v>0</v>
      </c>
      <c r="L414" s="117" t="n">
        <v>0</v>
      </c>
      <c r="M414" s="117" t="n">
        <v>0</v>
      </c>
      <c r="N414" s="116" t="n"/>
      <c r="O414" s="117" t="n">
        <v>0</v>
      </c>
      <c r="P414" s="117" t="n">
        <v>0</v>
      </c>
      <c r="Q414" s="117" t="n">
        <v>0</v>
      </c>
      <c r="R414" s="117" t="n">
        <v>0</v>
      </c>
      <c r="S414" s="118" t="n">
        <v>0</v>
      </c>
      <c r="T414" s="110" t="n"/>
    </row>
    <row r="415" ht="13.5" customHeight="1" s="52">
      <c r="A415" s="104" t="n">
        <v>408</v>
      </c>
      <c r="B415" s="119" t="n"/>
      <c r="C415" s="119" t="n"/>
      <c r="D415" s="119" t="n"/>
      <c r="F415" s="115" t="inlineStr">
        <is>
          <t>1626</t>
        </is>
      </c>
      <c r="G415" s="116" t="n"/>
      <c r="H415" s="115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15" s="115" t="inlineStr">
        <is>
          <t>А</t>
        </is>
      </c>
      <c r="J415" s="117" t="n">
        <v>0</v>
      </c>
      <c r="K415" s="117" t="n">
        <v>0</v>
      </c>
      <c r="L415" s="117" t="n">
        <v>0</v>
      </c>
      <c r="M415" s="117" t="n">
        <v>0</v>
      </c>
      <c r="N415" s="116" t="n"/>
      <c r="O415" s="117" t="n">
        <v>0</v>
      </c>
      <c r="P415" s="117" t="n">
        <v>0</v>
      </c>
      <c r="Q415" s="117" t="n">
        <v>0</v>
      </c>
      <c r="R415" s="117" t="n">
        <v>0</v>
      </c>
      <c r="S415" s="118" t="n">
        <v>0</v>
      </c>
      <c r="T415" s="110" t="n"/>
    </row>
    <row r="416" ht="13.5" customHeight="1" s="52">
      <c r="A416" s="104" t="n">
        <v>409</v>
      </c>
      <c r="B416" s="119" t="n"/>
      <c r="C416" s="119" t="n"/>
      <c r="D416" s="119" t="n"/>
      <c r="F416" s="115" t="inlineStr">
        <is>
          <t>1628</t>
        </is>
      </c>
      <c r="G416" s="116" t="n"/>
      <c r="H416" s="115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6" s="115" t="inlineStr">
        <is>
          <t>П</t>
        </is>
      </c>
      <c r="J416" s="117" t="n">
        <v>0</v>
      </c>
      <c r="K416" s="117" t="n">
        <v>0</v>
      </c>
      <c r="L416" s="117" t="n">
        <v>0</v>
      </c>
      <c r="M416" s="117" t="n">
        <v>0</v>
      </c>
      <c r="N416" s="116" t="n"/>
      <c r="O416" s="117" t="n">
        <v>0</v>
      </c>
      <c r="P416" s="117" t="n">
        <v>0</v>
      </c>
      <c r="Q416" s="117" t="n">
        <v>0</v>
      </c>
      <c r="R416" s="117" t="n">
        <v>0</v>
      </c>
      <c r="S416" s="118" t="n">
        <v>0</v>
      </c>
      <c r="T416" s="110" t="n"/>
    </row>
    <row r="417" ht="13.5" customHeight="1" s="52">
      <c r="A417" s="104" t="n">
        <v>410</v>
      </c>
      <c r="B417" s="119" t="n"/>
      <c r="C417" s="119" t="n"/>
      <c r="D417" s="119" t="n"/>
      <c r="F417" s="120" t="inlineStr">
        <is>
          <t>Група 162 - Усього</t>
        </is>
      </c>
      <c r="G417" s="116" t="n"/>
      <c r="H417" s="116" t="n"/>
      <c r="I417" s="120" t="n"/>
      <c r="J417" s="121" t="n">
        <v>0</v>
      </c>
      <c r="K417" s="121" t="n">
        <v>0</v>
      </c>
      <c r="L417" s="121" t="n">
        <v>0</v>
      </c>
      <c r="M417" s="121" t="n">
        <v>0</v>
      </c>
      <c r="N417" s="116" t="n"/>
      <c r="O417" s="121" t="n">
        <v>0</v>
      </c>
      <c r="P417" s="121" t="n">
        <v>0</v>
      </c>
      <c r="Q417" s="121" t="n">
        <v>0</v>
      </c>
      <c r="R417" s="121" t="n">
        <v>0</v>
      </c>
      <c r="S417" s="122" t="n">
        <v>0</v>
      </c>
      <c r="T417" s="110" t="n"/>
    </row>
    <row r="418" ht="21.75" customHeight="1" s="52">
      <c r="A418" s="104" t="n">
        <v>411</v>
      </c>
      <c r="B418" s="119" t="n"/>
      <c r="C418" s="119" t="n"/>
      <c r="D418" s="120" t="inlineStr">
        <is>
          <t>Розділ 16 - Усього</t>
        </is>
      </c>
      <c r="E418" s="116" t="n"/>
      <c r="F418" s="120" t="n"/>
      <c r="G418" s="116" t="n"/>
      <c r="H418" s="116" t="n"/>
      <c r="I418" s="120" t="n"/>
      <c r="J418" s="121" t="n">
        <v>188.69508</v>
      </c>
      <c r="K418" s="121" t="n">
        <v>0</v>
      </c>
      <c r="L418" s="121" t="n">
        <v>188.69508</v>
      </c>
      <c r="M418" s="121" t="n">
        <v>278.22048</v>
      </c>
      <c r="N418" s="116" t="n"/>
      <c r="O418" s="121" t="n">
        <v>0</v>
      </c>
      <c r="P418" s="121" t="n">
        <v>278.22048</v>
      </c>
      <c r="Q418" s="121" t="n">
        <v>5749449.89099</v>
      </c>
      <c r="R418" s="121" t="n">
        <v>4509134.76147</v>
      </c>
      <c r="S418" s="122" t="n">
        <v>1240315.12952</v>
      </c>
      <c r="T418" s="110" t="n"/>
    </row>
    <row r="419" ht="13.5" customHeight="1" s="52">
      <c r="A419" s="104" t="n">
        <v>412</v>
      </c>
      <c r="B419" s="119" t="n"/>
      <c r="C419" s="115" t="inlineStr">
        <is>
          <t>19</t>
        </is>
      </c>
      <c r="D419" s="115" t="inlineStr">
        <is>
          <t>191</t>
        </is>
      </c>
      <c r="E419" s="116" t="n"/>
      <c r="F419" s="115" t="inlineStr">
        <is>
          <t>1911</t>
        </is>
      </c>
      <c r="G419" s="116" t="n"/>
      <c r="H419" s="115" t="inlineStr">
        <is>
          <t>Кредиторська заборгованість за операціями з готівкою</t>
        </is>
      </c>
      <c r="I419" s="115" t="inlineStr">
        <is>
          <t>П</t>
        </is>
      </c>
      <c r="J419" s="117" t="n">
        <v>506314.94026</v>
      </c>
      <c r="K419" s="117" t="n">
        <v>374895.84</v>
      </c>
      <c r="L419" s="117" t="n">
        <v>131419.10026</v>
      </c>
      <c r="M419" s="117" t="n">
        <v>506315.11961</v>
      </c>
      <c r="N419" s="116" t="n"/>
      <c r="O419" s="117" t="n">
        <v>374895.84</v>
      </c>
      <c r="P419" s="117" t="n">
        <v>131419.27961</v>
      </c>
      <c r="Q419" s="117" t="n">
        <v>24.43595</v>
      </c>
      <c r="R419" s="117" t="n">
        <v>0</v>
      </c>
      <c r="S419" s="118" t="n">
        <v>24.43595</v>
      </c>
      <c r="T419" s="110" t="n"/>
    </row>
    <row r="420" ht="13.5" customHeight="1" s="52">
      <c r="A420" s="104" t="n">
        <v>413</v>
      </c>
      <c r="B420" s="119" t="n"/>
      <c r="C420" s="119" t="n"/>
      <c r="D420" s="119" t="n"/>
      <c r="F420" s="115" t="inlineStr">
        <is>
          <t>1919</t>
        </is>
      </c>
      <c r="G420" s="116" t="n"/>
      <c r="H420" s="115" t="inlineStr">
        <is>
          <t>Інша кредиторська заборгованість за операціями з банками</t>
        </is>
      </c>
      <c r="I420" s="115" t="inlineStr">
        <is>
          <t>П</t>
        </is>
      </c>
      <c r="J420" s="117" t="n">
        <v>689773.86934</v>
      </c>
      <c r="K420" s="117" t="n">
        <v>699.41394</v>
      </c>
      <c r="L420" s="117" t="n">
        <v>689074.4554</v>
      </c>
      <c r="M420" s="117" t="n">
        <v>541101.50528</v>
      </c>
      <c r="N420" s="116" t="n"/>
      <c r="O420" s="117" t="n">
        <v>699.41394</v>
      </c>
      <c r="P420" s="117" t="n">
        <v>540402.09134</v>
      </c>
      <c r="Q420" s="117" t="n">
        <v>60436.3007</v>
      </c>
      <c r="R420" s="117" t="n">
        <v>0</v>
      </c>
      <c r="S420" s="118" t="n">
        <v>60436.3007</v>
      </c>
      <c r="T420" s="110" t="n"/>
    </row>
    <row r="421" ht="13.5" customHeight="1" s="52">
      <c r="A421" s="104" t="n">
        <v>414</v>
      </c>
      <c r="B421" s="119" t="n"/>
      <c r="C421" s="119" t="n"/>
      <c r="D421" s="119" t="n"/>
      <c r="F421" s="120" t="inlineStr">
        <is>
          <t>Група 191 - Усього</t>
        </is>
      </c>
      <c r="G421" s="116" t="n"/>
      <c r="H421" s="116" t="n"/>
      <c r="I421" s="120" t="n"/>
      <c r="J421" s="121" t="n">
        <v>1196088.8096</v>
      </c>
      <c r="K421" s="121" t="n">
        <v>375595.25394</v>
      </c>
      <c r="L421" s="121" t="n">
        <v>820493.55566</v>
      </c>
      <c r="M421" s="121" t="n">
        <v>1047416.62489</v>
      </c>
      <c r="N421" s="116" t="n"/>
      <c r="O421" s="121" t="n">
        <v>375595.25394</v>
      </c>
      <c r="P421" s="121" t="n">
        <v>671821.37095</v>
      </c>
      <c r="Q421" s="121" t="n">
        <v>60460.73665</v>
      </c>
      <c r="R421" s="121" t="n">
        <v>0</v>
      </c>
      <c r="S421" s="122" t="n">
        <v>60460.73665</v>
      </c>
      <c r="T421" s="110" t="n"/>
    </row>
    <row r="422" ht="13.5" customHeight="1" s="52">
      <c r="A422" s="104" t="n">
        <v>415</v>
      </c>
      <c r="B422" s="119" t="n"/>
      <c r="C422" s="119" t="n"/>
      <c r="D422" s="115" t="inlineStr">
        <is>
          <t>193</t>
        </is>
      </c>
      <c r="E422" s="116" t="n"/>
      <c r="F422" s="115" t="inlineStr">
        <is>
          <t>1932</t>
        </is>
      </c>
      <c r="G422" s="116" t="n"/>
      <c r="H422" s="115" t="inlineStr">
        <is>
          <t>Кошти в розрахунках інших банків</t>
        </is>
      </c>
      <c r="I422" s="115" t="inlineStr">
        <is>
          <t>П</t>
        </is>
      </c>
      <c r="J422" s="117" t="n">
        <v>0</v>
      </c>
      <c r="K422" s="117" t="n">
        <v>0</v>
      </c>
      <c r="L422" s="117" t="n">
        <v>0</v>
      </c>
      <c r="M422" s="117" t="n">
        <v>0</v>
      </c>
      <c r="N422" s="116" t="n"/>
      <c r="O422" s="117" t="n">
        <v>0</v>
      </c>
      <c r="P422" s="117" t="n">
        <v>0</v>
      </c>
      <c r="Q422" s="117" t="n">
        <v>0</v>
      </c>
      <c r="R422" s="117" t="n">
        <v>0</v>
      </c>
      <c r="S422" s="118" t="n">
        <v>0</v>
      </c>
      <c r="T422" s="110" t="n"/>
    </row>
    <row r="423" ht="14.25" customHeight="1" s="52">
      <c r="A423" s="104" t="n">
        <v>416</v>
      </c>
      <c r="B423" s="119" t="n"/>
      <c r="C423" s="119" t="n"/>
      <c r="D423" s="119" t="n"/>
      <c r="F423" s="120" t="inlineStr">
        <is>
          <t>Група 193 - Усього</t>
        </is>
      </c>
      <c r="G423" s="116" t="n"/>
      <c r="H423" s="116" t="n"/>
      <c r="I423" s="120" t="n"/>
      <c r="J423" s="121" t="n">
        <v>0</v>
      </c>
      <c r="K423" s="121" t="n">
        <v>0</v>
      </c>
      <c r="L423" s="121" t="n">
        <v>0</v>
      </c>
      <c r="M423" s="121" t="n">
        <v>0</v>
      </c>
      <c r="N423" s="116" t="n"/>
      <c r="O423" s="121" t="n">
        <v>0</v>
      </c>
      <c r="P423" s="121" t="n">
        <v>0</v>
      </c>
      <c r="Q423" s="121" t="n">
        <v>0</v>
      </c>
      <c r="R423" s="121" t="n">
        <v>0</v>
      </c>
      <c r="S423" s="122" t="n">
        <v>0</v>
      </c>
      <c r="T423" s="110" t="n"/>
    </row>
    <row r="424" ht="20.25" customHeight="1" s="52">
      <c r="A424" s="104" t="n">
        <v>417</v>
      </c>
      <c r="B424" s="119" t="n"/>
      <c r="C424" s="119" t="n"/>
      <c r="D424" s="120" t="inlineStr">
        <is>
          <t>Розділ 19 - Усього</t>
        </is>
      </c>
      <c r="E424" s="116" t="n"/>
      <c r="F424" s="120" t="n"/>
      <c r="G424" s="116" t="n"/>
      <c r="H424" s="116" t="n"/>
      <c r="I424" s="120" t="n"/>
      <c r="J424" s="121" t="n">
        <v>1196088.8096</v>
      </c>
      <c r="K424" s="121" t="n">
        <v>375595.25394</v>
      </c>
      <c r="L424" s="121" t="n">
        <v>820493.55566</v>
      </c>
      <c r="M424" s="121" t="n">
        <v>1047416.62489</v>
      </c>
      <c r="N424" s="116" t="n"/>
      <c r="O424" s="121" t="n">
        <v>375595.25394</v>
      </c>
      <c r="P424" s="121" t="n">
        <v>671821.37095</v>
      </c>
      <c r="Q424" s="121" t="n">
        <v>60460.73665</v>
      </c>
      <c r="R424" s="121" t="n">
        <v>0</v>
      </c>
      <c r="S424" s="122" t="n">
        <v>60460.73665</v>
      </c>
      <c r="T424" s="110" t="n"/>
    </row>
    <row r="425" ht="22.5" customHeight="1" s="52">
      <c r="A425" s="104" t="n">
        <v>418</v>
      </c>
      <c r="B425" s="119" t="n"/>
      <c r="C425" s="120" t="inlineStr">
        <is>
          <t xml:space="preserve">  Клас 1 - Усього</t>
        </is>
      </c>
      <c r="D425" s="120" t="n"/>
      <c r="E425" s="116" t="n"/>
      <c r="F425" s="120" t="n"/>
      <c r="G425" s="116" t="n"/>
      <c r="H425" s="116" t="n"/>
      <c r="I425" s="120" t="n"/>
      <c r="J425" s="121" t="n">
        <v>1196277.50468</v>
      </c>
      <c r="K425" s="121" t="n">
        <v>375595.25394</v>
      </c>
      <c r="L425" s="121" t="n">
        <v>820682.25074</v>
      </c>
      <c r="M425" s="121" t="n">
        <v>1047694.84537</v>
      </c>
      <c r="N425" s="116" t="n"/>
      <c r="O425" s="121" t="n">
        <v>375595.25394</v>
      </c>
      <c r="P425" s="121" t="n">
        <v>672099.59143</v>
      </c>
      <c r="Q425" s="121" t="n">
        <v>5809910.62764</v>
      </c>
      <c r="R425" s="121" t="n">
        <v>4509134.76147</v>
      </c>
      <c r="S425" s="122" t="n">
        <v>1300775.86617</v>
      </c>
      <c r="T425" s="110" t="n"/>
    </row>
    <row r="426" ht="13.5" customHeight="1" s="52">
      <c r="A426" s="104" t="n">
        <v>419</v>
      </c>
      <c r="B426" s="115" t="inlineStr">
        <is>
          <t>Клас 2</t>
        </is>
      </c>
      <c r="C426" s="115" t="inlineStr">
        <is>
          <t>25</t>
        </is>
      </c>
      <c r="D426" s="115" t="inlineStr">
        <is>
          <t>251</t>
        </is>
      </c>
      <c r="E426" s="116" t="n"/>
      <c r="F426" s="115" t="inlineStr">
        <is>
          <t>2512</t>
        </is>
      </c>
      <c r="G426" s="116" t="n"/>
      <c r="H426" s="115" t="inlineStr">
        <is>
          <t>Кошти Державного бюджету України цільового характеру</t>
        </is>
      </c>
      <c r="I426" s="115" t="inlineStr">
        <is>
          <t>П</t>
        </is>
      </c>
      <c r="J426" s="117" t="n">
        <v>0</v>
      </c>
      <c r="K426" s="117" t="n">
        <v>0</v>
      </c>
      <c r="L426" s="117" t="n">
        <v>0</v>
      </c>
      <c r="M426" s="117" t="n">
        <v>0</v>
      </c>
      <c r="N426" s="116" t="n"/>
      <c r="O426" s="117" t="n">
        <v>0</v>
      </c>
      <c r="P426" s="117" t="n">
        <v>0</v>
      </c>
      <c r="Q426" s="117" t="n">
        <v>0</v>
      </c>
      <c r="R426" s="117" t="n">
        <v>0</v>
      </c>
      <c r="S426" s="118" t="n">
        <v>0</v>
      </c>
      <c r="T426" s="110" t="n"/>
    </row>
    <row r="427" ht="13.5" customHeight="1" s="52">
      <c r="A427" s="104" t="n">
        <v>420</v>
      </c>
      <c r="B427" s="119" t="n"/>
      <c r="C427" s="119" t="n"/>
      <c r="D427" s="119" t="n"/>
      <c r="F427" s="115" t="inlineStr">
        <is>
          <t>2513</t>
        </is>
      </c>
      <c r="G427" s="116" t="n"/>
      <c r="H427" s="115" t="inlineStr">
        <is>
          <t>Кошти Державного казначейства України</t>
        </is>
      </c>
      <c r="I427" s="115" t="inlineStr">
        <is>
          <t>П</t>
        </is>
      </c>
      <c r="J427" s="117" t="n">
        <v>1564933.21566</v>
      </c>
      <c r="K427" s="117" t="n">
        <v>0</v>
      </c>
      <c r="L427" s="117" t="n">
        <v>1564933.21566</v>
      </c>
      <c r="M427" s="117" t="n">
        <v>5406545.32913</v>
      </c>
      <c r="N427" s="116" t="n"/>
      <c r="O427" s="117" t="n">
        <v>0</v>
      </c>
      <c r="P427" s="117" t="n">
        <v>5406545.32913</v>
      </c>
      <c r="Q427" s="117" t="n">
        <v>24368802.3222</v>
      </c>
      <c r="R427" s="117" t="n">
        <v>0</v>
      </c>
      <c r="S427" s="118" t="n">
        <v>24368802.3222</v>
      </c>
      <c r="T427" s="110" t="n"/>
    </row>
    <row r="428" ht="14.25" customHeight="1" s="52">
      <c r="A428" s="104" t="n">
        <v>421</v>
      </c>
      <c r="B428" s="119" t="n"/>
      <c r="C428" s="119" t="n"/>
      <c r="D428" s="119" t="n"/>
      <c r="F428" s="115" t="inlineStr">
        <is>
          <t>2518</t>
        </is>
      </c>
      <c r="G428" s="116" t="n"/>
      <c r="H428" s="115" t="inlineStr">
        <is>
          <t>Нараховані витрати за коштами Державного бюджету України</t>
        </is>
      </c>
      <c r="I428" s="115" t="inlineStr">
        <is>
          <t>П</t>
        </is>
      </c>
      <c r="J428" s="117" t="n">
        <v>0</v>
      </c>
      <c r="K428" s="117" t="n">
        <v>0</v>
      </c>
      <c r="L428" s="117" t="n">
        <v>0</v>
      </c>
      <c r="M428" s="117" t="n">
        <v>0</v>
      </c>
      <c r="N428" s="116" t="n"/>
      <c r="O428" s="117" t="n">
        <v>0</v>
      </c>
      <c r="P428" s="117" t="n">
        <v>0</v>
      </c>
      <c r="Q428" s="117" t="n">
        <v>0</v>
      </c>
      <c r="R428" s="117" t="n">
        <v>0</v>
      </c>
      <c r="S428" s="118" t="n">
        <v>0</v>
      </c>
      <c r="T428" s="110" t="n"/>
    </row>
    <row r="429" ht="13.5" customHeight="1" s="52">
      <c r="A429" s="104" t="n">
        <v>422</v>
      </c>
      <c r="B429" s="119" t="n"/>
      <c r="C429" s="119" t="n"/>
      <c r="D429" s="119" t="n"/>
      <c r="F429" s="120" t="inlineStr">
        <is>
          <t>Група 251 - Усього</t>
        </is>
      </c>
      <c r="G429" s="116" t="n"/>
      <c r="H429" s="116" t="n"/>
      <c r="I429" s="120" t="n"/>
      <c r="J429" s="121" t="n">
        <v>1564933.21566</v>
      </c>
      <c r="K429" s="121" t="n">
        <v>0</v>
      </c>
      <c r="L429" s="121" t="n">
        <v>1564933.21566</v>
      </c>
      <c r="M429" s="121" t="n">
        <v>5406545.32913</v>
      </c>
      <c r="N429" s="116" t="n"/>
      <c r="O429" s="121" t="n">
        <v>0</v>
      </c>
      <c r="P429" s="121" t="n">
        <v>5406545.32913</v>
      </c>
      <c r="Q429" s="121" t="n">
        <v>24368802.3222</v>
      </c>
      <c r="R429" s="121" t="n">
        <v>0</v>
      </c>
      <c r="S429" s="122" t="n">
        <v>24368802.3222</v>
      </c>
      <c r="T429" s="110" t="n"/>
    </row>
    <row r="430" ht="13.5" customHeight="1" s="52">
      <c r="A430" s="104" t="n">
        <v>423</v>
      </c>
      <c r="B430" s="119" t="n"/>
      <c r="C430" s="119" t="n"/>
      <c r="D430" s="115" t="inlineStr">
        <is>
          <t>252</t>
        </is>
      </c>
      <c r="E430" s="116" t="n"/>
      <c r="F430" s="115" t="inlineStr">
        <is>
          <t>2520</t>
        </is>
      </c>
      <c r="G430" s="116" t="n"/>
      <c r="H430" s="115" t="inlineStr">
        <is>
          <t>Поточні рахунки клієнтів, які утримуються за рахунок Державного бюджету України</t>
        </is>
      </c>
      <c r="I430" s="115" t="inlineStr">
        <is>
          <t>П</t>
        </is>
      </c>
      <c r="J430" s="117" t="n">
        <v>8878338.169740001</v>
      </c>
      <c r="K430" s="117" t="n">
        <v>487200.79704</v>
      </c>
      <c r="L430" s="117" t="n">
        <v>8391137.3727</v>
      </c>
      <c r="M430" s="117" t="n">
        <v>8788583.67615</v>
      </c>
      <c r="N430" s="116" t="n"/>
      <c r="O430" s="117" t="n">
        <v>328221.55703</v>
      </c>
      <c r="P430" s="117" t="n">
        <v>8460362.11912</v>
      </c>
      <c r="Q430" s="117" t="n">
        <v>1080928.59943</v>
      </c>
      <c r="R430" s="117" t="n">
        <v>76618.52465000001</v>
      </c>
      <c r="S430" s="118" t="n">
        <v>1004310.07478</v>
      </c>
      <c r="T430" s="110" t="n"/>
    </row>
    <row r="431" ht="13.5" customHeight="1" s="52">
      <c r="A431" s="104" t="n">
        <v>424</v>
      </c>
      <c r="B431" s="119" t="n"/>
      <c r="C431" s="119" t="n"/>
      <c r="D431" s="119" t="n"/>
      <c r="F431" s="115" t="inlineStr">
        <is>
          <t>2523</t>
        </is>
      </c>
      <c r="G431" s="116" t="n"/>
      <c r="H431" s="115" t="inlineStr">
        <is>
          <t>Поточні рахунки цільового характеру клієнтів, які утримуються за рахунок Державного бюджету України</t>
        </is>
      </c>
      <c r="I431" s="115" t="inlineStr">
        <is>
          <t>П</t>
        </is>
      </c>
      <c r="J431" s="117" t="n">
        <v>5542815.72838</v>
      </c>
      <c r="K431" s="117" t="n">
        <v>1448418.46426</v>
      </c>
      <c r="L431" s="117" t="n">
        <v>4094397.26412</v>
      </c>
      <c r="M431" s="117" t="n">
        <v>4104051.08881</v>
      </c>
      <c r="N431" s="116" t="n"/>
      <c r="O431" s="117" t="n">
        <v>1417721.93962</v>
      </c>
      <c r="P431" s="117" t="n">
        <v>2686329.14919</v>
      </c>
      <c r="Q431" s="117" t="n">
        <v>20895902.98761</v>
      </c>
      <c r="R431" s="117" t="n">
        <v>83500.61779</v>
      </c>
      <c r="S431" s="118" t="n">
        <v>20812402.36982</v>
      </c>
      <c r="T431" s="110" t="n"/>
    </row>
    <row r="432" ht="13.5" customHeight="1" s="52">
      <c r="A432" s="104" t="n">
        <v>425</v>
      </c>
      <c r="B432" s="119" t="n"/>
      <c r="C432" s="119" t="n"/>
      <c r="D432" s="119" t="n"/>
      <c r="F432" s="115" t="inlineStr">
        <is>
          <t>2528</t>
        </is>
      </c>
      <c r="G432" s="116" t="n"/>
      <c r="H432" s="115" t="inlineStr">
        <is>
          <t>Нараховані витрати за коштами клієнтів банку, які утримуються за рахунок Державного бюджету України</t>
        </is>
      </c>
      <c r="I432" s="115" t="inlineStr">
        <is>
          <t>П</t>
        </is>
      </c>
      <c r="J432" s="117" t="n">
        <v>0</v>
      </c>
      <c r="K432" s="117" t="n">
        <v>0</v>
      </c>
      <c r="L432" s="117" t="n">
        <v>0</v>
      </c>
      <c r="M432" s="117" t="n">
        <v>0</v>
      </c>
      <c r="N432" s="116" t="n"/>
      <c r="O432" s="117" t="n">
        <v>0</v>
      </c>
      <c r="P432" s="117" t="n">
        <v>0</v>
      </c>
      <c r="Q432" s="117" t="n">
        <v>0</v>
      </c>
      <c r="R432" s="117" t="n">
        <v>0</v>
      </c>
      <c r="S432" s="118" t="n">
        <v>0</v>
      </c>
      <c r="T432" s="110" t="n"/>
    </row>
    <row r="433" ht="14.25" customHeight="1" s="52">
      <c r="A433" s="104" t="n">
        <v>426</v>
      </c>
      <c r="B433" s="119" t="n"/>
      <c r="C433" s="119" t="n"/>
      <c r="D433" s="119" t="n"/>
      <c r="F433" s="120" t="inlineStr">
        <is>
          <t>Група 252 - Усього</t>
        </is>
      </c>
      <c r="G433" s="116" t="n"/>
      <c r="H433" s="116" t="n"/>
      <c r="I433" s="120" t="n"/>
      <c r="J433" s="121" t="n">
        <v>14421153.89812</v>
      </c>
      <c r="K433" s="121" t="n">
        <v>1935619.2613</v>
      </c>
      <c r="L433" s="121" t="n">
        <v>12485534.63682</v>
      </c>
      <c r="M433" s="121" t="n">
        <v>12892634.76496</v>
      </c>
      <c r="N433" s="116" t="n"/>
      <c r="O433" s="121" t="n">
        <v>1745943.49665</v>
      </c>
      <c r="P433" s="121" t="n">
        <v>11146691.26831</v>
      </c>
      <c r="Q433" s="121" t="n">
        <v>21976831.58704</v>
      </c>
      <c r="R433" s="121" t="n">
        <v>160119.14244</v>
      </c>
      <c r="S433" s="122" t="n">
        <v>21816712.4446</v>
      </c>
      <c r="T433" s="110" t="n"/>
    </row>
    <row r="434" ht="13.5" customHeight="1" s="52">
      <c r="A434" s="104" t="n">
        <v>427</v>
      </c>
      <c r="B434" s="119" t="n"/>
      <c r="C434" s="119" t="n"/>
      <c r="D434" s="115" t="inlineStr">
        <is>
          <t>253</t>
        </is>
      </c>
      <c r="E434" s="116" t="n"/>
      <c r="F434" s="115" t="inlineStr">
        <is>
          <t>2530</t>
        </is>
      </c>
      <c r="G434" s="116" t="n"/>
      <c r="H434" s="115" t="inlineStr">
        <is>
          <t>Кошти бюджетних установ, що включаються до спеціального фонду Державного бюджету України</t>
        </is>
      </c>
      <c r="I434" s="115" t="inlineStr">
        <is>
          <t>П</t>
        </is>
      </c>
      <c r="J434" s="117" t="n">
        <v>1117200.23475</v>
      </c>
      <c r="K434" s="117" t="n">
        <v>741249.91233</v>
      </c>
      <c r="L434" s="117" t="n">
        <v>375950.32242</v>
      </c>
      <c r="M434" s="117" t="n">
        <v>919231.97176</v>
      </c>
      <c r="N434" s="116" t="n"/>
      <c r="O434" s="117" t="n">
        <v>758260.2611</v>
      </c>
      <c r="P434" s="117" t="n">
        <v>160971.71066</v>
      </c>
      <c r="Q434" s="117" t="n">
        <v>3804485.82631</v>
      </c>
      <c r="R434" s="117" t="n">
        <v>289723.853</v>
      </c>
      <c r="S434" s="118" t="n">
        <v>3514761.97331</v>
      </c>
      <c r="T434" s="110" t="n"/>
    </row>
    <row r="435" ht="13.5" customHeight="1" s="52">
      <c r="A435" s="104" t="n">
        <v>428</v>
      </c>
      <c r="B435" s="119" t="n"/>
      <c r="C435" s="119" t="n"/>
      <c r="D435" s="119" t="n"/>
      <c r="F435" s="115" t="inlineStr">
        <is>
          <t>2531</t>
        </is>
      </c>
      <c r="G435" s="116" t="n"/>
      <c r="H435" s="115" t="inlineStr">
        <is>
          <t>Кошти, що вилучені уповноваженими органами</t>
        </is>
      </c>
      <c r="I435" s="115" t="inlineStr">
        <is>
          <t>П</t>
        </is>
      </c>
      <c r="J435" s="117" t="n">
        <v>124781.68175</v>
      </c>
      <c r="K435" s="117" t="n">
        <v>1252.33</v>
      </c>
      <c r="L435" s="117" t="n">
        <v>123529.35175</v>
      </c>
      <c r="M435" s="117" t="n">
        <v>178352.39846</v>
      </c>
      <c r="N435" s="116" t="n"/>
      <c r="O435" s="117" t="n">
        <v>2191.7</v>
      </c>
      <c r="P435" s="117" t="n">
        <v>176160.69846</v>
      </c>
      <c r="Q435" s="117" t="n">
        <v>2778354.27845</v>
      </c>
      <c r="R435" s="117" t="n">
        <v>35182.16323</v>
      </c>
      <c r="S435" s="118" t="n">
        <v>2743172.11522</v>
      </c>
      <c r="T435" s="110" t="n"/>
    </row>
    <row r="436" ht="13.5" customHeight="1" s="52">
      <c r="A436" s="104" t="n">
        <v>429</v>
      </c>
      <c r="B436" s="119" t="n"/>
      <c r="C436" s="119" t="n"/>
      <c r="D436" s="119" t="n"/>
      <c r="F436" s="115" t="inlineStr">
        <is>
          <t>2538</t>
        </is>
      </c>
      <c r="G436" s="116" t="n"/>
      <c r="H436" s="115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6" s="115" t="inlineStr">
        <is>
          <t>П</t>
        </is>
      </c>
      <c r="J436" s="117" t="n">
        <v>576.83419</v>
      </c>
      <c r="K436" s="117" t="n">
        <v>105.45877</v>
      </c>
      <c r="L436" s="117" t="n">
        <v>471.37542</v>
      </c>
      <c r="M436" s="117" t="n">
        <v>532.44314</v>
      </c>
      <c r="N436" s="116" t="n"/>
      <c r="O436" s="117" t="n">
        <v>84.9442</v>
      </c>
      <c r="P436" s="117" t="n">
        <v>447.49894</v>
      </c>
      <c r="Q436" s="117" t="n">
        <v>532.44314</v>
      </c>
      <c r="R436" s="117" t="n">
        <v>84.9442</v>
      </c>
      <c r="S436" s="118" t="n">
        <v>447.49894</v>
      </c>
      <c r="T436" s="110" t="n"/>
    </row>
    <row r="437" ht="13.5" customHeight="1" s="52">
      <c r="A437" s="104" t="n">
        <v>430</v>
      </c>
      <c r="B437" s="119" t="n"/>
      <c r="C437" s="119" t="n"/>
      <c r="D437" s="119" t="n"/>
      <c r="F437" s="115" t="inlineStr">
        <is>
          <t>2533</t>
        </is>
      </c>
      <c r="G437" s="116" t="n"/>
      <c r="H437" s="115" t="inlineStr">
        <is>
          <t>Депозитні суми та кошти, стягнуті з боржника органами державної виконавчої служби</t>
        </is>
      </c>
      <c r="I437" s="115" t="inlineStr">
        <is>
          <t>П</t>
        </is>
      </c>
      <c r="J437" s="117" t="n">
        <v>12.522</v>
      </c>
      <c r="K437" s="117" t="n">
        <v>6.89401</v>
      </c>
      <c r="L437" s="117" t="n">
        <v>5.62799</v>
      </c>
      <c r="M437" s="117" t="n">
        <v>6.83549</v>
      </c>
      <c r="N437" s="116" t="n"/>
      <c r="O437" s="117" t="n">
        <v>1.2075</v>
      </c>
      <c r="P437" s="117" t="n">
        <v>5.62799</v>
      </c>
      <c r="Q437" s="117" t="n">
        <v>275.79113</v>
      </c>
      <c r="R437" s="117" t="n">
        <v>275.79113</v>
      </c>
      <c r="S437" s="118" t="n">
        <v>0</v>
      </c>
      <c r="T437" s="110" t="n"/>
    </row>
    <row r="438" ht="14.25" customHeight="1" s="52">
      <c r="A438" s="104" t="n">
        <v>431</v>
      </c>
      <c r="B438" s="119" t="n"/>
      <c r="C438" s="119" t="n"/>
      <c r="D438" s="119" t="n"/>
      <c r="F438" s="120" t="inlineStr">
        <is>
          <t>Група 253 - Усього</t>
        </is>
      </c>
      <c r="G438" s="116" t="n"/>
      <c r="H438" s="116" t="n"/>
      <c r="I438" s="120" t="n"/>
      <c r="J438" s="121" t="n">
        <v>1242571.27269</v>
      </c>
      <c r="K438" s="121" t="n">
        <v>742614.59511</v>
      </c>
      <c r="L438" s="121" t="n">
        <v>499956.67758</v>
      </c>
      <c r="M438" s="121" t="n">
        <v>1098123.64885</v>
      </c>
      <c r="N438" s="116" t="n"/>
      <c r="O438" s="121" t="n">
        <v>760538.1128</v>
      </c>
      <c r="P438" s="121" t="n">
        <v>337585.53605</v>
      </c>
      <c r="Q438" s="121" t="n">
        <v>6583648.33903</v>
      </c>
      <c r="R438" s="121" t="n">
        <v>325266.75156</v>
      </c>
      <c r="S438" s="122" t="n">
        <v>6258381.58747</v>
      </c>
      <c r="T438" s="110" t="n"/>
    </row>
    <row r="439" ht="13.5" customHeight="1" s="52">
      <c r="A439" s="104" t="n">
        <v>432</v>
      </c>
      <c r="B439" s="119" t="n"/>
      <c r="C439" s="119" t="n"/>
      <c r="D439" s="115" t="inlineStr">
        <is>
          <t>254</t>
        </is>
      </c>
      <c r="E439" s="116" t="n"/>
      <c r="F439" s="115" t="inlineStr">
        <is>
          <t>2541</t>
        </is>
      </c>
      <c r="G439" s="116" t="n"/>
      <c r="H439" s="115" t="inlineStr">
        <is>
          <t>Кошти бюджету Автономної Республіки Крим та обласних бюджетів</t>
        </is>
      </c>
      <c r="I439" s="115" t="inlineStr">
        <is>
          <t>П</t>
        </is>
      </c>
      <c r="J439" s="117" t="n">
        <v>126.93018</v>
      </c>
      <c r="K439" s="117" t="n">
        <v>0</v>
      </c>
      <c r="L439" s="117" t="n">
        <v>126.93018</v>
      </c>
      <c r="M439" s="117" t="n">
        <v>187.05787</v>
      </c>
      <c r="N439" s="116" t="n"/>
      <c r="O439" s="117" t="n">
        <v>0</v>
      </c>
      <c r="P439" s="117" t="n">
        <v>187.05787</v>
      </c>
      <c r="Q439" s="117" t="n">
        <v>8546.531150000001</v>
      </c>
      <c r="R439" s="117" t="n">
        <v>0</v>
      </c>
      <c r="S439" s="118" t="n">
        <v>8546.531150000001</v>
      </c>
      <c r="T439" s="110" t="n"/>
    </row>
    <row r="440" ht="13.5" customHeight="1" s="52">
      <c r="A440" s="104" t="n">
        <v>433</v>
      </c>
      <c r="B440" s="119" t="n"/>
      <c r="C440" s="119" t="n"/>
      <c r="D440" s="119" t="n"/>
      <c r="F440" s="115" t="inlineStr">
        <is>
          <t>2542</t>
        </is>
      </c>
      <c r="G440" s="116" t="n"/>
      <c r="H440" s="115" t="inlineStr">
        <is>
          <t>Кошти районних, міських, селищних та сільських бюджетів</t>
        </is>
      </c>
      <c r="I440" s="115" t="inlineStr">
        <is>
          <t>П</t>
        </is>
      </c>
      <c r="J440" s="117" t="n">
        <v>26015.65289</v>
      </c>
      <c r="K440" s="117" t="n">
        <v>0</v>
      </c>
      <c r="L440" s="117" t="n">
        <v>26015.65289</v>
      </c>
      <c r="M440" s="117" t="n">
        <v>18485.01493</v>
      </c>
      <c r="N440" s="116" t="n"/>
      <c r="O440" s="117" t="n">
        <v>0</v>
      </c>
      <c r="P440" s="117" t="n">
        <v>18485.01493</v>
      </c>
      <c r="Q440" s="117" t="n">
        <v>96477.66926</v>
      </c>
      <c r="R440" s="117" t="n">
        <v>0</v>
      </c>
      <c r="S440" s="118" t="n">
        <v>96477.66926</v>
      </c>
      <c r="T440" s="110" t="n"/>
    </row>
    <row r="441" ht="13.5" customHeight="1" s="52">
      <c r="A441" s="104" t="n">
        <v>434</v>
      </c>
      <c r="B441" s="119" t="n"/>
      <c r="C441" s="119" t="n"/>
      <c r="D441" s="119" t="n"/>
      <c r="F441" s="115" t="inlineStr">
        <is>
          <t>2544</t>
        </is>
      </c>
      <c r="G441" s="116" t="n"/>
      <c r="H441" s="115" t="inlineStr">
        <is>
          <t>Кошти бюджету Автономної Республіки Крим та обласних бюджетів цільового характеру</t>
        </is>
      </c>
      <c r="I441" s="115" t="inlineStr">
        <is>
          <t>П</t>
        </is>
      </c>
      <c r="J441" s="117" t="n">
        <v>396.40233</v>
      </c>
      <c r="K441" s="117" t="n">
        <v>0</v>
      </c>
      <c r="L441" s="117" t="n">
        <v>396.40233</v>
      </c>
      <c r="M441" s="117" t="n">
        <v>582.75819</v>
      </c>
      <c r="N441" s="116" t="n"/>
      <c r="O441" s="117" t="n">
        <v>0</v>
      </c>
      <c r="P441" s="117" t="n">
        <v>582.75819</v>
      </c>
      <c r="Q441" s="117" t="n">
        <v>25390.4793</v>
      </c>
      <c r="R441" s="117" t="n">
        <v>0</v>
      </c>
      <c r="S441" s="118" t="n">
        <v>25390.4793</v>
      </c>
      <c r="T441" s="110" t="n"/>
    </row>
    <row r="442" ht="13.5" customHeight="1" s="52">
      <c r="A442" s="104" t="n">
        <v>435</v>
      </c>
      <c r="B442" s="119" t="n"/>
      <c r="C442" s="119" t="n"/>
      <c r="D442" s="119" t="n"/>
      <c r="F442" s="115" t="inlineStr">
        <is>
          <t>2545</t>
        </is>
      </c>
      <c r="G442" s="116" t="n"/>
      <c r="H442" s="115" t="inlineStr">
        <is>
          <t>Кошти районних, міських, селищних та сільських бюджетів цільового характеру</t>
        </is>
      </c>
      <c r="I442" s="115" t="inlineStr">
        <is>
          <t>П</t>
        </is>
      </c>
      <c r="J442" s="117" t="n">
        <v>96510.95619</v>
      </c>
      <c r="K442" s="117" t="n">
        <v>0</v>
      </c>
      <c r="L442" s="117" t="n">
        <v>96510.95619</v>
      </c>
      <c r="M442" s="117" t="n">
        <v>93418.26020999999</v>
      </c>
      <c r="N442" s="116" t="n"/>
      <c r="O442" s="117" t="n">
        <v>0</v>
      </c>
      <c r="P442" s="117" t="n">
        <v>93418.26020999999</v>
      </c>
      <c r="Q442" s="117" t="n">
        <v>1655.24385</v>
      </c>
      <c r="R442" s="117" t="n">
        <v>0</v>
      </c>
      <c r="S442" s="118" t="n">
        <v>1655.24385</v>
      </c>
      <c r="T442" s="110" t="n"/>
    </row>
    <row r="443" ht="14.25" customHeight="1" s="52">
      <c r="A443" s="104" t="n">
        <v>436</v>
      </c>
      <c r="B443" s="119" t="n"/>
      <c r="C443" s="119" t="n"/>
      <c r="D443" s="119" t="n"/>
      <c r="F443" s="115" t="inlineStr">
        <is>
          <t>2548</t>
        </is>
      </c>
      <c r="G443" s="116" t="n"/>
      <c r="H443" s="115" t="inlineStr">
        <is>
          <t xml:space="preserve">Нараховані витрати за коштами місцевих бюджетів </t>
        </is>
      </c>
      <c r="I443" s="115" t="inlineStr">
        <is>
          <t>П</t>
        </is>
      </c>
      <c r="J443" s="117" t="n">
        <v>0</v>
      </c>
      <c r="K443" s="117" t="n">
        <v>0</v>
      </c>
      <c r="L443" s="117" t="n">
        <v>0</v>
      </c>
      <c r="M443" s="117" t="n">
        <v>0</v>
      </c>
      <c r="N443" s="116" t="n"/>
      <c r="O443" s="117" t="n">
        <v>0</v>
      </c>
      <c r="P443" s="117" t="n">
        <v>0</v>
      </c>
      <c r="Q443" s="117" t="n">
        <v>0</v>
      </c>
      <c r="R443" s="117" t="n">
        <v>0</v>
      </c>
      <c r="S443" s="118" t="n">
        <v>0</v>
      </c>
      <c r="T443" s="110" t="n"/>
    </row>
    <row r="444" ht="13.5" customHeight="1" s="52">
      <c r="A444" s="104" t="n">
        <v>437</v>
      </c>
      <c r="B444" s="119" t="n"/>
      <c r="C444" s="119" t="n"/>
      <c r="D444" s="119" t="n"/>
      <c r="F444" s="120" t="inlineStr">
        <is>
          <t>Група 254 - Усього</t>
        </is>
      </c>
      <c r="G444" s="116" t="n"/>
      <c r="H444" s="116" t="n"/>
      <c r="I444" s="120" t="n"/>
      <c r="J444" s="121" t="n">
        <v>123049.94159</v>
      </c>
      <c r="K444" s="121" t="n">
        <v>0</v>
      </c>
      <c r="L444" s="121" t="n">
        <v>123049.94159</v>
      </c>
      <c r="M444" s="121" t="n">
        <v>112673.0912</v>
      </c>
      <c r="N444" s="116" t="n"/>
      <c r="O444" s="121" t="n">
        <v>0</v>
      </c>
      <c r="P444" s="121" t="n">
        <v>112673.0912</v>
      </c>
      <c r="Q444" s="121" t="n">
        <v>132069.92356</v>
      </c>
      <c r="R444" s="121" t="n">
        <v>0</v>
      </c>
      <c r="S444" s="122" t="n">
        <v>132069.92356</v>
      </c>
      <c r="T444" s="110" t="n"/>
    </row>
    <row r="445" ht="13.5" customHeight="1" s="52">
      <c r="A445" s="104" t="n">
        <v>438</v>
      </c>
      <c r="B445" s="119" t="n"/>
      <c r="C445" s="119" t="n"/>
      <c r="D445" s="115" t="inlineStr">
        <is>
          <t>255</t>
        </is>
      </c>
      <c r="E445" s="116" t="n"/>
      <c r="F445" s="115" t="inlineStr">
        <is>
          <t>2550</t>
        </is>
      </c>
      <c r="G445" s="116" t="n"/>
      <c r="H445" s="115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45" s="115" t="inlineStr">
        <is>
          <t>П</t>
        </is>
      </c>
      <c r="J445" s="117" t="n">
        <v>0</v>
      </c>
      <c r="K445" s="117" t="n">
        <v>0</v>
      </c>
      <c r="L445" s="117" t="n">
        <v>0</v>
      </c>
      <c r="M445" s="117" t="n">
        <v>0</v>
      </c>
      <c r="N445" s="116" t="n"/>
      <c r="O445" s="117" t="n">
        <v>0</v>
      </c>
      <c r="P445" s="117" t="n">
        <v>0</v>
      </c>
      <c r="Q445" s="117" t="n">
        <v>0</v>
      </c>
      <c r="R445" s="117" t="n">
        <v>0</v>
      </c>
      <c r="S445" s="118" t="n">
        <v>0</v>
      </c>
      <c r="T445" s="110" t="n"/>
    </row>
    <row r="446" ht="13.5" customHeight="1" s="52">
      <c r="A446" s="104" t="n">
        <v>439</v>
      </c>
      <c r="B446" s="119" t="n"/>
      <c r="C446" s="119" t="n"/>
      <c r="D446" s="119" t="n"/>
      <c r="F446" s="115" t="inlineStr">
        <is>
          <t>2551</t>
        </is>
      </c>
      <c r="G446" s="116" t="n"/>
      <c r="H446" s="115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6" s="115" t="inlineStr">
        <is>
          <t>П</t>
        </is>
      </c>
      <c r="J446" s="117" t="n">
        <v>0</v>
      </c>
      <c r="K446" s="117" t="n">
        <v>0</v>
      </c>
      <c r="L446" s="117" t="n">
        <v>0</v>
      </c>
      <c r="M446" s="117" t="n">
        <v>0</v>
      </c>
      <c r="N446" s="116" t="n"/>
      <c r="O446" s="117" t="n">
        <v>0</v>
      </c>
      <c r="P446" s="117" t="n">
        <v>0</v>
      </c>
      <c r="Q446" s="117" t="n">
        <v>0</v>
      </c>
      <c r="R446" s="117" t="n">
        <v>0</v>
      </c>
      <c r="S446" s="118" t="n">
        <v>0</v>
      </c>
      <c r="T446" s="110" t="n"/>
    </row>
    <row r="447" ht="13.5" customHeight="1" s="52">
      <c r="A447" s="104" t="n">
        <v>440</v>
      </c>
      <c r="B447" s="119" t="n"/>
      <c r="C447" s="119" t="n"/>
      <c r="D447" s="119" t="n"/>
      <c r="F447" s="115" t="inlineStr">
        <is>
          <t>2552</t>
        </is>
      </c>
      <c r="G447" s="116" t="n"/>
      <c r="H447" s="115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7" s="115" t="inlineStr">
        <is>
          <t>П</t>
        </is>
      </c>
      <c r="J447" s="117" t="n">
        <v>0</v>
      </c>
      <c r="K447" s="117" t="n">
        <v>0</v>
      </c>
      <c r="L447" s="117" t="n">
        <v>0</v>
      </c>
      <c r="M447" s="117" t="n">
        <v>0</v>
      </c>
      <c r="N447" s="116" t="n"/>
      <c r="O447" s="117" t="n">
        <v>0</v>
      </c>
      <c r="P447" s="117" t="n">
        <v>0</v>
      </c>
      <c r="Q447" s="117" t="n">
        <v>0</v>
      </c>
      <c r="R447" s="117" t="n">
        <v>0</v>
      </c>
      <c r="S447" s="118" t="n">
        <v>0</v>
      </c>
      <c r="T447" s="110" t="n"/>
    </row>
    <row r="448" ht="14.25" customHeight="1" s="52">
      <c r="A448" s="104" t="n">
        <v>441</v>
      </c>
      <c r="B448" s="119" t="n"/>
      <c r="C448" s="119" t="n"/>
      <c r="D448" s="119" t="n"/>
      <c r="F448" s="115" t="inlineStr">
        <is>
          <t>2553</t>
        </is>
      </c>
      <c r="G448" s="116" t="n"/>
      <c r="H448" s="115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8" s="115" t="inlineStr">
        <is>
          <t>П</t>
        </is>
      </c>
      <c r="J448" s="117" t="n">
        <v>30.41837</v>
      </c>
      <c r="K448" s="117" t="n">
        <v>0</v>
      </c>
      <c r="L448" s="117" t="n">
        <v>30.41837</v>
      </c>
      <c r="M448" s="117" t="n">
        <v>44.7186</v>
      </c>
      <c r="N448" s="116" t="n"/>
      <c r="O448" s="117" t="n">
        <v>0</v>
      </c>
      <c r="P448" s="117" t="n">
        <v>44.7186</v>
      </c>
      <c r="Q448" s="117" t="n">
        <v>1952.36504</v>
      </c>
      <c r="R448" s="117" t="n">
        <v>3.99829</v>
      </c>
      <c r="S448" s="118" t="n">
        <v>1948.36675</v>
      </c>
      <c r="T448" s="110" t="n"/>
    </row>
    <row r="449" ht="13.5" customHeight="1" s="52">
      <c r="A449" s="104" t="n">
        <v>442</v>
      </c>
      <c r="B449" s="119" t="n"/>
      <c r="C449" s="119" t="n"/>
      <c r="D449" s="119" t="n"/>
      <c r="F449" s="115" t="inlineStr">
        <is>
          <t>2554</t>
        </is>
      </c>
      <c r="G449" s="116" t="n"/>
      <c r="H449" s="115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9" s="115" t="inlineStr">
        <is>
          <t>П</t>
        </is>
      </c>
      <c r="J449" s="117" t="n">
        <v>0</v>
      </c>
      <c r="K449" s="117" t="n">
        <v>0</v>
      </c>
      <c r="L449" s="117" t="n">
        <v>0</v>
      </c>
      <c r="M449" s="117" t="n">
        <v>0</v>
      </c>
      <c r="N449" s="116" t="n"/>
      <c r="O449" s="117" t="n">
        <v>0</v>
      </c>
      <c r="P449" s="117" t="n">
        <v>0</v>
      </c>
      <c r="Q449" s="117" t="n">
        <v>0</v>
      </c>
      <c r="R449" s="117" t="n">
        <v>0</v>
      </c>
      <c r="S449" s="118" t="n">
        <v>0</v>
      </c>
      <c r="T449" s="110" t="n"/>
    </row>
    <row r="450" ht="13.5" customHeight="1" s="52">
      <c r="A450" s="104" t="n">
        <v>443</v>
      </c>
      <c r="B450" s="119" t="n"/>
      <c r="C450" s="119" t="n"/>
      <c r="D450" s="119" t="n"/>
      <c r="F450" s="115" t="inlineStr">
        <is>
          <t>2555</t>
        </is>
      </c>
      <c r="G450" s="116" t="n"/>
      <c r="H450" s="115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50" s="115" t="inlineStr">
        <is>
          <t>П</t>
        </is>
      </c>
      <c r="J450" s="117" t="n">
        <v>1536.88224</v>
      </c>
      <c r="K450" s="117" t="n">
        <v>0</v>
      </c>
      <c r="L450" s="117" t="n">
        <v>1536.88224</v>
      </c>
      <c r="M450" s="117" t="n">
        <v>1568.11448</v>
      </c>
      <c r="N450" s="116" t="n"/>
      <c r="O450" s="117" t="n">
        <v>0</v>
      </c>
      <c r="P450" s="117" t="n">
        <v>1568.11448</v>
      </c>
      <c r="Q450" s="117" t="n">
        <v>4255.30713</v>
      </c>
      <c r="R450" s="117" t="n">
        <v>0</v>
      </c>
      <c r="S450" s="118" t="n">
        <v>4255.30713</v>
      </c>
      <c r="T450" s="110" t="n"/>
    </row>
    <row r="451" ht="13.5" customHeight="1" s="52">
      <c r="A451" s="104" t="n">
        <v>444</v>
      </c>
      <c r="B451" s="119" t="n"/>
      <c r="C451" s="119" t="n"/>
      <c r="D451" s="119" t="n"/>
      <c r="F451" s="115" t="inlineStr">
        <is>
          <t>2558</t>
        </is>
      </c>
      <c r="G451" s="116" t="n"/>
      <c r="H451" s="115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51" s="115" t="inlineStr">
        <is>
          <t>П</t>
        </is>
      </c>
      <c r="J451" s="117" t="n">
        <v>0</v>
      </c>
      <c r="K451" s="117" t="n">
        <v>0</v>
      </c>
      <c r="L451" s="117" t="n">
        <v>0</v>
      </c>
      <c r="M451" s="117" t="n">
        <v>0</v>
      </c>
      <c r="N451" s="116" t="n"/>
      <c r="O451" s="117" t="n">
        <v>0</v>
      </c>
      <c r="P451" s="117" t="n">
        <v>0</v>
      </c>
      <c r="Q451" s="117" t="n">
        <v>0</v>
      </c>
      <c r="R451" s="117" t="n">
        <v>0</v>
      </c>
      <c r="S451" s="118" t="n">
        <v>0</v>
      </c>
      <c r="T451" s="110" t="n"/>
    </row>
    <row r="452" ht="13.5" customHeight="1" s="52">
      <c r="A452" s="104" t="n">
        <v>445</v>
      </c>
      <c r="B452" s="119" t="n"/>
      <c r="C452" s="119" t="n"/>
      <c r="D452" s="119" t="n"/>
      <c r="F452" s="115" t="inlineStr">
        <is>
          <t>2556</t>
        </is>
      </c>
      <c r="G452" s="116" t="n"/>
      <c r="H452" s="115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52" s="115" t="inlineStr">
        <is>
          <t>П</t>
        </is>
      </c>
      <c r="J452" s="117" t="n">
        <v>0</v>
      </c>
      <c r="K452" s="117" t="n">
        <v>0</v>
      </c>
      <c r="L452" s="117" t="n">
        <v>0</v>
      </c>
      <c r="M452" s="117" t="n">
        <v>0</v>
      </c>
      <c r="N452" s="116" t="n"/>
      <c r="O452" s="117" t="n">
        <v>0</v>
      </c>
      <c r="P452" s="117" t="n">
        <v>0</v>
      </c>
      <c r="Q452" s="117" t="n">
        <v>0</v>
      </c>
      <c r="R452" s="117" t="n">
        <v>0</v>
      </c>
      <c r="S452" s="118" t="n">
        <v>0</v>
      </c>
      <c r="T452" s="110" t="n"/>
    </row>
    <row r="453" ht="14.25" customHeight="1" s="52">
      <c r="A453" s="104" t="n">
        <v>446</v>
      </c>
      <c r="B453" s="119" t="n"/>
      <c r="C453" s="119" t="n"/>
      <c r="D453" s="119" t="n"/>
      <c r="F453" s="120" t="inlineStr">
        <is>
          <t>Група 255 - Усього</t>
        </is>
      </c>
      <c r="G453" s="116" t="n"/>
      <c r="H453" s="116" t="n"/>
      <c r="I453" s="120" t="n"/>
      <c r="J453" s="121" t="n">
        <v>1567.30061</v>
      </c>
      <c r="K453" s="121" t="n">
        <v>0</v>
      </c>
      <c r="L453" s="121" t="n">
        <v>1567.30061</v>
      </c>
      <c r="M453" s="121" t="n">
        <v>1612.83308</v>
      </c>
      <c r="N453" s="116" t="n"/>
      <c r="O453" s="121" t="n">
        <v>0</v>
      </c>
      <c r="P453" s="121" t="n">
        <v>1612.83308</v>
      </c>
      <c r="Q453" s="121" t="n">
        <v>6207.67217</v>
      </c>
      <c r="R453" s="121" t="n">
        <v>3.99829</v>
      </c>
      <c r="S453" s="122" t="n">
        <v>6203.67388</v>
      </c>
      <c r="T453" s="110" t="n"/>
    </row>
    <row r="454" ht="13.5" customHeight="1" s="52">
      <c r="A454" s="104" t="n">
        <v>447</v>
      </c>
      <c r="B454" s="119" t="n"/>
      <c r="C454" s="119" t="n"/>
      <c r="D454" s="115" t="inlineStr">
        <is>
          <t>256</t>
        </is>
      </c>
      <c r="E454" s="116" t="n"/>
      <c r="F454" s="115" t="inlineStr">
        <is>
          <t>2560</t>
        </is>
      </c>
      <c r="G454" s="116" t="n"/>
      <c r="H454" s="115" t="inlineStr">
        <is>
          <t>Державні позабюджетні фонди</t>
        </is>
      </c>
      <c r="I454" s="115" t="inlineStr">
        <is>
          <t>П</t>
        </is>
      </c>
      <c r="J454" s="117" t="n">
        <v>288724.63119</v>
      </c>
      <c r="K454" s="117" t="n">
        <v>198805.34338</v>
      </c>
      <c r="L454" s="117" t="n">
        <v>89919.28780999999</v>
      </c>
      <c r="M454" s="117" t="n">
        <v>300089.4945</v>
      </c>
      <c r="N454" s="116" t="n"/>
      <c r="O454" s="117" t="n">
        <v>210170.20669</v>
      </c>
      <c r="P454" s="117" t="n">
        <v>89919.28780999999</v>
      </c>
      <c r="Q454" s="117" t="n">
        <v>14063.58993</v>
      </c>
      <c r="R454" s="117" t="n">
        <v>14063.58993</v>
      </c>
      <c r="S454" s="118" t="n">
        <v>0</v>
      </c>
      <c r="T454" s="110" t="n"/>
    </row>
    <row r="455" ht="13.5" customHeight="1" s="52">
      <c r="A455" s="104" t="n">
        <v>448</v>
      </c>
      <c r="B455" s="119" t="n"/>
      <c r="C455" s="119" t="n"/>
      <c r="D455" s="119" t="n"/>
      <c r="F455" s="115" t="inlineStr">
        <is>
          <t>2562</t>
        </is>
      </c>
      <c r="G455" s="116" t="n"/>
      <c r="H455" s="115" t="inlineStr">
        <is>
          <t>Регіональні позабюджетні фонди</t>
        </is>
      </c>
      <c r="I455" s="115" t="inlineStr">
        <is>
          <t>П</t>
        </is>
      </c>
      <c r="J455" s="117" t="n">
        <v>0</v>
      </c>
      <c r="K455" s="117" t="n">
        <v>0</v>
      </c>
      <c r="L455" s="117" t="n">
        <v>0</v>
      </c>
      <c r="M455" s="117" t="n">
        <v>0</v>
      </c>
      <c r="N455" s="116" t="n"/>
      <c r="O455" s="117" t="n">
        <v>0</v>
      </c>
      <c r="P455" s="117" t="n">
        <v>0</v>
      </c>
      <c r="Q455" s="117" t="n">
        <v>0</v>
      </c>
      <c r="R455" s="117" t="n">
        <v>0</v>
      </c>
      <c r="S455" s="118" t="n">
        <v>0</v>
      </c>
      <c r="T455" s="110" t="n"/>
    </row>
    <row r="456" ht="13.5" customHeight="1" s="52">
      <c r="A456" s="104" t="n">
        <v>449</v>
      </c>
      <c r="B456" s="119" t="n"/>
      <c r="C456" s="119" t="n"/>
      <c r="D456" s="119" t="n"/>
      <c r="F456" s="115" t="inlineStr">
        <is>
          <t>2565</t>
        </is>
      </c>
      <c r="G456" s="116" t="n"/>
      <c r="H456" s="115" t="inlineStr">
        <is>
          <t>Цільові кошти позабюджетних фондів</t>
        </is>
      </c>
      <c r="I456" s="115" t="inlineStr">
        <is>
          <t>П</t>
        </is>
      </c>
      <c r="J456" s="117" t="n">
        <v>0</v>
      </c>
      <c r="K456" s="117" t="n">
        <v>0</v>
      </c>
      <c r="L456" s="117" t="n">
        <v>0</v>
      </c>
      <c r="M456" s="117" t="n">
        <v>0</v>
      </c>
      <c r="N456" s="116" t="n"/>
      <c r="O456" s="117" t="n">
        <v>0</v>
      </c>
      <c r="P456" s="117" t="n">
        <v>0</v>
      </c>
      <c r="Q456" s="117" t="n">
        <v>0</v>
      </c>
      <c r="R456" s="117" t="n">
        <v>0</v>
      </c>
      <c r="S456" s="118" t="n">
        <v>0</v>
      </c>
      <c r="T456" s="110" t="n"/>
    </row>
    <row r="457" ht="13.5" customHeight="1" s="52">
      <c r="A457" s="104" t="n">
        <v>450</v>
      </c>
      <c r="B457" s="119" t="n"/>
      <c r="C457" s="119" t="n"/>
      <c r="D457" s="119" t="n"/>
      <c r="F457" s="115" t="inlineStr">
        <is>
          <t>2568</t>
        </is>
      </c>
      <c r="G457" s="116" t="n"/>
      <c r="H457" s="115" t="inlineStr">
        <is>
          <t>Нараховані витрати за коштами позабюджетних фондів</t>
        </is>
      </c>
      <c r="I457" s="115" t="inlineStr">
        <is>
          <t>П</t>
        </is>
      </c>
      <c r="J457" s="117" t="n">
        <v>27.09499</v>
      </c>
      <c r="K457" s="117" t="n">
        <v>27.09499</v>
      </c>
      <c r="L457" s="117" t="n">
        <v>0</v>
      </c>
      <c r="M457" s="117" t="n">
        <v>86.26143999999999</v>
      </c>
      <c r="N457" s="116" t="n"/>
      <c r="O457" s="117" t="n">
        <v>86.26143999999999</v>
      </c>
      <c r="P457" s="117" t="n">
        <v>0</v>
      </c>
      <c r="Q457" s="117" t="n">
        <v>86.26143999999999</v>
      </c>
      <c r="R457" s="117" t="n">
        <v>86.26143999999999</v>
      </c>
      <c r="S457" s="118" t="n">
        <v>0</v>
      </c>
      <c r="T457" s="110" t="n"/>
    </row>
    <row r="458" ht="14.25" customHeight="1" s="52">
      <c r="A458" s="104" t="n">
        <v>451</v>
      </c>
      <c r="B458" s="119" t="n"/>
      <c r="C458" s="119" t="n"/>
      <c r="D458" s="119" t="n"/>
      <c r="F458" s="120" t="inlineStr">
        <is>
          <t>Група 256 - Усього</t>
        </is>
      </c>
      <c r="G458" s="116" t="n"/>
      <c r="H458" s="116" t="n"/>
      <c r="I458" s="120" t="n"/>
      <c r="J458" s="121" t="n">
        <v>288751.72618</v>
      </c>
      <c r="K458" s="121" t="n">
        <v>198832.43837</v>
      </c>
      <c r="L458" s="121" t="n">
        <v>89919.28780999999</v>
      </c>
      <c r="M458" s="121" t="n">
        <v>300175.75594</v>
      </c>
      <c r="N458" s="116" t="n"/>
      <c r="O458" s="121" t="n">
        <v>210256.46813</v>
      </c>
      <c r="P458" s="121" t="n">
        <v>89919.28780999999</v>
      </c>
      <c r="Q458" s="121" t="n">
        <v>14149.85137</v>
      </c>
      <c r="R458" s="121" t="n">
        <v>14149.85137</v>
      </c>
      <c r="S458" s="122" t="n">
        <v>0</v>
      </c>
      <c r="T458" s="110" t="n"/>
    </row>
    <row r="459" ht="13.5" customHeight="1" s="52">
      <c r="A459" s="104" t="n">
        <v>452</v>
      </c>
      <c r="B459" s="119" t="n"/>
      <c r="C459" s="119" t="n"/>
      <c r="D459" s="115" t="inlineStr">
        <is>
          <t>257</t>
        </is>
      </c>
      <c r="E459" s="116" t="n"/>
      <c r="F459" s="115" t="inlineStr">
        <is>
          <t>2570</t>
        </is>
      </c>
      <c r="G459" s="116" t="n"/>
      <c r="H459" s="115" t="inlineStr">
        <is>
          <t>Кошти державного бюджету для виплат</t>
        </is>
      </c>
      <c r="I459" s="115" t="inlineStr">
        <is>
          <t>П</t>
        </is>
      </c>
      <c r="J459" s="117" t="n">
        <v>177720.3255</v>
      </c>
      <c r="K459" s="117" t="n">
        <v>177720.3255</v>
      </c>
      <c r="L459" s="117" t="n">
        <v>0</v>
      </c>
      <c r="M459" s="117" t="n">
        <v>177720.326</v>
      </c>
      <c r="N459" s="116" t="n"/>
      <c r="O459" s="117" t="n">
        <v>177720.326</v>
      </c>
      <c r="P459" s="117" t="n">
        <v>0</v>
      </c>
      <c r="Q459" s="117" t="n">
        <v>0.0005</v>
      </c>
      <c r="R459" s="117" t="n">
        <v>0.0005</v>
      </c>
      <c r="S459" s="118" t="n">
        <v>0</v>
      </c>
      <c r="T459" s="110" t="n"/>
    </row>
    <row r="460" ht="13.5" customHeight="1" s="52">
      <c r="A460" s="104" t="n">
        <v>453</v>
      </c>
      <c r="B460" s="119" t="n"/>
      <c r="C460" s="119" t="n"/>
      <c r="D460" s="119" t="n"/>
      <c r="F460" s="115" t="inlineStr">
        <is>
          <t>2571</t>
        </is>
      </c>
      <c r="G460" s="116" t="n"/>
      <c r="H460" s="115" t="inlineStr">
        <is>
          <t>Кошти державного та місцевих бюджетів для цільових виплат готівкою</t>
        </is>
      </c>
      <c r="I460" s="115" t="inlineStr">
        <is>
          <t>П</t>
        </is>
      </c>
      <c r="J460" s="117" t="n">
        <v>2357.763</v>
      </c>
      <c r="K460" s="117" t="n">
        <v>2357.763</v>
      </c>
      <c r="L460" s="117" t="n">
        <v>0</v>
      </c>
      <c r="M460" s="117" t="n">
        <v>2357.763</v>
      </c>
      <c r="N460" s="116" t="n"/>
      <c r="O460" s="117" t="n">
        <v>2357.763</v>
      </c>
      <c r="P460" s="117" t="n">
        <v>0</v>
      </c>
      <c r="Q460" s="117" t="n">
        <v>0</v>
      </c>
      <c r="R460" s="117" t="n">
        <v>0</v>
      </c>
      <c r="S460" s="118" t="n">
        <v>0</v>
      </c>
      <c r="T460" s="110" t="n"/>
    </row>
    <row r="461" ht="13.5" customHeight="1" s="52">
      <c r="A461" s="104" t="n">
        <v>454</v>
      </c>
      <c r="B461" s="119" t="n"/>
      <c r="C461" s="119" t="n"/>
      <c r="D461" s="119" t="n"/>
      <c r="F461" s="115" t="inlineStr">
        <is>
          <t>2572</t>
        </is>
      </c>
      <c r="G461" s="116" t="n"/>
      <c r="H461" s="115" t="inlineStr">
        <is>
          <t>Кошти місцевих бюджетів для виплат</t>
        </is>
      </c>
      <c r="I461" s="115" t="inlineStr">
        <is>
          <t>П</t>
        </is>
      </c>
      <c r="J461" s="117" t="n">
        <v>4105.5049</v>
      </c>
      <c r="K461" s="117" t="n">
        <v>4105.5049</v>
      </c>
      <c r="L461" s="117" t="n">
        <v>0</v>
      </c>
      <c r="M461" s="117" t="n">
        <v>4105.5049</v>
      </c>
      <c r="N461" s="116" t="n"/>
      <c r="O461" s="117" t="n">
        <v>4105.5049</v>
      </c>
      <c r="P461" s="117" t="n">
        <v>0</v>
      </c>
      <c r="Q461" s="117" t="n">
        <v>0</v>
      </c>
      <c r="R461" s="117" t="n">
        <v>0</v>
      </c>
      <c r="S461" s="118" t="n">
        <v>0</v>
      </c>
      <c r="T461" s="110" t="n"/>
    </row>
    <row r="462" ht="13.5" customHeight="1" s="52">
      <c r="A462" s="104" t="n">
        <v>455</v>
      </c>
      <c r="B462" s="119" t="n"/>
      <c r="C462" s="119" t="n"/>
      <c r="D462" s="119" t="n"/>
      <c r="F462" s="120" t="inlineStr">
        <is>
          <t>Група 257 - Усього</t>
        </is>
      </c>
      <c r="G462" s="116" t="n"/>
      <c r="H462" s="116" t="n"/>
      <c r="I462" s="120" t="n"/>
      <c r="J462" s="121" t="n">
        <v>184183.5934</v>
      </c>
      <c r="K462" s="121" t="n">
        <v>184183.5934</v>
      </c>
      <c r="L462" s="121" t="n">
        <v>0</v>
      </c>
      <c r="M462" s="121" t="n">
        <v>184183.5939</v>
      </c>
      <c r="N462" s="116" t="n"/>
      <c r="O462" s="121" t="n">
        <v>184183.5939</v>
      </c>
      <c r="P462" s="121" t="n">
        <v>0</v>
      </c>
      <c r="Q462" s="121" t="n">
        <v>0.0005</v>
      </c>
      <c r="R462" s="121" t="n">
        <v>0.0005</v>
      </c>
      <c r="S462" s="122" t="n">
        <v>0</v>
      </c>
      <c r="T462" s="110" t="n"/>
    </row>
    <row r="463" ht="21" customHeight="1" s="52">
      <c r="A463" s="104" t="n">
        <v>456</v>
      </c>
      <c r="B463" s="119" t="n"/>
      <c r="C463" s="119" t="n"/>
      <c r="D463" s="120" t="inlineStr">
        <is>
          <t>Розділ 25 - Усього</t>
        </is>
      </c>
      <c r="E463" s="116" t="n"/>
      <c r="F463" s="120" t="n"/>
      <c r="G463" s="116" t="n"/>
      <c r="H463" s="116" t="n"/>
      <c r="I463" s="120" t="n"/>
      <c r="J463" s="121" t="n">
        <v>17826210.94825</v>
      </c>
      <c r="K463" s="121" t="n">
        <v>3061249.88818</v>
      </c>
      <c r="L463" s="121" t="n">
        <v>14764961.06007</v>
      </c>
      <c r="M463" s="121" t="n">
        <v>19995949.01706</v>
      </c>
      <c r="N463" s="116" t="n"/>
      <c r="O463" s="121" t="n">
        <v>2900921.67148</v>
      </c>
      <c r="P463" s="121" t="n">
        <v>17095027.34558</v>
      </c>
      <c r="Q463" s="121" t="n">
        <v>53081709.69587</v>
      </c>
      <c r="R463" s="121" t="n">
        <v>499539.74416</v>
      </c>
      <c r="S463" s="122" t="n">
        <v>52582169.95171</v>
      </c>
      <c r="T463" s="110" t="n"/>
    </row>
    <row r="464" ht="13.5" customHeight="1" s="52">
      <c r="A464" s="104" t="n">
        <v>457</v>
      </c>
      <c r="B464" s="119" t="n"/>
      <c r="C464" s="115" t="inlineStr">
        <is>
          <t>26</t>
        </is>
      </c>
      <c r="D464" s="115" t="inlineStr">
        <is>
          <t>260</t>
        </is>
      </c>
      <c r="E464" s="116" t="n"/>
      <c r="F464" s="115" t="inlineStr">
        <is>
          <t>2600</t>
        </is>
      </c>
      <c r="G464" s="116" t="n"/>
      <c r="H464" s="115" t="inlineStr">
        <is>
          <t>Кошти на вимогу суб'єктів господарювання</t>
        </is>
      </c>
      <c r="I464" s="115" t="inlineStr">
        <is>
          <t>П</t>
        </is>
      </c>
      <c r="J464" s="117" t="n">
        <v>0</v>
      </c>
      <c r="K464" s="117" t="n">
        <v>0</v>
      </c>
      <c r="L464" s="117" t="n">
        <v>0</v>
      </c>
      <c r="M464" s="117" t="n">
        <v>0</v>
      </c>
      <c r="N464" s="116" t="n"/>
      <c r="O464" s="117" t="n">
        <v>0</v>
      </c>
      <c r="P464" s="117" t="n">
        <v>0</v>
      </c>
      <c r="Q464" s="117" t="n">
        <v>106538573.58472</v>
      </c>
      <c r="R464" s="117" t="n">
        <v>80822491.37730999</v>
      </c>
      <c r="S464" s="118" t="n">
        <v>25716082.20741</v>
      </c>
      <c r="T464" s="110" t="n"/>
    </row>
    <row r="465" ht="13.5" customHeight="1" s="52">
      <c r="A465" s="104" t="n">
        <v>458</v>
      </c>
      <c r="B465" s="119" t="n"/>
      <c r="C465" s="119" t="n"/>
      <c r="D465" s="119" t="n"/>
      <c r="F465" s="115" t="inlineStr">
        <is>
          <t>2601</t>
        </is>
      </c>
      <c r="G465" s="116" t="n"/>
      <c r="H465" s="115" t="inlineStr">
        <is>
          <t>Поточні рахунки банку-управителя з довірчого управління</t>
        </is>
      </c>
      <c r="I465" s="115" t="inlineStr">
        <is>
          <t>П</t>
        </is>
      </c>
      <c r="J465" s="117" t="n">
        <v>0</v>
      </c>
      <c r="K465" s="117" t="n">
        <v>0</v>
      </c>
      <c r="L465" s="117" t="n">
        <v>0</v>
      </c>
      <c r="M465" s="117" t="n">
        <v>0</v>
      </c>
      <c r="N465" s="116" t="n"/>
      <c r="O465" s="117" t="n">
        <v>0</v>
      </c>
      <c r="P465" s="117" t="n">
        <v>0</v>
      </c>
      <c r="Q465" s="117" t="n">
        <v>0</v>
      </c>
      <c r="R465" s="117" t="n">
        <v>0</v>
      </c>
      <c r="S465" s="118" t="n">
        <v>0</v>
      </c>
      <c r="T465" s="110" t="n"/>
    </row>
    <row r="466" ht="13.5" customHeight="1" s="52">
      <c r="A466" s="104" t="n">
        <v>459</v>
      </c>
      <c r="B466" s="119" t="n"/>
      <c r="C466" s="119" t="n"/>
      <c r="D466" s="119" t="n"/>
      <c r="F466" s="115" t="inlineStr">
        <is>
          <t>2602</t>
        </is>
      </c>
      <c r="G466" s="116" t="n"/>
      <c r="H466" s="115" t="inlineStr">
        <is>
          <t>Кошти суб`єктів господарювання  за рахунками умовного зберігання (ескроу)</t>
        </is>
      </c>
      <c r="I466" s="115" t="inlineStr">
        <is>
          <t>П</t>
        </is>
      </c>
      <c r="J466" s="117" t="n">
        <v>12640314.05719</v>
      </c>
      <c r="K466" s="117" t="n">
        <v>147297.27057</v>
      </c>
      <c r="L466" s="117" t="n">
        <v>12493016.78662</v>
      </c>
      <c r="M466" s="117" t="n">
        <v>206171.30119</v>
      </c>
      <c r="N466" s="116" t="n"/>
      <c r="O466" s="117" t="n">
        <v>109334.22996</v>
      </c>
      <c r="P466" s="117" t="n">
        <v>96837.07123</v>
      </c>
      <c r="Q466" s="117" t="n">
        <v>1173721.18479</v>
      </c>
      <c r="R466" s="117" t="n">
        <v>779274.69201</v>
      </c>
      <c r="S466" s="118" t="n">
        <v>394446.49278</v>
      </c>
      <c r="T466" s="110" t="n"/>
    </row>
    <row r="467" ht="13.5" customHeight="1" s="52">
      <c r="A467" s="104" t="n">
        <v>460</v>
      </c>
      <c r="B467" s="119" t="n"/>
      <c r="C467" s="119" t="n"/>
      <c r="D467" s="119" t="n"/>
      <c r="F467" s="115" t="inlineStr">
        <is>
          <t>2603</t>
        </is>
      </c>
      <c r="G467" s="116" t="n"/>
      <c r="H467" s="115" t="inlineStr">
        <is>
          <t>Розподільчі рахунки суб'єктів господарювання</t>
        </is>
      </c>
      <c r="I467" s="115" t="inlineStr">
        <is>
          <t>П</t>
        </is>
      </c>
      <c r="J467" s="117" t="n">
        <v>42739808.80534</v>
      </c>
      <c r="K467" s="117" t="n">
        <v>8451290.790510001</v>
      </c>
      <c r="L467" s="117" t="n">
        <v>34288518.01483</v>
      </c>
      <c r="M467" s="117" t="n">
        <v>42732914.40997</v>
      </c>
      <c r="N467" s="116" t="n"/>
      <c r="O467" s="117" t="n">
        <v>8444396.39514</v>
      </c>
      <c r="P467" s="117" t="n">
        <v>34288518.01483</v>
      </c>
      <c r="Q467" s="117" t="n">
        <v>129257.65535</v>
      </c>
      <c r="R467" s="117" t="n">
        <v>129257.65535</v>
      </c>
      <c r="S467" s="118" t="n">
        <v>0</v>
      </c>
      <c r="T467" s="110" t="n"/>
    </row>
    <row r="468" ht="14.25" customHeight="1" s="52">
      <c r="A468" s="104" t="n">
        <v>461</v>
      </c>
      <c r="B468" s="119" t="n"/>
      <c r="C468" s="119" t="n"/>
      <c r="D468" s="119" t="n"/>
      <c r="F468" s="115" t="inlineStr">
        <is>
          <t>2604</t>
        </is>
      </c>
      <c r="G468" s="116" t="n"/>
      <c r="H468" s="115" t="inlineStr">
        <is>
          <t>Цільові кошти на вимогу суб'єктів господарювання</t>
        </is>
      </c>
      <c r="I468" s="115" t="inlineStr">
        <is>
          <t>П</t>
        </is>
      </c>
      <c r="J468" s="117" t="n">
        <v>60816.04362</v>
      </c>
      <c r="K468" s="117" t="n">
        <v>60816.04362</v>
      </c>
      <c r="L468" s="117" t="n">
        <v>0</v>
      </c>
      <c r="M468" s="117" t="n">
        <v>60680.42394</v>
      </c>
      <c r="N468" s="116" t="n"/>
      <c r="O468" s="117" t="n">
        <v>60680.42394</v>
      </c>
      <c r="P468" s="117" t="n">
        <v>0</v>
      </c>
      <c r="Q468" s="117" t="n">
        <v>6599.86007</v>
      </c>
      <c r="R468" s="117" t="n">
        <v>6599.86007</v>
      </c>
      <c r="S468" s="118" t="n">
        <v>0</v>
      </c>
      <c r="T468" s="110" t="n"/>
    </row>
    <row r="469" ht="13.5" customHeight="1" s="52">
      <c r="A469" s="104" t="n">
        <v>462</v>
      </c>
      <c r="B469" s="119" t="n"/>
      <c r="C469" s="119" t="n"/>
      <c r="D469" s="119" t="n"/>
      <c r="F469" s="115" t="inlineStr">
        <is>
          <t>2606</t>
        </is>
      </c>
      <c r="G469" s="116" t="n"/>
      <c r="H469" s="115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9" s="115" t="inlineStr">
        <is>
          <t>П</t>
        </is>
      </c>
      <c r="J469" s="117" t="n">
        <v>0</v>
      </c>
      <c r="K469" s="117" t="n">
        <v>0</v>
      </c>
      <c r="L469" s="117" t="n">
        <v>0</v>
      </c>
      <c r="M469" s="117" t="n">
        <v>0</v>
      </c>
      <c r="N469" s="116" t="n"/>
      <c r="O469" s="117" t="n">
        <v>0</v>
      </c>
      <c r="P469" s="117" t="n">
        <v>0</v>
      </c>
      <c r="Q469" s="117" t="n">
        <v>0</v>
      </c>
      <c r="R469" s="117" t="n">
        <v>0</v>
      </c>
      <c r="S469" s="118" t="n">
        <v>0</v>
      </c>
      <c r="T469" s="110" t="n"/>
    </row>
    <row r="470" ht="13.5" customHeight="1" s="52">
      <c r="A470" s="104" t="n">
        <v>463</v>
      </c>
      <c r="B470" s="119" t="n"/>
      <c r="C470" s="119" t="n"/>
      <c r="D470" s="119" t="n"/>
      <c r="F470" s="115" t="inlineStr">
        <is>
          <t>2608</t>
        </is>
      </c>
      <c r="G470" s="116" t="n"/>
      <c r="H470" s="115" t="inlineStr">
        <is>
          <t>Нараховані витрати за коштами на вимогу суб'єктів господарювання</t>
        </is>
      </c>
      <c r="I470" s="115" t="inlineStr">
        <is>
          <t>П</t>
        </is>
      </c>
      <c r="J470" s="117" t="n">
        <v>756246.90279</v>
      </c>
      <c r="K470" s="117" t="n">
        <v>754023.62673</v>
      </c>
      <c r="L470" s="117" t="n">
        <v>2223.27606</v>
      </c>
      <c r="M470" s="117" t="n">
        <v>765719.87017</v>
      </c>
      <c r="N470" s="116" t="n"/>
      <c r="O470" s="117" t="n">
        <v>763944.99652</v>
      </c>
      <c r="P470" s="117" t="n">
        <v>1774.87365</v>
      </c>
      <c r="Q470" s="117" t="n">
        <v>754877.7356</v>
      </c>
      <c r="R470" s="117" t="n">
        <v>753674.8361899999</v>
      </c>
      <c r="S470" s="118" t="n">
        <v>1202.89941</v>
      </c>
      <c r="T470" s="110" t="n"/>
    </row>
    <row r="471" ht="13.5" customHeight="1" s="52">
      <c r="A471" s="104" t="n">
        <v>464</v>
      </c>
      <c r="B471" s="119" t="n"/>
      <c r="C471" s="119" t="n"/>
      <c r="D471" s="119" t="n"/>
      <c r="F471" s="120" t="inlineStr">
        <is>
          <t>Група 260 - Усього</t>
        </is>
      </c>
      <c r="G471" s="116" t="n"/>
      <c r="H471" s="116" t="n"/>
      <c r="I471" s="120" t="n"/>
      <c r="J471" s="121" t="n">
        <v>56197185.80894</v>
      </c>
      <c r="K471" s="121" t="n">
        <v>9413427.73143</v>
      </c>
      <c r="L471" s="121" t="n">
        <v>46783758.07751</v>
      </c>
      <c r="M471" s="121" t="n">
        <v>43765486.00527</v>
      </c>
      <c r="N471" s="116" t="n"/>
      <c r="O471" s="121" t="n">
        <v>9378356.04556</v>
      </c>
      <c r="P471" s="121" t="n">
        <v>34387129.95971</v>
      </c>
      <c r="Q471" s="121" t="n">
        <v>108603030.02053</v>
      </c>
      <c r="R471" s="121" t="n">
        <v>82491298.42093</v>
      </c>
      <c r="S471" s="122" t="n">
        <v>26111731.5996</v>
      </c>
      <c r="T471" s="110" t="n"/>
    </row>
    <row r="472" ht="13.5" customHeight="1" s="52">
      <c r="A472" s="104" t="n">
        <v>465</v>
      </c>
      <c r="B472" s="119" t="n"/>
      <c r="C472" s="119" t="n"/>
      <c r="D472" s="115" t="inlineStr">
        <is>
          <t>261</t>
        </is>
      </c>
      <c r="E472" s="116" t="n"/>
      <c r="F472" s="115" t="inlineStr">
        <is>
          <t>2610</t>
        </is>
      </c>
      <c r="G472" s="116" t="n"/>
      <c r="H472" s="115" t="inlineStr">
        <is>
          <t xml:space="preserve">Строкові вклади (депозити) суб'єктів господарювання </t>
        </is>
      </c>
      <c r="I472" s="115" t="inlineStr">
        <is>
          <t>П</t>
        </is>
      </c>
      <c r="J472" s="117" t="n">
        <v>19848483.03245</v>
      </c>
      <c r="K472" s="117" t="n">
        <v>13967161.56744</v>
      </c>
      <c r="L472" s="117" t="n">
        <v>5881321.46501</v>
      </c>
      <c r="M472" s="117" t="n">
        <v>16336787.59302</v>
      </c>
      <c r="N472" s="116" t="n"/>
      <c r="O472" s="117" t="n">
        <v>12452611.18036</v>
      </c>
      <c r="P472" s="117" t="n">
        <v>3884176.41266</v>
      </c>
      <c r="Q472" s="117" t="n">
        <v>27862428.33169</v>
      </c>
      <c r="R472" s="117" t="n">
        <v>17998029.49895</v>
      </c>
      <c r="S472" s="118" t="n">
        <v>9864398.83274</v>
      </c>
      <c r="T472" s="110" t="n"/>
    </row>
    <row r="473" ht="14.25" customHeight="1" s="52">
      <c r="A473" s="104" t="n">
        <v>466</v>
      </c>
      <c r="B473" s="119" t="n"/>
      <c r="C473" s="119" t="n"/>
      <c r="D473" s="119" t="n"/>
      <c r="F473" s="115" t="inlineStr">
        <is>
          <t>2611</t>
        </is>
      </c>
      <c r="G473" s="116" t="n"/>
      <c r="H473" s="115" t="inlineStr">
        <is>
          <t>Кошти, що отримані від суб'єктів господарювання за операціями репо</t>
        </is>
      </c>
      <c r="I473" s="115" t="inlineStr">
        <is>
          <t>П</t>
        </is>
      </c>
      <c r="J473" s="117" t="n">
        <v>0</v>
      </c>
      <c r="K473" s="117" t="n">
        <v>0</v>
      </c>
      <c r="L473" s="117" t="n">
        <v>0</v>
      </c>
      <c r="M473" s="117" t="n">
        <v>0</v>
      </c>
      <c r="N473" s="116" t="n"/>
      <c r="O473" s="117" t="n">
        <v>0</v>
      </c>
      <c r="P473" s="117" t="n">
        <v>0</v>
      </c>
      <c r="Q473" s="117" t="n">
        <v>300000.97688</v>
      </c>
      <c r="R473" s="117" t="n">
        <v>300000.97688</v>
      </c>
      <c r="S473" s="118" t="n">
        <v>0</v>
      </c>
      <c r="T473" s="110" t="n"/>
    </row>
    <row r="474" ht="13.5" customHeight="1" s="52">
      <c r="A474" s="104" t="n">
        <v>467</v>
      </c>
      <c r="B474" s="119" t="n"/>
      <c r="C474" s="119" t="n"/>
      <c r="D474" s="119" t="n"/>
      <c r="F474" s="115" t="inlineStr">
        <is>
          <t>2616</t>
        </is>
      </c>
      <c r="G474" s="116" t="n"/>
      <c r="H474" s="115" t="inlineStr">
        <is>
          <t>Неамортизований дисконт/премія за строковими коштами суб'єктів господарювання</t>
        </is>
      </c>
      <c r="I474" s="115" t="inlineStr">
        <is>
          <t>А</t>
        </is>
      </c>
      <c r="J474" s="117" t="n">
        <v>971.01746</v>
      </c>
      <c r="K474" s="117" t="n">
        <v>927.2674</v>
      </c>
      <c r="L474" s="117" t="n">
        <v>43.75006</v>
      </c>
      <c r="M474" s="117" t="n">
        <v>1093.47348</v>
      </c>
      <c r="N474" s="116" t="n"/>
      <c r="O474" s="117" t="n">
        <v>1053.41926</v>
      </c>
      <c r="P474" s="117" t="n">
        <v>40.05422</v>
      </c>
      <c r="Q474" s="117" t="n">
        <v>-483.6793</v>
      </c>
      <c r="R474" s="117" t="n">
        <v>-466.81095</v>
      </c>
      <c r="S474" s="118" t="n">
        <v>-16.86835</v>
      </c>
      <c r="T474" s="110" t="n"/>
    </row>
    <row r="475" ht="13.5" customHeight="1" s="52">
      <c r="A475" s="104" t="n">
        <v>468</v>
      </c>
      <c r="B475" s="119" t="n"/>
      <c r="C475" s="119" t="n"/>
      <c r="D475" s="119" t="n"/>
      <c r="F475" s="119" t="n"/>
      <c r="H475" s="119" t="n"/>
      <c r="I475" s="115" t="inlineStr">
        <is>
          <t>П</t>
        </is>
      </c>
      <c r="J475" s="117" t="n">
        <v>0</v>
      </c>
      <c r="K475" s="117" t="n">
        <v>0</v>
      </c>
      <c r="L475" s="117" t="n">
        <v>0</v>
      </c>
      <c r="M475" s="117" t="n">
        <v>0</v>
      </c>
      <c r="N475" s="116" t="n"/>
      <c r="O475" s="117" t="n">
        <v>0</v>
      </c>
      <c r="P475" s="117" t="n">
        <v>0</v>
      </c>
      <c r="Q475" s="117" t="n">
        <v>597.71448</v>
      </c>
      <c r="R475" s="117" t="n">
        <v>568.48353</v>
      </c>
      <c r="S475" s="118" t="n">
        <v>29.23095</v>
      </c>
      <c r="T475" s="110" t="n"/>
    </row>
    <row r="476" ht="13.5" customHeight="1" s="52">
      <c r="A476" s="104" t="n">
        <v>469</v>
      </c>
      <c r="B476" s="119" t="n"/>
      <c r="C476" s="119" t="n"/>
      <c r="D476" s="119" t="n"/>
      <c r="F476" s="115" t="inlineStr">
        <is>
          <t>2618</t>
        </is>
      </c>
      <c r="G476" s="116" t="n"/>
      <c r="H476" s="115" t="inlineStr">
        <is>
          <t>Нараховані витрати за строковими коштами суб'єктів господарювання</t>
        </is>
      </c>
      <c r="I476" s="115" t="inlineStr">
        <is>
          <t>П</t>
        </is>
      </c>
      <c r="J476" s="117" t="n">
        <v>229344.55041</v>
      </c>
      <c r="K476" s="117" t="n">
        <v>211595.744</v>
      </c>
      <c r="L476" s="117" t="n">
        <v>17748.80641</v>
      </c>
      <c r="M476" s="117" t="n">
        <v>213249.67422</v>
      </c>
      <c r="N476" s="116" t="n"/>
      <c r="O476" s="117" t="n">
        <v>204229.06819</v>
      </c>
      <c r="P476" s="117" t="n">
        <v>9020.606030000001</v>
      </c>
      <c r="Q476" s="117" t="n">
        <v>206960.17791</v>
      </c>
      <c r="R476" s="117" t="n">
        <v>181786.89283</v>
      </c>
      <c r="S476" s="118" t="n">
        <v>25173.28508</v>
      </c>
      <c r="T476" s="110" t="n"/>
    </row>
    <row r="477" ht="13.5" customHeight="1" s="52">
      <c r="A477" s="104" t="n">
        <v>470</v>
      </c>
      <c r="B477" s="119" t="n"/>
      <c r="C477" s="119" t="n"/>
      <c r="D477" s="119" t="n"/>
      <c r="F477" s="120" t="inlineStr">
        <is>
          <t>Група 261 - Усього</t>
        </is>
      </c>
      <c r="G477" s="116" t="n"/>
      <c r="H477" s="116" t="n"/>
      <c r="I477" s="120" t="n"/>
      <c r="J477" s="121" t="n">
        <v>20078798.60032</v>
      </c>
      <c r="K477" s="121" t="n">
        <v>14179684.57884</v>
      </c>
      <c r="L477" s="121" t="n">
        <v>5899114.02148</v>
      </c>
      <c r="M477" s="121" t="n">
        <v>16551130.74072</v>
      </c>
      <c r="N477" s="116" t="n"/>
      <c r="O477" s="121" t="n">
        <v>12657893.66781</v>
      </c>
      <c r="P477" s="121" t="n">
        <v>3893237.07291</v>
      </c>
      <c r="Q477" s="121" t="n">
        <v>28369503.52166</v>
      </c>
      <c r="R477" s="121" t="n">
        <v>18479919.04124</v>
      </c>
      <c r="S477" s="122" t="n">
        <v>9889584.480420001</v>
      </c>
      <c r="T477" s="110" t="n"/>
    </row>
    <row r="478" ht="14.25" customHeight="1" s="52">
      <c r="A478" s="104" t="n">
        <v>471</v>
      </c>
      <c r="B478" s="119" t="n"/>
      <c r="C478" s="119" t="n"/>
      <c r="D478" s="115" t="inlineStr">
        <is>
          <t>262</t>
        </is>
      </c>
      <c r="E478" s="116" t="n"/>
      <c r="F478" s="115" t="inlineStr">
        <is>
          <t>2620</t>
        </is>
      </c>
      <c r="G478" s="116" t="n"/>
      <c r="H478" s="115" t="inlineStr">
        <is>
          <t>Кошти на вимогу фізичних осіб</t>
        </is>
      </c>
      <c r="I478" s="115" t="inlineStr">
        <is>
          <t>П</t>
        </is>
      </c>
      <c r="J478" s="117" t="n">
        <v>0</v>
      </c>
      <c r="K478" s="117" t="n">
        <v>0</v>
      </c>
      <c r="L478" s="117" t="n">
        <v>0</v>
      </c>
      <c r="M478" s="117" t="n">
        <v>0</v>
      </c>
      <c r="N478" s="116" t="n"/>
      <c r="O478" s="117" t="n">
        <v>0</v>
      </c>
      <c r="P478" s="117" t="n">
        <v>0</v>
      </c>
      <c r="Q478" s="117" t="n">
        <v>12021946.26179</v>
      </c>
      <c r="R478" s="117" t="n">
        <v>5254743.391</v>
      </c>
      <c r="S478" s="118" t="n">
        <v>6767202.87079</v>
      </c>
      <c r="T478" s="110" t="n"/>
    </row>
    <row r="479" ht="13.5" customHeight="1" s="52">
      <c r="A479" s="104" t="n">
        <v>472</v>
      </c>
      <c r="B479" s="119" t="n"/>
      <c r="C479" s="119" t="n"/>
      <c r="D479" s="119" t="n"/>
      <c r="F479" s="115" t="inlineStr">
        <is>
          <t>2621</t>
        </is>
      </c>
      <c r="G479" s="116" t="n"/>
      <c r="H479" s="115" t="inlineStr">
        <is>
          <t>Кошти на вимогу суб’єктів незалежної професійної діяльності</t>
        </is>
      </c>
      <c r="I479" s="115" t="inlineStr">
        <is>
          <t>П</t>
        </is>
      </c>
      <c r="J479" s="117" t="n">
        <v>0</v>
      </c>
      <c r="K479" s="117" t="n">
        <v>0</v>
      </c>
      <c r="L479" s="117" t="n">
        <v>0</v>
      </c>
      <c r="M479" s="117" t="n">
        <v>0</v>
      </c>
      <c r="N479" s="116" t="n"/>
      <c r="O479" s="117" t="n">
        <v>0</v>
      </c>
      <c r="P479" s="117" t="n">
        <v>0</v>
      </c>
      <c r="Q479" s="117" t="n">
        <v>5405.20508</v>
      </c>
      <c r="R479" s="117" t="n">
        <v>5363.41142</v>
      </c>
      <c r="S479" s="118" t="n">
        <v>41.79366</v>
      </c>
      <c r="T479" s="110" t="n"/>
    </row>
    <row r="480" ht="13.5" customHeight="1" s="52">
      <c r="A480" s="104" t="n">
        <v>473</v>
      </c>
      <c r="B480" s="119" t="n"/>
      <c r="C480" s="119" t="n"/>
      <c r="D480" s="119" t="n"/>
      <c r="F480" s="115" t="inlineStr">
        <is>
          <t>2622</t>
        </is>
      </c>
      <c r="G480" s="116" t="n"/>
      <c r="H480" s="115" t="inlineStr">
        <is>
          <t xml:space="preserve">Кошти фізичних осіб за рахунками умовного зберігання (ескроу) </t>
        </is>
      </c>
      <c r="I480" s="115" t="inlineStr">
        <is>
          <t>П</t>
        </is>
      </c>
      <c r="J480" s="117" t="n">
        <v>0</v>
      </c>
      <c r="K480" s="117" t="n">
        <v>0</v>
      </c>
      <c r="L480" s="117" t="n">
        <v>0</v>
      </c>
      <c r="M480" s="117" t="n">
        <v>0</v>
      </c>
      <c r="N480" s="116" t="n"/>
      <c r="O480" s="117" t="n">
        <v>0</v>
      </c>
      <c r="P480" s="117" t="n">
        <v>0</v>
      </c>
      <c r="Q480" s="117" t="n">
        <v>0</v>
      </c>
      <c r="R480" s="117" t="n">
        <v>0</v>
      </c>
      <c r="S480" s="118" t="n">
        <v>0</v>
      </c>
      <c r="T480" s="110" t="n"/>
    </row>
    <row r="481" ht="13.5" customHeight="1" s="52">
      <c r="A481" s="104" t="n">
        <v>474</v>
      </c>
      <c r="B481" s="119" t="n"/>
      <c r="C481" s="119" t="n"/>
      <c r="D481" s="119" t="n"/>
      <c r="F481" s="115" t="inlineStr">
        <is>
          <t>2628</t>
        </is>
      </c>
      <c r="G481" s="116" t="n"/>
      <c r="H481" s="115" t="inlineStr">
        <is>
          <t xml:space="preserve">Нараховані витрати за коштами на вимогу фізичних осіб </t>
        </is>
      </c>
      <c r="I481" s="115" t="inlineStr">
        <is>
          <t>П</t>
        </is>
      </c>
      <c r="J481" s="117" t="n">
        <v>44.3087</v>
      </c>
      <c r="K481" s="117" t="n">
        <v>39.58127</v>
      </c>
      <c r="L481" s="117" t="n">
        <v>4.72743</v>
      </c>
      <c r="M481" s="117" t="n">
        <v>37.08876</v>
      </c>
      <c r="N481" s="116" t="n"/>
      <c r="O481" s="117" t="n">
        <v>31.96417</v>
      </c>
      <c r="P481" s="117" t="n">
        <v>5.12459</v>
      </c>
      <c r="Q481" s="117" t="n">
        <v>60.13609</v>
      </c>
      <c r="R481" s="117" t="n">
        <v>50.91605</v>
      </c>
      <c r="S481" s="118" t="n">
        <v>9.220039999999999</v>
      </c>
      <c r="T481" s="110" t="n"/>
    </row>
    <row r="482" ht="13.5" customHeight="1" s="52">
      <c r="A482" s="104" t="n">
        <v>475</v>
      </c>
      <c r="B482" s="119" t="n"/>
      <c r="C482" s="119" t="n"/>
      <c r="D482" s="119" t="n"/>
      <c r="F482" s="115" t="inlineStr">
        <is>
          <t>2624</t>
        </is>
      </c>
      <c r="G482" s="116" t="n"/>
      <c r="H482" s="115" t="inlineStr">
        <is>
          <t>Кошти, що отримані суб’єктами незалежної професійної діяльності</t>
        </is>
      </c>
      <c r="I482" s="115" t="inlineStr">
        <is>
          <t>П</t>
        </is>
      </c>
      <c r="J482" s="117" t="n">
        <v>198.244</v>
      </c>
      <c r="K482" s="117" t="n">
        <v>198.244</v>
      </c>
      <c r="L482" s="117" t="n">
        <v>0</v>
      </c>
      <c r="M482" s="117" t="n">
        <v>0</v>
      </c>
      <c r="N482" s="116" t="n"/>
      <c r="O482" s="117" t="n">
        <v>0</v>
      </c>
      <c r="P482" s="117" t="n">
        <v>0</v>
      </c>
      <c r="Q482" s="117" t="n">
        <v>1329.30258</v>
      </c>
      <c r="R482" s="117" t="n">
        <v>1329.30258</v>
      </c>
      <c r="S482" s="118" t="n">
        <v>0</v>
      </c>
      <c r="T482" s="110" t="n"/>
    </row>
    <row r="483" ht="14.25" customHeight="1" s="52">
      <c r="A483" s="104" t="n">
        <v>476</v>
      </c>
      <c r="B483" s="119" t="n"/>
      <c r="C483" s="119" t="n"/>
      <c r="D483" s="119" t="n"/>
      <c r="F483" s="120" t="inlineStr">
        <is>
          <t>Група 262 - Усього</t>
        </is>
      </c>
      <c r="G483" s="116" t="n"/>
      <c r="H483" s="116" t="n"/>
      <c r="I483" s="120" t="n"/>
      <c r="J483" s="121" t="n">
        <v>242.5527</v>
      </c>
      <c r="K483" s="121" t="n">
        <v>237.82527</v>
      </c>
      <c r="L483" s="121" t="n">
        <v>4.72743</v>
      </c>
      <c r="M483" s="121" t="n">
        <v>37.08876</v>
      </c>
      <c r="N483" s="116" t="n"/>
      <c r="O483" s="121" t="n">
        <v>31.96417</v>
      </c>
      <c r="P483" s="121" t="n">
        <v>5.12459</v>
      </c>
      <c r="Q483" s="121" t="n">
        <v>12028740.90554</v>
      </c>
      <c r="R483" s="121" t="n">
        <v>5261487.02105</v>
      </c>
      <c r="S483" s="122" t="n">
        <v>6767253.88449</v>
      </c>
      <c r="T483" s="110" t="n"/>
    </row>
    <row r="484" ht="13.5" customHeight="1" s="52">
      <c r="A484" s="104" t="n">
        <v>477</v>
      </c>
      <c r="B484" s="119" t="n"/>
      <c r="C484" s="119" t="n"/>
      <c r="D484" s="115" t="inlineStr">
        <is>
          <t>263</t>
        </is>
      </c>
      <c r="E484" s="116" t="n"/>
      <c r="F484" s="115" t="inlineStr">
        <is>
          <t>2630</t>
        </is>
      </c>
      <c r="G484" s="116" t="n"/>
      <c r="H484" s="115" t="inlineStr">
        <is>
          <t xml:space="preserve">Строкові вклади (депозити) фізичних осіб </t>
        </is>
      </c>
      <c r="I484" s="115" t="inlineStr">
        <is>
          <t>П</t>
        </is>
      </c>
      <c r="J484" s="117" t="n">
        <v>2828325.83983</v>
      </c>
      <c r="K484" s="117" t="n">
        <v>577847.7268600001</v>
      </c>
      <c r="L484" s="117" t="n">
        <v>2250478.11297</v>
      </c>
      <c r="M484" s="117" t="n">
        <v>1490197.73989</v>
      </c>
      <c r="N484" s="116" t="n"/>
      <c r="O484" s="117" t="n">
        <v>361253.54962</v>
      </c>
      <c r="P484" s="117" t="n">
        <v>1128944.19027</v>
      </c>
      <c r="Q484" s="117" t="n">
        <v>18772707.67867</v>
      </c>
      <c r="R484" s="117" t="n">
        <v>6900582.76848</v>
      </c>
      <c r="S484" s="118" t="n">
        <v>11872124.91019</v>
      </c>
      <c r="T484" s="110" t="n"/>
    </row>
    <row r="485" ht="13.5" customHeight="1" s="52">
      <c r="A485" s="104" t="n">
        <v>478</v>
      </c>
      <c r="B485" s="119" t="n"/>
      <c r="C485" s="119" t="n"/>
      <c r="D485" s="119" t="n"/>
      <c r="F485" s="115" t="inlineStr">
        <is>
          <t>2636</t>
        </is>
      </c>
      <c r="G485" s="116" t="n"/>
      <c r="H485" s="115" t="inlineStr">
        <is>
          <t>Неамортизований дисконт/премія за строковими коштами фізичних осіб</t>
        </is>
      </c>
      <c r="I485" s="115" t="inlineStr">
        <is>
          <t>А</t>
        </is>
      </c>
      <c r="J485" s="117" t="n">
        <v>265.41066</v>
      </c>
      <c r="K485" s="117" t="n">
        <v>236.38546</v>
      </c>
      <c r="L485" s="117" t="n">
        <v>29.0252</v>
      </c>
      <c r="M485" s="117" t="n">
        <v>223.78554</v>
      </c>
      <c r="N485" s="116" t="n"/>
      <c r="O485" s="117" t="n">
        <v>196.25137</v>
      </c>
      <c r="P485" s="117" t="n">
        <v>27.53417</v>
      </c>
      <c r="Q485" s="117" t="n">
        <v>-404.0186</v>
      </c>
      <c r="R485" s="117" t="n">
        <v>-397.81694</v>
      </c>
      <c r="S485" s="118" t="n">
        <v>-6.20166</v>
      </c>
      <c r="T485" s="110" t="n"/>
    </row>
    <row r="486" ht="13.5" customHeight="1" s="52">
      <c r="A486" s="104" t="n">
        <v>479</v>
      </c>
      <c r="B486" s="119" t="n"/>
      <c r="C486" s="119" t="n"/>
      <c r="D486" s="119" t="n"/>
      <c r="F486" s="119" t="n"/>
      <c r="H486" s="119" t="n"/>
      <c r="I486" s="115" t="inlineStr">
        <is>
          <t>П</t>
        </is>
      </c>
      <c r="J486" s="117" t="n">
        <v>0</v>
      </c>
      <c r="K486" s="117" t="n">
        <v>0</v>
      </c>
      <c r="L486" s="117" t="n">
        <v>0</v>
      </c>
      <c r="M486" s="117" t="n">
        <v>0</v>
      </c>
      <c r="N486" s="116" t="n"/>
      <c r="O486" s="117" t="n">
        <v>0</v>
      </c>
      <c r="P486" s="117" t="n">
        <v>0</v>
      </c>
      <c r="Q486" s="117" t="n">
        <v>452.79266</v>
      </c>
      <c r="R486" s="117" t="n">
        <v>429.79411</v>
      </c>
      <c r="S486" s="118" t="n">
        <v>22.99855</v>
      </c>
      <c r="T486" s="110" t="n"/>
    </row>
    <row r="487" ht="13.5" customHeight="1" s="52">
      <c r="A487" s="104" t="n">
        <v>480</v>
      </c>
      <c r="B487" s="119" t="n"/>
      <c r="C487" s="119" t="n"/>
      <c r="D487" s="119" t="n"/>
      <c r="F487" s="115" t="inlineStr">
        <is>
          <t>2638</t>
        </is>
      </c>
      <c r="G487" s="116" t="n"/>
      <c r="H487" s="115" t="inlineStr">
        <is>
          <t xml:space="preserve">Нараховані витрати за строковими коштами фізичних осіб </t>
        </is>
      </c>
      <c r="I487" s="115" t="inlineStr">
        <is>
          <t>П</t>
        </is>
      </c>
      <c r="J487" s="117" t="n">
        <v>76243.62224</v>
      </c>
      <c r="K487" s="117" t="n">
        <v>68640.99274</v>
      </c>
      <c r="L487" s="117" t="n">
        <v>7602.6295</v>
      </c>
      <c r="M487" s="117" t="n">
        <v>74391.82838000001</v>
      </c>
      <c r="N487" s="116" t="n"/>
      <c r="O487" s="117" t="n">
        <v>68512.91114</v>
      </c>
      <c r="P487" s="117" t="n">
        <v>5878.91724</v>
      </c>
      <c r="Q487" s="117" t="n">
        <v>46576.70991</v>
      </c>
      <c r="R487" s="117" t="n">
        <v>41564.0712</v>
      </c>
      <c r="S487" s="118" t="n">
        <v>5012.63871</v>
      </c>
      <c r="T487" s="110" t="n"/>
    </row>
    <row r="488" ht="14.25" customHeight="1" s="52">
      <c r="A488" s="104" t="n">
        <v>481</v>
      </c>
      <c r="B488" s="119" t="n"/>
      <c r="C488" s="119" t="n"/>
      <c r="D488" s="119" t="n"/>
      <c r="F488" s="120" t="inlineStr">
        <is>
          <t>Група 263 - Усього</t>
        </is>
      </c>
      <c r="G488" s="116" t="n"/>
      <c r="H488" s="116" t="n"/>
      <c r="I488" s="120" t="n"/>
      <c r="J488" s="121" t="n">
        <v>2904834.87273</v>
      </c>
      <c r="K488" s="121" t="n">
        <v>646725.10506</v>
      </c>
      <c r="L488" s="121" t="n">
        <v>2258109.76767</v>
      </c>
      <c r="M488" s="121" t="n">
        <v>1564813.35381</v>
      </c>
      <c r="N488" s="116" t="n"/>
      <c r="O488" s="121" t="n">
        <v>429962.71213</v>
      </c>
      <c r="P488" s="121" t="n">
        <v>1134850.64168</v>
      </c>
      <c r="Q488" s="121" t="n">
        <v>18819333.16264</v>
      </c>
      <c r="R488" s="121" t="n">
        <v>6942178.81685</v>
      </c>
      <c r="S488" s="122" t="n">
        <v>11877154.34579</v>
      </c>
      <c r="T488" s="110" t="n"/>
    </row>
    <row r="489" ht="13.5" customHeight="1" s="52">
      <c r="A489" s="104" t="n">
        <v>482</v>
      </c>
      <c r="B489" s="119" t="n"/>
      <c r="C489" s="119" t="n"/>
      <c r="D489" s="115" t="inlineStr">
        <is>
          <t>264</t>
        </is>
      </c>
      <c r="E489" s="116" t="n"/>
      <c r="F489" s="115" t="inlineStr">
        <is>
          <t>2643</t>
        </is>
      </c>
      <c r="G489" s="116" t="n"/>
      <c r="H489" s="115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9" s="115" t="inlineStr">
        <is>
          <t>П</t>
        </is>
      </c>
      <c r="J489" s="117" t="n">
        <v>0</v>
      </c>
      <c r="K489" s="117" t="n">
        <v>0</v>
      </c>
      <c r="L489" s="117" t="n">
        <v>0</v>
      </c>
      <c r="M489" s="117" t="n">
        <v>0</v>
      </c>
      <c r="N489" s="116" t="n"/>
      <c r="O489" s="117" t="n">
        <v>0</v>
      </c>
      <c r="P489" s="117" t="n">
        <v>0</v>
      </c>
      <c r="Q489" s="117" t="n">
        <v>0</v>
      </c>
      <c r="R489" s="117" t="n">
        <v>0</v>
      </c>
      <c r="S489" s="118" t="n">
        <v>0</v>
      </c>
      <c r="T489" s="110" t="n"/>
    </row>
    <row r="490" ht="13.5" customHeight="1" s="52">
      <c r="A490" s="104" t="n">
        <v>483</v>
      </c>
      <c r="B490" s="119" t="n"/>
      <c r="C490" s="119" t="n"/>
      <c r="D490" s="119" t="n"/>
      <c r="F490" s="120" t="inlineStr">
        <is>
          <t>Група 264 - Усього</t>
        </is>
      </c>
      <c r="G490" s="116" t="n"/>
      <c r="H490" s="116" t="n"/>
      <c r="I490" s="120" t="n"/>
      <c r="J490" s="121" t="n">
        <v>0</v>
      </c>
      <c r="K490" s="121" t="n">
        <v>0</v>
      </c>
      <c r="L490" s="121" t="n">
        <v>0</v>
      </c>
      <c r="M490" s="121" t="n">
        <v>0</v>
      </c>
      <c r="N490" s="116" t="n"/>
      <c r="O490" s="121" t="n">
        <v>0</v>
      </c>
      <c r="P490" s="121" t="n">
        <v>0</v>
      </c>
      <c r="Q490" s="121" t="n">
        <v>0</v>
      </c>
      <c r="R490" s="121" t="n">
        <v>0</v>
      </c>
      <c r="S490" s="122" t="n">
        <v>0</v>
      </c>
      <c r="T490" s="110" t="n"/>
    </row>
    <row r="491" ht="13.5" customHeight="1" s="52">
      <c r="A491" s="104" t="n">
        <v>484</v>
      </c>
      <c r="B491" s="119" t="n"/>
      <c r="C491" s="119" t="n"/>
      <c r="D491" s="115" t="inlineStr">
        <is>
          <t>265</t>
        </is>
      </c>
      <c r="E491" s="116" t="n"/>
      <c r="F491" s="115" t="inlineStr">
        <is>
          <t>2651</t>
        </is>
      </c>
      <c r="G491" s="116" t="n"/>
      <c r="H491" s="115" t="inlineStr">
        <is>
          <t>Строкові вклади (депозити) небанківських фінансових установ</t>
        </is>
      </c>
      <c r="I491" s="115" t="inlineStr">
        <is>
          <t>П</t>
        </is>
      </c>
      <c r="J491" s="117" t="n">
        <v>4176341.22221</v>
      </c>
      <c r="K491" s="117" t="n">
        <v>55652</v>
      </c>
      <c r="L491" s="117" t="n">
        <v>4120689.22221</v>
      </c>
      <c r="M491" s="117" t="n">
        <v>4063218.35241</v>
      </c>
      <c r="N491" s="116" t="n"/>
      <c r="O491" s="117" t="n">
        <v>130100.97151</v>
      </c>
      <c r="P491" s="117" t="n">
        <v>3933117.3809</v>
      </c>
      <c r="Q491" s="117" t="n">
        <v>3097104.30566</v>
      </c>
      <c r="R491" s="117" t="n">
        <v>2424754.9699</v>
      </c>
      <c r="S491" s="118" t="n">
        <v>672349.33576</v>
      </c>
      <c r="T491" s="110" t="n"/>
    </row>
    <row r="492" ht="13.5" customHeight="1" s="52">
      <c r="A492" s="104" t="n">
        <v>485</v>
      </c>
      <c r="B492" s="119" t="n"/>
      <c r="C492" s="119" t="n"/>
      <c r="D492" s="119" t="n"/>
      <c r="F492" s="115" t="inlineStr">
        <is>
          <t>2652</t>
        </is>
      </c>
      <c r="G492" s="116" t="n"/>
      <c r="H492" s="115" t="inlineStr">
        <is>
          <t>Кошти небанківських фінансових установ за рахунками умовного зберігання (ескроу)</t>
        </is>
      </c>
      <c r="I492" s="115" t="inlineStr">
        <is>
          <t>П</t>
        </is>
      </c>
      <c r="J492" s="117" t="n">
        <v>336.19979</v>
      </c>
      <c r="K492" s="117" t="n">
        <v>336.19979</v>
      </c>
      <c r="L492" s="117" t="n">
        <v>0</v>
      </c>
      <c r="M492" s="117" t="n">
        <v>2000</v>
      </c>
      <c r="N492" s="116" t="n"/>
      <c r="O492" s="117" t="n">
        <v>2000</v>
      </c>
      <c r="P492" s="117" t="n">
        <v>0</v>
      </c>
      <c r="Q492" s="117" t="n">
        <v>12054.4533</v>
      </c>
      <c r="R492" s="117" t="n">
        <v>12054.4533</v>
      </c>
      <c r="S492" s="118" t="n">
        <v>0</v>
      </c>
      <c r="T492" s="110" t="n"/>
    </row>
    <row r="493" ht="14.25" customHeight="1" s="52">
      <c r="A493" s="104" t="n">
        <v>486</v>
      </c>
      <c r="B493" s="119" t="n"/>
      <c r="C493" s="119" t="n"/>
      <c r="D493" s="119" t="n"/>
      <c r="F493" s="115" t="inlineStr">
        <is>
          <t>2656</t>
        </is>
      </c>
      <c r="G493" s="116" t="n"/>
      <c r="H493" s="115" t="inlineStr">
        <is>
          <t>Неамортизований дисконт/премія за строковими коштами небанківських фінансових установ</t>
        </is>
      </c>
      <c r="I493" s="115" t="inlineStr">
        <is>
          <t>А</t>
        </is>
      </c>
      <c r="J493" s="117" t="n">
        <v>107.56098</v>
      </c>
      <c r="K493" s="117" t="n">
        <v>106.55127</v>
      </c>
      <c r="L493" s="117" t="n">
        <v>1.00971</v>
      </c>
      <c r="M493" s="117" t="n">
        <v>72.43992</v>
      </c>
      <c r="N493" s="116" t="n"/>
      <c r="O493" s="117" t="n">
        <v>71.2169</v>
      </c>
      <c r="P493" s="117" t="n">
        <v>1.22302</v>
      </c>
      <c r="Q493" s="117" t="n">
        <v>-45.97476</v>
      </c>
      <c r="R493" s="117" t="n">
        <v>-45.48401</v>
      </c>
      <c r="S493" s="118" t="n">
        <v>-0.49075</v>
      </c>
      <c r="T493" s="110" t="n"/>
    </row>
    <row r="494" ht="13.5" customHeight="1" s="52">
      <c r="A494" s="104" t="n">
        <v>487</v>
      </c>
      <c r="B494" s="119" t="n"/>
      <c r="C494" s="119" t="n"/>
      <c r="D494" s="119" t="n"/>
      <c r="F494" s="119" t="n"/>
      <c r="H494" s="119" t="n"/>
      <c r="I494" s="115" t="inlineStr">
        <is>
          <t>П</t>
        </is>
      </c>
      <c r="J494" s="117" t="n">
        <v>0</v>
      </c>
      <c r="K494" s="117" t="n">
        <v>0</v>
      </c>
      <c r="L494" s="117" t="n">
        <v>0</v>
      </c>
      <c r="M494" s="117" t="n">
        <v>0</v>
      </c>
      <c r="N494" s="116" t="n"/>
      <c r="O494" s="117" t="n">
        <v>0</v>
      </c>
      <c r="P494" s="117" t="n">
        <v>0</v>
      </c>
      <c r="Q494" s="117" t="n">
        <v>117.47039</v>
      </c>
      <c r="R494" s="117" t="n">
        <v>116.33771</v>
      </c>
      <c r="S494" s="118" t="n">
        <v>1.13268</v>
      </c>
      <c r="T494" s="110" t="n"/>
    </row>
    <row r="495" ht="13.5" customHeight="1" s="52">
      <c r="A495" s="104" t="n">
        <v>488</v>
      </c>
      <c r="B495" s="119" t="n"/>
      <c r="C495" s="119" t="n"/>
      <c r="D495" s="119" t="n"/>
      <c r="F495" s="115" t="inlineStr">
        <is>
          <t>2658</t>
        </is>
      </c>
      <c r="G495" s="116" t="n"/>
      <c r="H495" s="115" t="inlineStr">
        <is>
          <t xml:space="preserve">Нараховані витрати за коштами небанківських фінансових установ </t>
        </is>
      </c>
      <c r="I495" s="115" t="inlineStr">
        <is>
          <t>П</t>
        </is>
      </c>
      <c r="J495" s="117" t="n">
        <v>59523.69402</v>
      </c>
      <c r="K495" s="117" t="n">
        <v>58937.44531</v>
      </c>
      <c r="L495" s="117" t="n">
        <v>586.24871</v>
      </c>
      <c r="M495" s="117" t="n">
        <v>67777.5569</v>
      </c>
      <c r="N495" s="116" t="n"/>
      <c r="O495" s="117" t="n">
        <v>67383.21603</v>
      </c>
      <c r="P495" s="117" t="n">
        <v>394.34087</v>
      </c>
      <c r="Q495" s="117" t="n">
        <v>69542.99609</v>
      </c>
      <c r="R495" s="117" t="n">
        <v>68765.76416999999</v>
      </c>
      <c r="S495" s="118" t="n">
        <v>777.2319199999999</v>
      </c>
      <c r="T495" s="110" t="n"/>
    </row>
    <row r="496" ht="13.5" customHeight="1" s="52">
      <c r="A496" s="104" t="n">
        <v>489</v>
      </c>
      <c r="B496" s="119" t="n"/>
      <c r="C496" s="119" t="n"/>
      <c r="D496" s="119" t="n"/>
      <c r="F496" s="115" t="inlineStr">
        <is>
          <t>2650</t>
        </is>
      </c>
      <c r="G496" s="116" t="n"/>
      <c r="H496" s="115" t="inlineStr">
        <is>
          <t>Кошти на вимогу небанківських фінансових установ</t>
        </is>
      </c>
      <c r="I496" s="115" t="inlineStr">
        <is>
          <t>П</t>
        </is>
      </c>
      <c r="J496" s="117" t="n">
        <v>0</v>
      </c>
      <c r="K496" s="117" t="n">
        <v>0</v>
      </c>
      <c r="L496" s="117" t="n">
        <v>0</v>
      </c>
      <c r="M496" s="117" t="n">
        <v>0</v>
      </c>
      <c r="N496" s="116" t="n"/>
      <c r="O496" s="117" t="n">
        <v>0</v>
      </c>
      <c r="P496" s="117" t="n">
        <v>0</v>
      </c>
      <c r="Q496" s="117" t="n">
        <v>1569480.71267</v>
      </c>
      <c r="R496" s="117" t="n">
        <v>1239766.97684</v>
      </c>
      <c r="S496" s="118" t="n">
        <v>329713.73583</v>
      </c>
      <c r="T496" s="110" t="n"/>
    </row>
    <row r="497" ht="13.5" customHeight="1" s="52">
      <c r="A497" s="104" t="n">
        <v>490</v>
      </c>
      <c r="B497" s="119" t="n"/>
      <c r="C497" s="119" t="n"/>
      <c r="D497" s="119" t="n"/>
      <c r="F497" s="115" t="inlineStr">
        <is>
          <t>2654</t>
        </is>
      </c>
      <c r="G497" s="116" t="n"/>
      <c r="H497" s="115" t="inlineStr">
        <is>
          <t>Розрахункові рахунки небанківських надавачів фінансових платіжних послуг</t>
        </is>
      </c>
      <c r="I497" s="115" t="inlineStr">
        <is>
          <t>П</t>
        </is>
      </c>
      <c r="J497" s="117" t="n">
        <v>26081363.98116</v>
      </c>
      <c r="K497" s="117" t="n">
        <v>26081363.98116</v>
      </c>
      <c r="L497" s="117" t="n">
        <v>0</v>
      </c>
      <c r="M497" s="117" t="n">
        <v>27214606.43835</v>
      </c>
      <c r="N497" s="116" t="n"/>
      <c r="O497" s="117" t="n">
        <v>27214606.43835</v>
      </c>
      <c r="P497" s="117" t="n">
        <v>0</v>
      </c>
      <c r="Q497" s="117" t="n">
        <v>3130662.28253</v>
      </c>
      <c r="R497" s="117" t="n">
        <v>3130662.28253</v>
      </c>
      <c r="S497" s="118" t="n">
        <v>0</v>
      </c>
      <c r="T497" s="110" t="n"/>
    </row>
    <row r="498" ht="14.25" customHeight="1" s="52">
      <c r="A498" s="104" t="n">
        <v>491</v>
      </c>
      <c r="B498" s="119" t="n"/>
      <c r="C498" s="119" t="n"/>
      <c r="D498" s="119" t="n"/>
      <c r="F498" s="120" t="inlineStr">
        <is>
          <t>Група 265 - Усього</t>
        </is>
      </c>
      <c r="G498" s="116" t="n"/>
      <c r="H498" s="116" t="n"/>
      <c r="I498" s="120" t="n"/>
      <c r="J498" s="121" t="n">
        <v>30317672.65816</v>
      </c>
      <c r="K498" s="121" t="n">
        <v>26196396.17753</v>
      </c>
      <c r="L498" s="121" t="n">
        <v>4121276.48063</v>
      </c>
      <c r="M498" s="121" t="n">
        <v>31347674.78758</v>
      </c>
      <c r="N498" s="116" t="n"/>
      <c r="O498" s="121" t="n">
        <v>27414161.84279</v>
      </c>
      <c r="P498" s="121" t="n">
        <v>3933512.94479</v>
      </c>
      <c r="Q498" s="121" t="n">
        <v>7878916.24588</v>
      </c>
      <c r="R498" s="121" t="n">
        <v>6876075.30044</v>
      </c>
      <c r="S498" s="122" t="n">
        <v>1002840.94544</v>
      </c>
      <c r="T498" s="110" t="n"/>
    </row>
    <row r="499" ht="22.5" customHeight="1" s="52">
      <c r="A499" s="104" t="n">
        <v>492</v>
      </c>
      <c r="B499" s="119" t="n"/>
      <c r="C499" s="119" t="n"/>
      <c r="D499" s="120" t="inlineStr">
        <is>
          <t>Розділ 26 - Усього</t>
        </is>
      </c>
      <c r="E499" s="116" t="n"/>
      <c r="F499" s="120" t="n"/>
      <c r="G499" s="116" t="n"/>
      <c r="H499" s="116" t="n"/>
      <c r="I499" s="120" t="n"/>
      <c r="J499" s="121" t="n">
        <v>109498734.49285</v>
      </c>
      <c r="K499" s="121" t="n">
        <v>50436471.41813</v>
      </c>
      <c r="L499" s="121" t="n">
        <v>59062263.07472</v>
      </c>
      <c r="M499" s="121" t="n">
        <v>93229141.97614001</v>
      </c>
      <c r="N499" s="116" t="n"/>
      <c r="O499" s="121" t="n">
        <v>49880406.23246</v>
      </c>
      <c r="P499" s="121" t="n">
        <v>43348735.74368</v>
      </c>
      <c r="Q499" s="121" t="n">
        <v>175699523.85625</v>
      </c>
      <c r="R499" s="121" t="n">
        <v>120050958.60051</v>
      </c>
      <c r="S499" s="122" t="n">
        <v>55648565.25574</v>
      </c>
      <c r="T499" s="110" t="n"/>
    </row>
    <row r="500" ht="13.5" customHeight="1" s="52">
      <c r="A500" s="104" t="n">
        <v>493</v>
      </c>
      <c r="B500" s="119" t="n"/>
      <c r="C500" s="115" t="inlineStr">
        <is>
          <t>27</t>
        </is>
      </c>
      <c r="D500" s="115" t="inlineStr">
        <is>
          <t>270</t>
        </is>
      </c>
      <c r="E500" s="116" t="n"/>
      <c r="F500" s="115" t="inlineStr">
        <is>
          <t>2701</t>
        </is>
      </c>
      <c r="G500" s="116" t="n"/>
      <c r="H500" s="115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500" s="115" t="inlineStr">
        <is>
          <t>П</t>
        </is>
      </c>
      <c r="J500" s="117" t="n">
        <v>507434.3916</v>
      </c>
      <c r="K500" s="117" t="n">
        <v>143666.83417</v>
      </c>
      <c r="L500" s="117" t="n">
        <v>363767.55743</v>
      </c>
      <c r="M500" s="117" t="n">
        <v>1078042.08675</v>
      </c>
      <c r="N500" s="116" t="n"/>
      <c r="O500" s="117" t="n">
        <v>0</v>
      </c>
      <c r="P500" s="117" t="n">
        <v>1078042.08675</v>
      </c>
      <c r="Q500" s="117" t="n">
        <v>22244001.68225</v>
      </c>
      <c r="R500" s="117" t="n">
        <v>695771.14886</v>
      </c>
      <c r="S500" s="118" t="n">
        <v>21548230.53339</v>
      </c>
      <c r="T500" s="110" t="n"/>
    </row>
    <row r="501" ht="13.5" customHeight="1" s="52">
      <c r="A501" s="104" t="n">
        <v>494</v>
      </c>
      <c r="B501" s="119" t="n"/>
      <c r="C501" s="119" t="n"/>
      <c r="D501" s="119" t="n"/>
      <c r="F501" s="115" t="inlineStr">
        <is>
          <t>2706</t>
        </is>
      </c>
      <c r="G501" s="116" t="n"/>
      <c r="H501" s="115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1" s="115" t="inlineStr">
        <is>
          <t>А</t>
        </is>
      </c>
      <c r="J501" s="117" t="n">
        <v>16799.06252</v>
      </c>
      <c r="K501" s="117" t="n">
        <v>52.23155</v>
      </c>
      <c r="L501" s="117" t="n">
        <v>16746.83097</v>
      </c>
      <c r="M501" s="117" t="n">
        <v>19876.12443</v>
      </c>
      <c r="N501" s="116" t="n"/>
      <c r="O501" s="117" t="n">
        <v>171.1237</v>
      </c>
      <c r="P501" s="117" t="n">
        <v>19705.00073</v>
      </c>
      <c r="Q501" s="117" t="n">
        <v>-897331.57941</v>
      </c>
      <c r="R501" s="117" t="n">
        <v>-136.87129</v>
      </c>
      <c r="S501" s="118" t="n">
        <v>-897194.70812</v>
      </c>
      <c r="T501" s="110" t="n"/>
    </row>
    <row r="502" ht="13.5" customHeight="1" s="52">
      <c r="A502" s="104" t="n">
        <v>495</v>
      </c>
      <c r="B502" s="119" t="n"/>
      <c r="C502" s="119" t="n"/>
      <c r="D502" s="119" t="n"/>
      <c r="F502" s="119" t="n"/>
      <c r="H502" s="119" t="n"/>
      <c r="I502" s="115" t="inlineStr">
        <is>
          <t>П</t>
        </is>
      </c>
      <c r="J502" s="117" t="n">
        <v>0</v>
      </c>
      <c r="K502" s="117" t="n">
        <v>0</v>
      </c>
      <c r="L502" s="117" t="n">
        <v>0</v>
      </c>
      <c r="M502" s="117" t="n">
        <v>0</v>
      </c>
      <c r="N502" s="116" t="n"/>
      <c r="O502" s="117" t="n">
        <v>0</v>
      </c>
      <c r="P502" s="117" t="n">
        <v>0</v>
      </c>
      <c r="Q502" s="117" t="n">
        <v>52.45104</v>
      </c>
      <c r="R502" s="117" t="n">
        <v>2.41856</v>
      </c>
      <c r="S502" s="118" t="n">
        <v>50.03248</v>
      </c>
      <c r="T502" s="110" t="n"/>
    </row>
    <row r="503" ht="14.25" customHeight="1" s="52">
      <c r="A503" s="104" t="n">
        <v>496</v>
      </c>
      <c r="B503" s="119" t="n"/>
      <c r="C503" s="119" t="n"/>
      <c r="D503" s="119" t="n"/>
      <c r="F503" s="115" t="inlineStr">
        <is>
          <t>2708</t>
        </is>
      </c>
      <c r="G503" s="116" t="n"/>
      <c r="H503" s="115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3" s="115" t="inlineStr">
        <is>
          <t>П</t>
        </is>
      </c>
      <c r="J503" s="117" t="n">
        <v>168222.26757</v>
      </c>
      <c r="K503" s="117" t="n">
        <v>43213.58588</v>
      </c>
      <c r="L503" s="117" t="n">
        <v>125008.68169</v>
      </c>
      <c r="M503" s="117" t="n">
        <v>107320.66351</v>
      </c>
      <c r="N503" s="116" t="n"/>
      <c r="O503" s="117" t="n">
        <v>8711.98559</v>
      </c>
      <c r="P503" s="117" t="n">
        <v>98608.67792</v>
      </c>
      <c r="Q503" s="117" t="n">
        <v>215277.25209</v>
      </c>
      <c r="R503" s="117" t="n">
        <v>6364.4293</v>
      </c>
      <c r="S503" s="118" t="n">
        <v>208912.82279</v>
      </c>
      <c r="T503" s="110" t="n"/>
    </row>
    <row r="504" ht="13.5" customHeight="1" s="52">
      <c r="A504" s="104" t="n">
        <v>497</v>
      </c>
      <c r="B504" s="119" t="n"/>
      <c r="C504" s="119" t="n"/>
      <c r="D504" s="119" t="n"/>
      <c r="F504" s="120" t="inlineStr">
        <is>
          <t>Група 270 - Усього</t>
        </is>
      </c>
      <c r="G504" s="116" t="n"/>
      <c r="H504" s="116" t="n"/>
      <c r="I504" s="120" t="n"/>
      <c r="J504" s="121" t="n">
        <v>692455.72169</v>
      </c>
      <c r="K504" s="121" t="n">
        <v>186932.6516</v>
      </c>
      <c r="L504" s="121" t="n">
        <v>505523.07009</v>
      </c>
      <c r="M504" s="121" t="n">
        <v>1205238.87469</v>
      </c>
      <c r="N504" s="116" t="n"/>
      <c r="O504" s="121" t="n">
        <v>8883.10929</v>
      </c>
      <c r="P504" s="121" t="n">
        <v>1196355.7654</v>
      </c>
      <c r="Q504" s="121" t="n">
        <v>21561999.80597</v>
      </c>
      <c r="R504" s="121" t="n">
        <v>702001.12543</v>
      </c>
      <c r="S504" s="122" t="n">
        <v>20859998.68054</v>
      </c>
      <c r="T504" s="110" t="n"/>
    </row>
    <row r="505" ht="21" customHeight="1" s="52">
      <c r="A505" s="104" t="n">
        <v>498</v>
      </c>
      <c r="B505" s="119" t="n"/>
      <c r="C505" s="119" t="n"/>
      <c r="D505" s="120" t="inlineStr">
        <is>
          <t>Розділ 27 - Усього</t>
        </is>
      </c>
      <c r="E505" s="116" t="n"/>
      <c r="F505" s="120" t="n"/>
      <c r="G505" s="116" t="n"/>
      <c r="H505" s="116" t="n"/>
      <c r="I505" s="120" t="n"/>
      <c r="J505" s="121" t="n">
        <v>692455.72169</v>
      </c>
      <c r="K505" s="121" t="n">
        <v>186932.6516</v>
      </c>
      <c r="L505" s="121" t="n">
        <v>505523.07009</v>
      </c>
      <c r="M505" s="121" t="n">
        <v>1205238.87469</v>
      </c>
      <c r="N505" s="116" t="n"/>
      <c r="O505" s="121" t="n">
        <v>8883.10929</v>
      </c>
      <c r="P505" s="121" t="n">
        <v>1196355.7654</v>
      </c>
      <c r="Q505" s="121" t="n">
        <v>21561999.80597</v>
      </c>
      <c r="R505" s="121" t="n">
        <v>702001.12543</v>
      </c>
      <c r="S505" s="122" t="n">
        <v>20859998.68054</v>
      </c>
      <c r="T505" s="110" t="n"/>
    </row>
    <row r="506" ht="13.5" customHeight="1" s="52">
      <c r="A506" s="104" t="n">
        <v>499</v>
      </c>
      <c r="B506" s="119" t="n"/>
      <c r="C506" s="115" t="inlineStr">
        <is>
          <t>29</t>
        </is>
      </c>
      <c r="D506" s="115" t="inlineStr">
        <is>
          <t>290</t>
        </is>
      </c>
      <c r="E506" s="116" t="n"/>
      <c r="F506" s="115" t="inlineStr">
        <is>
          <t>2900</t>
        </is>
      </c>
      <c r="G506" s="116" t="n"/>
      <c r="H506" s="115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6" s="115" t="inlineStr">
        <is>
          <t>П</t>
        </is>
      </c>
      <c r="J506" s="117" t="n">
        <v>232580791.3955</v>
      </c>
      <c r="K506" s="117" t="n">
        <v>121027584.13735</v>
      </c>
      <c r="L506" s="117" t="n">
        <v>111553207.25815</v>
      </c>
      <c r="M506" s="117" t="n">
        <v>232557346.66146</v>
      </c>
      <c r="N506" s="116" t="n"/>
      <c r="O506" s="117" t="n">
        <v>121004284.96344</v>
      </c>
      <c r="P506" s="117" t="n">
        <v>111553061.69802</v>
      </c>
      <c r="Q506" s="117" t="n">
        <v>42350.3124</v>
      </c>
      <c r="R506" s="117" t="n">
        <v>42349.34229</v>
      </c>
      <c r="S506" s="118" t="n">
        <v>0.97011</v>
      </c>
      <c r="T506" s="110" t="n"/>
    </row>
    <row r="507" ht="13.5" customHeight="1" s="52">
      <c r="A507" s="104" t="n">
        <v>500</v>
      </c>
      <c r="B507" s="119" t="n"/>
      <c r="C507" s="119" t="n"/>
      <c r="D507" s="119" t="n"/>
      <c r="F507" s="115" t="inlineStr">
        <is>
          <t>2901</t>
        </is>
      </c>
      <c r="G507" s="116" t="n"/>
      <c r="H507" s="115" t="inlineStr">
        <is>
          <t>Кредиторська заборгованість за розрахунками за цінними паперами для клієнтів</t>
        </is>
      </c>
      <c r="I507" s="115" t="inlineStr">
        <is>
          <t>П</t>
        </is>
      </c>
      <c r="J507" s="117" t="n">
        <v>3977078.02202</v>
      </c>
      <c r="K507" s="117" t="n">
        <v>1411211.29407</v>
      </c>
      <c r="L507" s="117" t="n">
        <v>2565866.72795</v>
      </c>
      <c r="M507" s="117" t="n">
        <v>3954858.42202</v>
      </c>
      <c r="N507" s="116" t="n"/>
      <c r="O507" s="117" t="n">
        <v>1388991.69407</v>
      </c>
      <c r="P507" s="117" t="n">
        <v>2565866.72795</v>
      </c>
      <c r="Q507" s="117" t="n">
        <v>4313.99738</v>
      </c>
      <c r="R507" s="117" t="n">
        <v>4313.99738</v>
      </c>
      <c r="S507" s="118" t="n">
        <v>0</v>
      </c>
      <c r="T507" s="110" t="n"/>
    </row>
    <row r="508" ht="14.25" customHeight="1" s="52">
      <c r="A508" s="104" t="n">
        <v>501</v>
      </c>
      <c r="B508" s="119" t="n"/>
      <c r="C508" s="119" t="n"/>
      <c r="D508" s="119" t="n"/>
      <c r="F508" s="115" t="inlineStr">
        <is>
          <t>2902</t>
        </is>
      </c>
      <c r="G508" s="116" t="n"/>
      <c r="H508" s="115" t="inlineStr">
        <is>
          <t>Кредиторська заборгованість за прийняті платежі</t>
        </is>
      </c>
      <c r="I508" s="115" t="inlineStr">
        <is>
          <t>П</t>
        </is>
      </c>
      <c r="J508" s="117" t="n">
        <v>89632.77422000001</v>
      </c>
      <c r="K508" s="117" t="n">
        <v>89632.77422000001</v>
      </c>
      <c r="L508" s="117" t="n">
        <v>0</v>
      </c>
      <c r="M508" s="117" t="n">
        <v>89613.93122</v>
      </c>
      <c r="N508" s="116" t="n"/>
      <c r="O508" s="117" t="n">
        <v>89613.93122</v>
      </c>
      <c r="P508" s="117" t="n">
        <v>0</v>
      </c>
      <c r="Q508" s="117" t="n">
        <v>8.612450000000001</v>
      </c>
      <c r="R508" s="117" t="n">
        <v>8.612450000000001</v>
      </c>
      <c r="S508" s="118" t="n">
        <v>0</v>
      </c>
      <c r="T508" s="110" t="n"/>
    </row>
    <row r="509" ht="13.5" customHeight="1" s="52">
      <c r="A509" s="104" t="n">
        <v>502</v>
      </c>
      <c r="B509" s="119" t="n"/>
      <c r="C509" s="119" t="n"/>
      <c r="D509" s="119" t="n"/>
      <c r="F509" s="115" t="inlineStr">
        <is>
          <t>2903</t>
        </is>
      </c>
      <c r="G509" s="116" t="n"/>
      <c r="H509" s="115" t="inlineStr">
        <is>
          <t>Кошти клієнтів банку за недіючими рахунками</t>
        </is>
      </c>
      <c r="I509" s="115" t="inlineStr">
        <is>
          <t>П</t>
        </is>
      </c>
      <c r="J509" s="117" t="n">
        <v>5241.76657</v>
      </c>
      <c r="K509" s="117" t="n">
        <v>3369.52188</v>
      </c>
      <c r="L509" s="117" t="n">
        <v>1872.24469</v>
      </c>
      <c r="M509" s="117" t="n">
        <v>5405.0665</v>
      </c>
      <c r="N509" s="116" t="n"/>
      <c r="O509" s="117" t="n">
        <v>2189.43828</v>
      </c>
      <c r="P509" s="117" t="n">
        <v>3215.62822</v>
      </c>
      <c r="Q509" s="117" t="n">
        <v>58964.22679</v>
      </c>
      <c r="R509" s="117" t="n">
        <v>13702.70967</v>
      </c>
      <c r="S509" s="118" t="n">
        <v>45261.51712</v>
      </c>
      <c r="T509" s="110" t="n"/>
    </row>
    <row r="510" ht="13.5" customHeight="1" s="52">
      <c r="A510" s="104" t="n">
        <v>503</v>
      </c>
      <c r="B510" s="119" t="n"/>
      <c r="C510" s="119" t="n"/>
      <c r="D510" s="119" t="n"/>
      <c r="F510" s="115" t="inlineStr">
        <is>
          <t>2904</t>
        </is>
      </c>
      <c r="G510" s="116" t="n"/>
      <c r="H510" s="115" t="inlineStr">
        <is>
          <t>Зобов'язання банку за випущеними електронними грошима</t>
        </is>
      </c>
      <c r="I510" s="115" t="inlineStr">
        <is>
          <t>П</t>
        </is>
      </c>
      <c r="J510" s="117" t="n">
        <v>0</v>
      </c>
      <c r="K510" s="117" t="n">
        <v>0</v>
      </c>
      <c r="L510" s="117" t="n">
        <v>0</v>
      </c>
      <c r="M510" s="117" t="n">
        <v>0</v>
      </c>
      <c r="N510" s="116" t="n"/>
      <c r="O510" s="117" t="n">
        <v>0</v>
      </c>
      <c r="P510" s="117" t="n">
        <v>0</v>
      </c>
      <c r="Q510" s="117" t="n">
        <v>0</v>
      </c>
      <c r="R510" s="117" t="n">
        <v>0</v>
      </c>
      <c r="S510" s="118" t="n">
        <v>0</v>
      </c>
      <c r="T510" s="110" t="n"/>
    </row>
    <row r="511" ht="13.5" customHeight="1" s="52">
      <c r="A511" s="104" t="n">
        <v>504</v>
      </c>
      <c r="B511" s="119" t="n"/>
      <c r="C511" s="119" t="n"/>
      <c r="D511" s="119" t="n"/>
      <c r="F511" s="115" t="inlineStr">
        <is>
          <t>2907</t>
        </is>
      </c>
      <c r="G511" s="116" t="n"/>
      <c r="H511" s="115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11" s="115" t="inlineStr">
        <is>
          <t>П</t>
        </is>
      </c>
      <c r="J511" s="117" t="n">
        <v>0</v>
      </c>
      <c r="K511" s="117" t="n">
        <v>0</v>
      </c>
      <c r="L511" s="117" t="n">
        <v>0</v>
      </c>
      <c r="M511" s="117" t="n">
        <v>0</v>
      </c>
      <c r="N511" s="116" t="n"/>
      <c r="O511" s="117" t="n">
        <v>0</v>
      </c>
      <c r="P511" s="117" t="n">
        <v>0</v>
      </c>
      <c r="Q511" s="117" t="n">
        <v>0</v>
      </c>
      <c r="R511" s="117" t="n">
        <v>0</v>
      </c>
      <c r="S511" s="118" t="n">
        <v>0</v>
      </c>
      <c r="T511" s="110" t="n"/>
    </row>
    <row r="512" ht="13.5" customHeight="1" s="52">
      <c r="A512" s="104" t="n">
        <v>505</v>
      </c>
      <c r="B512" s="119" t="n"/>
      <c r="C512" s="119" t="n"/>
      <c r="D512" s="119" t="n"/>
      <c r="F512" s="115" t="inlineStr">
        <is>
          <t>2908</t>
        </is>
      </c>
      <c r="G512" s="116" t="n"/>
      <c r="H512" s="115" t="inlineStr">
        <is>
          <t>Кредиторська заборгованість за іншими операціями колишнього СРСР</t>
        </is>
      </c>
      <c r="I512" s="115" t="inlineStr">
        <is>
          <t>П</t>
        </is>
      </c>
      <c r="J512" s="117" t="n">
        <v>41.40322</v>
      </c>
      <c r="K512" s="117" t="n">
        <v>0</v>
      </c>
      <c r="L512" s="117" t="n">
        <v>41.40322</v>
      </c>
      <c r="M512" s="117" t="n">
        <v>62.29713</v>
      </c>
      <c r="N512" s="116" t="n"/>
      <c r="O512" s="117" t="n">
        <v>0</v>
      </c>
      <c r="P512" s="117" t="n">
        <v>62.29713</v>
      </c>
      <c r="Q512" s="117" t="n">
        <v>3962.93141</v>
      </c>
      <c r="R512" s="117" t="n">
        <v>4.36368</v>
      </c>
      <c r="S512" s="118" t="n">
        <v>3958.56773</v>
      </c>
      <c r="T512" s="110" t="n"/>
    </row>
    <row r="513" ht="14.25" customHeight="1" s="52">
      <c r="A513" s="104" t="n">
        <v>506</v>
      </c>
      <c r="B513" s="119" t="n"/>
      <c r="C513" s="119" t="n"/>
      <c r="D513" s="119" t="n"/>
      <c r="F513" s="115" t="inlineStr">
        <is>
          <t>2909</t>
        </is>
      </c>
      <c r="G513" s="116" t="n"/>
      <c r="H513" s="115" t="inlineStr">
        <is>
          <t>Інша кредиторська заборгованість за операціями з клієнтами банку</t>
        </is>
      </c>
      <c r="I513" s="115" t="inlineStr">
        <is>
          <t>П</t>
        </is>
      </c>
      <c r="J513" s="117" t="n">
        <v>862995.87973</v>
      </c>
      <c r="K513" s="117" t="n">
        <v>138374.12452</v>
      </c>
      <c r="L513" s="117" t="n">
        <v>724621.75521</v>
      </c>
      <c r="M513" s="117" t="n">
        <v>875534.9818600001</v>
      </c>
      <c r="N513" s="116" t="n"/>
      <c r="O513" s="117" t="n">
        <v>150916.67606</v>
      </c>
      <c r="P513" s="117" t="n">
        <v>724618.3058</v>
      </c>
      <c r="Q513" s="117" t="n">
        <v>40966.9032</v>
      </c>
      <c r="R513" s="117" t="n">
        <v>38817.23312</v>
      </c>
      <c r="S513" s="118" t="n">
        <v>2149.67008</v>
      </c>
      <c r="T513" s="110" t="n"/>
    </row>
    <row r="514" ht="13.5" customHeight="1" s="52">
      <c r="A514" s="104" t="n">
        <v>507</v>
      </c>
      <c r="B514" s="119" t="n"/>
      <c r="C514" s="119" t="n"/>
      <c r="D514" s="119" t="n"/>
      <c r="F514" s="120" t="inlineStr">
        <is>
          <t>Група 290 - Усього</t>
        </is>
      </c>
      <c r="G514" s="116" t="n"/>
      <c r="H514" s="116" t="n"/>
      <c r="I514" s="120" t="n"/>
      <c r="J514" s="121" t="n">
        <v>237515781.24126</v>
      </c>
      <c r="K514" s="121" t="n">
        <v>122670171.85204</v>
      </c>
      <c r="L514" s="121" t="n">
        <v>114845609.38922</v>
      </c>
      <c r="M514" s="121" t="n">
        <v>237482821.36019</v>
      </c>
      <c r="N514" s="116" t="n"/>
      <c r="O514" s="121" t="n">
        <v>122635996.70307</v>
      </c>
      <c r="P514" s="121" t="n">
        <v>114846824.65712</v>
      </c>
      <c r="Q514" s="121" t="n">
        <v>150566.98363</v>
      </c>
      <c r="R514" s="121" t="n">
        <v>99196.25859</v>
      </c>
      <c r="S514" s="122" t="n">
        <v>51370.72504</v>
      </c>
      <c r="T514" s="110" t="n"/>
    </row>
    <row r="515" ht="13.5" customHeight="1" s="52">
      <c r="A515" s="104" t="n">
        <v>508</v>
      </c>
      <c r="B515" s="119" t="n"/>
      <c r="C515" s="119" t="n"/>
      <c r="D515" s="115" t="inlineStr">
        <is>
          <t>292</t>
        </is>
      </c>
      <c r="E515" s="116" t="n"/>
      <c r="F515" s="115" t="inlineStr">
        <is>
          <t>2920</t>
        </is>
      </c>
      <c r="G515" s="116" t="n"/>
      <c r="H515" s="115" t="inlineStr">
        <is>
          <t>Транзитний рахунок за операціями, здійсненими через банкомат</t>
        </is>
      </c>
      <c r="I515" s="115" t="inlineStr">
        <is>
          <t>П</t>
        </is>
      </c>
      <c r="J515" s="117" t="n">
        <v>0</v>
      </c>
      <c r="K515" s="117" t="n">
        <v>0</v>
      </c>
      <c r="L515" s="117" t="n">
        <v>0</v>
      </c>
      <c r="M515" s="117" t="n">
        <v>0</v>
      </c>
      <c r="N515" s="116" t="n"/>
      <c r="O515" s="117" t="n">
        <v>0</v>
      </c>
      <c r="P515" s="117" t="n">
        <v>0</v>
      </c>
      <c r="Q515" s="117" t="n">
        <v>0</v>
      </c>
      <c r="R515" s="117" t="n">
        <v>0</v>
      </c>
      <c r="S515" s="118" t="n">
        <v>0</v>
      </c>
      <c r="T515" s="110" t="n"/>
    </row>
    <row r="516" ht="13.5" customHeight="1" s="52">
      <c r="A516" s="104" t="n">
        <v>509</v>
      </c>
      <c r="B516" s="119" t="n"/>
      <c r="C516" s="119" t="n"/>
      <c r="D516" s="119" t="n"/>
      <c r="F516" s="115" t="inlineStr">
        <is>
          <t>2924</t>
        </is>
      </c>
      <c r="G516" s="116" t="n"/>
      <c r="H516" s="115" t="inlineStr">
        <is>
          <t>Транзитний рахунок за операціями, здійсненими з використанням платіжних карток</t>
        </is>
      </c>
      <c r="I516" s="115" t="inlineStr">
        <is>
          <t>П</t>
        </is>
      </c>
      <c r="J516" s="117" t="n">
        <v>0</v>
      </c>
      <c r="K516" s="117" t="n">
        <v>0</v>
      </c>
      <c r="L516" s="117" t="n">
        <v>0</v>
      </c>
      <c r="M516" s="117" t="n">
        <v>0</v>
      </c>
      <c r="N516" s="116" t="n"/>
      <c r="O516" s="117" t="n">
        <v>0</v>
      </c>
      <c r="P516" s="117" t="n">
        <v>0</v>
      </c>
      <c r="Q516" s="117" t="n">
        <v>720767.6765300001</v>
      </c>
      <c r="R516" s="117" t="n">
        <v>556596.94005</v>
      </c>
      <c r="S516" s="118" t="n">
        <v>164170.73648</v>
      </c>
      <c r="T516" s="110" t="n"/>
    </row>
    <row r="517" ht="13.5" customHeight="1" s="52">
      <c r="A517" s="104" t="n">
        <v>510</v>
      </c>
      <c r="B517" s="119" t="n"/>
      <c r="C517" s="119" t="n"/>
      <c r="D517" s="119" t="n"/>
      <c r="F517" s="120" t="inlineStr">
        <is>
          <t>Група 292 - Усього</t>
        </is>
      </c>
      <c r="G517" s="116" t="n"/>
      <c r="H517" s="116" t="n"/>
      <c r="I517" s="120" t="n"/>
      <c r="J517" s="121" t="n">
        <v>0</v>
      </c>
      <c r="K517" s="121" t="n">
        <v>0</v>
      </c>
      <c r="L517" s="121" t="n">
        <v>0</v>
      </c>
      <c r="M517" s="121" t="n">
        <v>0</v>
      </c>
      <c r="N517" s="116" t="n"/>
      <c r="O517" s="121" t="n">
        <v>0</v>
      </c>
      <c r="P517" s="121" t="n">
        <v>0</v>
      </c>
      <c r="Q517" s="121" t="n">
        <v>720767.6765300001</v>
      </c>
      <c r="R517" s="121" t="n">
        <v>556596.94005</v>
      </c>
      <c r="S517" s="122" t="n">
        <v>164170.73648</v>
      </c>
      <c r="T517" s="110" t="n"/>
    </row>
    <row r="518" ht="14.25" customHeight="1" s="52">
      <c r="A518" s="104" t="n">
        <v>511</v>
      </c>
      <c r="B518" s="119" t="n"/>
      <c r="C518" s="119" t="n"/>
      <c r="D518" s="115" t="inlineStr">
        <is>
          <t>293</t>
        </is>
      </c>
      <c r="E518" s="116" t="n"/>
      <c r="F518" s="115" t="inlineStr">
        <is>
          <t>2932</t>
        </is>
      </c>
      <c r="G518" s="116" t="n"/>
      <c r="H518" s="115" t="inlineStr">
        <is>
          <t>Кошти в розрахунках суб’єктів господарювання</t>
        </is>
      </c>
      <c r="I518" s="115" t="inlineStr">
        <is>
          <t>П</t>
        </is>
      </c>
      <c r="J518" s="117" t="n">
        <v>2295564.69276</v>
      </c>
      <c r="K518" s="117" t="n">
        <v>18390.26582</v>
      </c>
      <c r="L518" s="117" t="n">
        <v>2277174.42694</v>
      </c>
      <c r="M518" s="117" t="n">
        <v>1867566.37331</v>
      </c>
      <c r="N518" s="116" t="n"/>
      <c r="O518" s="117" t="n">
        <v>37537.81622</v>
      </c>
      <c r="P518" s="117" t="n">
        <v>1830028.55709</v>
      </c>
      <c r="Q518" s="117" t="n">
        <v>5467606.16503</v>
      </c>
      <c r="R518" s="117" t="n">
        <v>521716.12311</v>
      </c>
      <c r="S518" s="118" t="n">
        <v>4945890.04192</v>
      </c>
      <c r="T518" s="110" t="n"/>
    </row>
    <row r="519" ht="13.5" customHeight="1" s="52">
      <c r="A519" s="104" t="n">
        <v>512</v>
      </c>
      <c r="B519" s="119" t="n"/>
      <c r="C519" s="119" t="n"/>
      <c r="D519" s="119" t="n"/>
      <c r="F519" s="120" t="inlineStr">
        <is>
          <t>Група 293 - Усього</t>
        </is>
      </c>
      <c r="G519" s="116" t="n"/>
      <c r="H519" s="116" t="n"/>
      <c r="I519" s="120" t="n"/>
      <c r="J519" s="121" t="n">
        <v>2295564.69276</v>
      </c>
      <c r="K519" s="121" t="n">
        <v>18390.26582</v>
      </c>
      <c r="L519" s="121" t="n">
        <v>2277174.42694</v>
      </c>
      <c r="M519" s="121" t="n">
        <v>1867566.37331</v>
      </c>
      <c r="N519" s="116" t="n"/>
      <c r="O519" s="121" t="n">
        <v>37537.81622</v>
      </c>
      <c r="P519" s="121" t="n">
        <v>1830028.55709</v>
      </c>
      <c r="Q519" s="121" t="n">
        <v>5467606.16503</v>
      </c>
      <c r="R519" s="121" t="n">
        <v>521716.12311</v>
      </c>
      <c r="S519" s="122" t="n">
        <v>4945890.04192</v>
      </c>
      <c r="T519" s="110" t="n"/>
    </row>
    <row r="520" ht="13.5" customHeight="1" s="52">
      <c r="A520" s="104" t="n">
        <v>513</v>
      </c>
      <c r="B520" s="119" t="n"/>
      <c r="C520" s="119" t="n"/>
      <c r="D520" s="115" t="inlineStr">
        <is>
          <t>294</t>
        </is>
      </c>
      <c r="E520" s="116" t="n"/>
      <c r="F520" s="115" t="inlineStr">
        <is>
          <t>2942</t>
        </is>
      </c>
      <c r="G520" s="116" t="n"/>
      <c r="H520" s="115" t="inlineStr">
        <is>
          <t>Кошти в розрахунках фізичних осіб</t>
        </is>
      </c>
      <c r="I520" s="115" t="inlineStr">
        <is>
          <t>П</t>
        </is>
      </c>
      <c r="J520" s="117" t="n">
        <v>23121.6397</v>
      </c>
      <c r="K520" s="117" t="n">
        <v>23121.6397</v>
      </c>
      <c r="L520" s="117" t="n">
        <v>0</v>
      </c>
      <c r="M520" s="117" t="n">
        <v>22872.77402</v>
      </c>
      <c r="N520" s="116" t="n"/>
      <c r="O520" s="117" t="n">
        <v>22872.77402</v>
      </c>
      <c r="P520" s="117" t="n">
        <v>0</v>
      </c>
      <c r="Q520" s="117" t="n">
        <v>506.88748</v>
      </c>
      <c r="R520" s="117" t="n">
        <v>506.88748</v>
      </c>
      <c r="S520" s="118" t="n">
        <v>0</v>
      </c>
      <c r="T520" s="110" t="n"/>
    </row>
    <row r="521" ht="13.5" customHeight="1" s="52">
      <c r="A521" s="104" t="n">
        <v>514</v>
      </c>
      <c r="B521" s="119" t="n"/>
      <c r="C521" s="119" t="n"/>
      <c r="D521" s="119" t="n"/>
      <c r="F521" s="120" t="inlineStr">
        <is>
          <t>Група 294 - Усього</t>
        </is>
      </c>
      <c r="G521" s="116" t="n"/>
      <c r="H521" s="116" t="n"/>
      <c r="I521" s="120" t="n"/>
      <c r="J521" s="121" t="n">
        <v>23121.6397</v>
      </c>
      <c r="K521" s="121" t="n">
        <v>23121.6397</v>
      </c>
      <c r="L521" s="121" t="n">
        <v>0</v>
      </c>
      <c r="M521" s="121" t="n">
        <v>22872.77402</v>
      </c>
      <c r="N521" s="116" t="n"/>
      <c r="O521" s="121" t="n">
        <v>22872.77402</v>
      </c>
      <c r="P521" s="121" t="n">
        <v>0</v>
      </c>
      <c r="Q521" s="121" t="n">
        <v>506.88748</v>
      </c>
      <c r="R521" s="121" t="n">
        <v>506.88748</v>
      </c>
      <c r="S521" s="122" t="n">
        <v>0</v>
      </c>
      <c r="T521" s="110" t="n"/>
    </row>
    <row r="522" ht="13.5" customHeight="1" s="52">
      <c r="A522" s="104" t="n">
        <v>515</v>
      </c>
      <c r="B522" s="119" t="n"/>
      <c r="C522" s="119" t="n"/>
      <c r="D522" s="115" t="inlineStr">
        <is>
          <t>295</t>
        </is>
      </c>
      <c r="E522" s="116" t="n"/>
      <c r="F522" s="115" t="inlineStr">
        <is>
          <t>2952</t>
        </is>
      </c>
      <c r="G522" s="116" t="n"/>
      <c r="H522" s="115" t="inlineStr">
        <is>
          <t>Кошти в розрахунках небанківських фінансових установ</t>
        </is>
      </c>
      <c r="I522" s="115" t="inlineStr">
        <is>
          <t>П</t>
        </is>
      </c>
      <c r="J522" s="117" t="n">
        <v>0</v>
      </c>
      <c r="K522" s="117" t="n">
        <v>0</v>
      </c>
      <c r="L522" s="117" t="n">
        <v>0</v>
      </c>
      <c r="M522" s="117" t="n">
        <v>0</v>
      </c>
      <c r="N522" s="116" t="n"/>
      <c r="O522" s="117" t="n">
        <v>0</v>
      </c>
      <c r="P522" s="117" t="n">
        <v>0</v>
      </c>
      <c r="Q522" s="117" t="n">
        <v>0</v>
      </c>
      <c r="R522" s="117" t="n">
        <v>0</v>
      </c>
      <c r="S522" s="118" t="n">
        <v>0</v>
      </c>
      <c r="T522" s="110" t="n"/>
    </row>
    <row r="523" ht="14.25" customHeight="1" s="52">
      <c r="A523" s="104" t="n">
        <v>516</v>
      </c>
      <c r="B523" s="119" t="n"/>
      <c r="C523" s="119" t="n"/>
      <c r="D523" s="119" t="n"/>
      <c r="F523" s="120" t="inlineStr">
        <is>
          <t>Група 295 - Усього</t>
        </is>
      </c>
      <c r="G523" s="116" t="n"/>
      <c r="H523" s="116" t="n"/>
      <c r="I523" s="120" t="n"/>
      <c r="J523" s="121" t="n">
        <v>0</v>
      </c>
      <c r="K523" s="121" t="n">
        <v>0</v>
      </c>
      <c r="L523" s="121" t="n">
        <v>0</v>
      </c>
      <c r="M523" s="121" t="n">
        <v>0</v>
      </c>
      <c r="N523" s="116" t="n"/>
      <c r="O523" s="121" t="n">
        <v>0</v>
      </c>
      <c r="P523" s="121" t="n">
        <v>0</v>
      </c>
      <c r="Q523" s="121" t="n">
        <v>0</v>
      </c>
      <c r="R523" s="121" t="n">
        <v>0</v>
      </c>
      <c r="S523" s="122" t="n">
        <v>0</v>
      </c>
      <c r="T523" s="110" t="n"/>
    </row>
    <row r="524" ht="19.5" customHeight="1" s="52">
      <c r="A524" s="104" t="n">
        <v>517</v>
      </c>
      <c r="B524" s="119" t="n"/>
      <c r="C524" s="119" t="n"/>
      <c r="D524" s="120" t="inlineStr">
        <is>
          <t>Розділ 29 - Усього</t>
        </is>
      </c>
      <c r="E524" s="116" t="n"/>
      <c r="F524" s="120" t="n"/>
      <c r="G524" s="116" t="n"/>
      <c r="H524" s="116" t="n"/>
      <c r="I524" s="120" t="n"/>
      <c r="J524" s="121" t="n">
        <v>239834467.57372</v>
      </c>
      <c r="K524" s="121" t="n">
        <v>122711683.75756</v>
      </c>
      <c r="L524" s="121" t="n">
        <v>117122783.81616</v>
      </c>
      <c r="M524" s="121" t="n">
        <v>239373260.50752</v>
      </c>
      <c r="N524" s="116" t="n"/>
      <c r="O524" s="121" t="n">
        <v>122696407.29331</v>
      </c>
      <c r="P524" s="121" t="n">
        <v>116676853.21421</v>
      </c>
      <c r="Q524" s="121" t="n">
        <v>6339447.71267</v>
      </c>
      <c r="R524" s="121" t="n">
        <v>1178016.20923</v>
      </c>
      <c r="S524" s="122" t="n">
        <v>5161431.50344</v>
      </c>
      <c r="T524" s="110" t="n"/>
    </row>
    <row r="525" ht="25.5" customHeight="1" s="52">
      <c r="A525" s="104" t="n">
        <v>518</v>
      </c>
      <c r="B525" s="119" t="n"/>
      <c r="C525" s="120" t="inlineStr">
        <is>
          <t xml:space="preserve">  Клас 2 - Усього</t>
        </is>
      </c>
      <c r="D525" s="120" t="n"/>
      <c r="E525" s="116" t="n"/>
      <c r="F525" s="120" t="n"/>
      <c r="G525" s="116" t="n"/>
      <c r="H525" s="116" t="n"/>
      <c r="I525" s="120" t="n"/>
      <c r="J525" s="121" t="n">
        <v>367851868.73651</v>
      </c>
      <c r="K525" s="121" t="n">
        <v>176396337.71547</v>
      </c>
      <c r="L525" s="121" t="n">
        <v>191455531.02104</v>
      </c>
      <c r="M525" s="121" t="n">
        <v>353803590.37541</v>
      </c>
      <c r="N525" s="116" t="n"/>
      <c r="O525" s="121" t="n">
        <v>175486618.30654</v>
      </c>
      <c r="P525" s="121" t="n">
        <v>178316972.06887</v>
      </c>
      <c r="Q525" s="121" t="n">
        <v>256682681.07076</v>
      </c>
      <c r="R525" s="121" t="n">
        <v>122430515.67933</v>
      </c>
      <c r="S525" s="122" t="n">
        <v>134252165.39143</v>
      </c>
      <c r="T525" s="110" t="n"/>
    </row>
    <row r="526" ht="13.5" customHeight="1" s="52">
      <c r="A526" s="104" t="n">
        <v>519</v>
      </c>
      <c r="B526" s="115" t="inlineStr">
        <is>
          <t>Клас 3</t>
        </is>
      </c>
      <c r="C526" s="115" t="inlineStr">
        <is>
          <t>33</t>
        </is>
      </c>
      <c r="D526" s="115" t="inlineStr">
        <is>
          <t>330</t>
        </is>
      </c>
      <c r="E526" s="116" t="n"/>
      <c r="F526" s="115" t="inlineStr">
        <is>
          <t>3300</t>
        </is>
      </c>
      <c r="G526" s="116" t="n"/>
      <c r="H526" s="115" t="inlineStr">
        <is>
          <t>Прості векселі, випущені банком, які обліковуються за амортизованою собівартістю</t>
        </is>
      </c>
      <c r="I526" s="115" t="inlineStr">
        <is>
          <t>П</t>
        </is>
      </c>
      <c r="J526" s="117" t="n">
        <v>0</v>
      </c>
      <c r="K526" s="117" t="n">
        <v>0</v>
      </c>
      <c r="L526" s="117" t="n">
        <v>0</v>
      </c>
      <c r="M526" s="117" t="n">
        <v>0</v>
      </c>
      <c r="N526" s="116" t="n"/>
      <c r="O526" s="117" t="n">
        <v>0</v>
      </c>
      <c r="P526" s="117" t="n">
        <v>0</v>
      </c>
      <c r="Q526" s="117" t="n">
        <v>0</v>
      </c>
      <c r="R526" s="117" t="n">
        <v>0</v>
      </c>
      <c r="S526" s="118" t="n">
        <v>0</v>
      </c>
      <c r="T526" s="110" t="n"/>
    </row>
    <row r="527" ht="13.5" customHeight="1" s="52">
      <c r="A527" s="104" t="n">
        <v>520</v>
      </c>
      <c r="B527" s="119" t="n"/>
      <c r="C527" s="119" t="n"/>
      <c r="D527" s="119" t="n"/>
      <c r="F527" s="115" t="inlineStr">
        <is>
          <t>3306</t>
        </is>
      </c>
      <c r="G527" s="116" t="n"/>
      <c r="H527" s="115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7" s="115" t="inlineStr">
        <is>
          <t>А</t>
        </is>
      </c>
      <c r="J527" s="117" t="n">
        <v>0</v>
      </c>
      <c r="K527" s="117" t="n">
        <v>0</v>
      </c>
      <c r="L527" s="117" t="n">
        <v>0</v>
      </c>
      <c r="M527" s="117" t="n">
        <v>0</v>
      </c>
      <c r="N527" s="116" t="n"/>
      <c r="O527" s="117" t="n">
        <v>0</v>
      </c>
      <c r="P527" s="117" t="n">
        <v>0</v>
      </c>
      <c r="Q527" s="117" t="n">
        <v>0</v>
      </c>
      <c r="R527" s="117" t="n">
        <v>0</v>
      </c>
      <c r="S527" s="118" t="n">
        <v>0</v>
      </c>
      <c r="T527" s="110" t="n"/>
    </row>
    <row r="528" ht="14.25" customHeight="1" s="52">
      <c r="A528" s="104" t="n">
        <v>521</v>
      </c>
      <c r="B528" s="119" t="n"/>
      <c r="C528" s="119" t="n"/>
      <c r="D528" s="119" t="n"/>
      <c r="F528" s="119" t="n"/>
      <c r="H528" s="119" t="n"/>
      <c r="I528" s="115" t="inlineStr">
        <is>
          <t>П</t>
        </is>
      </c>
      <c r="J528" s="117" t="n">
        <v>0</v>
      </c>
      <c r="K528" s="117" t="n">
        <v>0</v>
      </c>
      <c r="L528" s="117" t="n">
        <v>0</v>
      </c>
      <c r="M528" s="117" t="n">
        <v>0</v>
      </c>
      <c r="N528" s="116" t="n"/>
      <c r="O528" s="117" t="n">
        <v>0</v>
      </c>
      <c r="P528" s="117" t="n">
        <v>0</v>
      </c>
      <c r="Q528" s="117" t="n">
        <v>0</v>
      </c>
      <c r="R528" s="117" t="n">
        <v>0</v>
      </c>
      <c r="S528" s="118" t="n">
        <v>0</v>
      </c>
      <c r="T528" s="110" t="n"/>
    </row>
    <row r="529" ht="13.5" customHeight="1" s="52">
      <c r="A529" s="104" t="n">
        <v>522</v>
      </c>
      <c r="B529" s="119" t="n"/>
      <c r="C529" s="119" t="n"/>
      <c r="D529" s="119" t="n"/>
      <c r="F529" s="115" t="inlineStr">
        <is>
          <t>3308</t>
        </is>
      </c>
      <c r="G529" s="116" t="n"/>
      <c r="H529" s="115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9" s="115" t="inlineStr">
        <is>
          <t>П</t>
        </is>
      </c>
      <c r="J529" s="117" t="n">
        <v>0</v>
      </c>
      <c r="K529" s="117" t="n">
        <v>0</v>
      </c>
      <c r="L529" s="117" t="n">
        <v>0</v>
      </c>
      <c r="M529" s="117" t="n">
        <v>0</v>
      </c>
      <c r="N529" s="116" t="n"/>
      <c r="O529" s="117" t="n">
        <v>0</v>
      </c>
      <c r="P529" s="117" t="n">
        <v>0</v>
      </c>
      <c r="Q529" s="117" t="n">
        <v>0</v>
      </c>
      <c r="R529" s="117" t="n">
        <v>0</v>
      </c>
      <c r="S529" s="118" t="n">
        <v>0</v>
      </c>
      <c r="T529" s="110" t="n"/>
    </row>
    <row r="530" ht="13.5" customHeight="1" s="52">
      <c r="A530" s="104" t="n">
        <v>523</v>
      </c>
      <c r="B530" s="119" t="n"/>
      <c r="C530" s="119" t="n"/>
      <c r="D530" s="119" t="n"/>
      <c r="F530" s="115" t="inlineStr">
        <is>
          <t>3303</t>
        </is>
      </c>
      <c r="G530" s="116" t="n"/>
      <c r="H530" s="115" t="inlineStr">
        <is>
          <t>Облігації, випущені банком, які обліковуються за амортизованою собівартістю</t>
        </is>
      </c>
      <c r="I530" s="115" t="inlineStr">
        <is>
          <t>П</t>
        </is>
      </c>
      <c r="J530" s="117" t="n">
        <v>0</v>
      </c>
      <c r="K530" s="117" t="n">
        <v>0</v>
      </c>
      <c r="L530" s="117" t="n">
        <v>0</v>
      </c>
      <c r="M530" s="117" t="n">
        <v>0</v>
      </c>
      <c r="N530" s="116" t="n"/>
      <c r="O530" s="117" t="n">
        <v>0</v>
      </c>
      <c r="P530" s="117" t="n">
        <v>0</v>
      </c>
      <c r="Q530" s="117" t="n">
        <v>0</v>
      </c>
      <c r="R530" s="117" t="n">
        <v>0</v>
      </c>
      <c r="S530" s="118" t="n">
        <v>0</v>
      </c>
      <c r="T530" s="110" t="n"/>
    </row>
    <row r="531" ht="13.5" customHeight="1" s="52">
      <c r="A531" s="104" t="n">
        <v>524</v>
      </c>
      <c r="B531" s="119" t="n"/>
      <c r="C531" s="119" t="n"/>
      <c r="D531" s="119" t="n"/>
      <c r="F531" s="120" t="inlineStr">
        <is>
          <t>Група 330 - Усього</t>
        </is>
      </c>
      <c r="G531" s="116" t="n"/>
      <c r="H531" s="116" t="n"/>
      <c r="I531" s="120" t="n"/>
      <c r="J531" s="121" t="n">
        <v>0</v>
      </c>
      <c r="K531" s="121" t="n">
        <v>0</v>
      </c>
      <c r="L531" s="121" t="n">
        <v>0</v>
      </c>
      <c r="M531" s="121" t="n">
        <v>0</v>
      </c>
      <c r="N531" s="116" t="n"/>
      <c r="O531" s="121" t="n">
        <v>0</v>
      </c>
      <c r="P531" s="121" t="n">
        <v>0</v>
      </c>
      <c r="Q531" s="121" t="n">
        <v>0</v>
      </c>
      <c r="R531" s="121" t="n">
        <v>0</v>
      </c>
      <c r="S531" s="122" t="n">
        <v>0</v>
      </c>
      <c r="T531" s="110" t="n"/>
    </row>
    <row r="532" ht="13.5" customHeight="1" s="52">
      <c r="A532" s="104" t="n">
        <v>525</v>
      </c>
      <c r="B532" s="119" t="n"/>
      <c r="C532" s="119" t="n"/>
      <c r="D532" s="115" t="inlineStr">
        <is>
          <t>332</t>
        </is>
      </c>
      <c r="E532" s="116" t="n"/>
      <c r="F532" s="115" t="inlineStr">
        <is>
          <t>3320</t>
        </is>
      </c>
      <c r="G532" s="116" t="n"/>
      <c r="H532" s="115" t="inlineStr">
        <is>
          <t>Ощадні сертифікати, випущені банком, які обліковуються за амортизованою собівартістю</t>
        </is>
      </c>
      <c r="I532" s="115" t="inlineStr">
        <is>
          <t>П</t>
        </is>
      </c>
      <c r="J532" s="117" t="n">
        <v>0</v>
      </c>
      <c r="K532" s="117" t="n">
        <v>0</v>
      </c>
      <c r="L532" s="117" t="n">
        <v>0</v>
      </c>
      <c r="M532" s="117" t="n">
        <v>0</v>
      </c>
      <c r="N532" s="116" t="n"/>
      <c r="O532" s="117" t="n">
        <v>0</v>
      </c>
      <c r="P532" s="117" t="n">
        <v>0</v>
      </c>
      <c r="Q532" s="117" t="n">
        <v>0</v>
      </c>
      <c r="R532" s="117" t="n">
        <v>0</v>
      </c>
      <c r="S532" s="118" t="n">
        <v>0</v>
      </c>
      <c r="T532" s="110" t="n"/>
    </row>
    <row r="533" ht="14.25" customHeight="1" s="52">
      <c r="A533" s="104" t="n">
        <v>526</v>
      </c>
      <c r="B533" s="119" t="n"/>
      <c r="C533" s="119" t="n"/>
      <c r="D533" s="119" t="n"/>
      <c r="F533" s="115" t="inlineStr">
        <is>
          <t>3326</t>
        </is>
      </c>
      <c r="G533" s="116" t="n"/>
      <c r="H533" s="115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33" s="115" t="inlineStr">
        <is>
          <t>А</t>
        </is>
      </c>
      <c r="J533" s="117" t="n">
        <v>0</v>
      </c>
      <c r="K533" s="117" t="n">
        <v>0</v>
      </c>
      <c r="L533" s="117" t="n">
        <v>0</v>
      </c>
      <c r="M533" s="117" t="n">
        <v>0</v>
      </c>
      <c r="N533" s="116" t="n"/>
      <c r="O533" s="117" t="n">
        <v>0</v>
      </c>
      <c r="P533" s="117" t="n">
        <v>0</v>
      </c>
      <c r="Q533" s="117" t="n">
        <v>0</v>
      </c>
      <c r="R533" s="117" t="n">
        <v>0</v>
      </c>
      <c r="S533" s="118" t="n">
        <v>0</v>
      </c>
      <c r="T533" s="110" t="n"/>
    </row>
    <row r="534" ht="13.5" customHeight="1" s="52">
      <c r="A534" s="104" t="n">
        <v>527</v>
      </c>
      <c r="B534" s="119" t="n"/>
      <c r="C534" s="119" t="n"/>
      <c r="D534" s="119" t="n"/>
      <c r="F534" s="119" t="n"/>
      <c r="H534" s="119" t="n"/>
      <c r="I534" s="115" t="inlineStr">
        <is>
          <t>П</t>
        </is>
      </c>
      <c r="J534" s="117" t="n">
        <v>0</v>
      </c>
      <c r="K534" s="117" t="n">
        <v>0</v>
      </c>
      <c r="L534" s="117" t="n">
        <v>0</v>
      </c>
      <c r="M534" s="117" t="n">
        <v>0</v>
      </c>
      <c r="N534" s="116" t="n"/>
      <c r="O534" s="117" t="n">
        <v>0</v>
      </c>
      <c r="P534" s="117" t="n">
        <v>0</v>
      </c>
      <c r="Q534" s="117" t="n">
        <v>0</v>
      </c>
      <c r="R534" s="117" t="n">
        <v>0</v>
      </c>
      <c r="S534" s="118" t="n">
        <v>0</v>
      </c>
      <c r="T534" s="110" t="n"/>
    </row>
    <row r="535" ht="13.5" customHeight="1" s="52">
      <c r="A535" s="104" t="n">
        <v>528</v>
      </c>
      <c r="B535" s="119" t="n"/>
      <c r="C535" s="119" t="n"/>
      <c r="D535" s="119" t="n"/>
      <c r="F535" s="115" t="inlineStr">
        <is>
          <t>3328</t>
        </is>
      </c>
      <c r="G535" s="116" t="n"/>
      <c r="H535" s="115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35" s="115" t="inlineStr">
        <is>
          <t>П</t>
        </is>
      </c>
      <c r="J535" s="117" t="n">
        <v>0</v>
      </c>
      <c r="K535" s="117" t="n">
        <v>0</v>
      </c>
      <c r="L535" s="117" t="n">
        <v>0</v>
      </c>
      <c r="M535" s="117" t="n">
        <v>0</v>
      </c>
      <c r="N535" s="116" t="n"/>
      <c r="O535" s="117" t="n">
        <v>0</v>
      </c>
      <c r="P535" s="117" t="n">
        <v>0</v>
      </c>
      <c r="Q535" s="117" t="n">
        <v>0</v>
      </c>
      <c r="R535" s="117" t="n">
        <v>0</v>
      </c>
      <c r="S535" s="118" t="n">
        <v>0</v>
      </c>
      <c r="T535" s="110" t="n"/>
    </row>
    <row r="536" ht="13.5" customHeight="1" s="52">
      <c r="A536" s="104" t="n">
        <v>529</v>
      </c>
      <c r="B536" s="119" t="n"/>
      <c r="C536" s="119" t="n"/>
      <c r="D536" s="119" t="n"/>
      <c r="F536" s="120" t="inlineStr">
        <is>
          <t>Група 332 - Усього</t>
        </is>
      </c>
      <c r="G536" s="116" t="n"/>
      <c r="H536" s="116" t="n"/>
      <c r="I536" s="120" t="n"/>
      <c r="J536" s="121" t="n">
        <v>0</v>
      </c>
      <c r="K536" s="121" t="n">
        <v>0</v>
      </c>
      <c r="L536" s="121" t="n">
        <v>0</v>
      </c>
      <c r="M536" s="121" t="n">
        <v>0</v>
      </c>
      <c r="N536" s="116" t="n"/>
      <c r="O536" s="121" t="n">
        <v>0</v>
      </c>
      <c r="P536" s="121" t="n">
        <v>0</v>
      </c>
      <c r="Q536" s="121" t="n">
        <v>0</v>
      </c>
      <c r="R536" s="121" t="n">
        <v>0</v>
      </c>
      <c r="S536" s="122" t="n">
        <v>0</v>
      </c>
      <c r="T536" s="110" t="n"/>
    </row>
    <row r="537" ht="13.5" customHeight="1" s="52">
      <c r="A537" s="104" t="n">
        <v>530</v>
      </c>
      <c r="B537" s="119" t="n"/>
      <c r="C537" s="119" t="n"/>
      <c r="D537" s="115" t="inlineStr">
        <is>
          <t>335</t>
        </is>
      </c>
      <c r="E537" s="116" t="n"/>
      <c r="F537" s="115" t="inlineStr">
        <is>
          <t>3351</t>
        </is>
      </c>
      <c r="G537" s="116" t="n"/>
      <c r="H537" s="115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7" s="115" t="inlineStr">
        <is>
          <t>П</t>
        </is>
      </c>
      <c r="J537" s="117" t="n">
        <v>0</v>
      </c>
      <c r="K537" s="117" t="n">
        <v>0</v>
      </c>
      <c r="L537" s="117" t="n">
        <v>0</v>
      </c>
      <c r="M537" s="117" t="n">
        <v>0</v>
      </c>
      <c r="N537" s="116" t="n"/>
      <c r="O537" s="117" t="n">
        <v>0</v>
      </c>
      <c r="P537" s="117" t="n">
        <v>0</v>
      </c>
      <c r="Q537" s="117" t="n">
        <v>0</v>
      </c>
      <c r="R537" s="117" t="n">
        <v>0</v>
      </c>
      <c r="S537" s="118" t="n">
        <v>0</v>
      </c>
      <c r="T537" s="110" t="n"/>
    </row>
    <row r="538" ht="14.25" customHeight="1" s="52">
      <c r="A538" s="104" t="n">
        <v>531</v>
      </c>
      <c r="B538" s="119" t="n"/>
      <c r="C538" s="119" t="n"/>
      <c r="D538" s="119" t="n"/>
      <c r="F538" s="115" t="inlineStr">
        <is>
          <t>3353</t>
        </is>
      </c>
      <c r="G538" s="116" t="n"/>
      <c r="H538" s="115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8" s="115" t="inlineStr">
        <is>
          <t>П</t>
        </is>
      </c>
      <c r="J538" s="117" t="n">
        <v>35829.80443</v>
      </c>
      <c r="K538" s="117" t="n">
        <v>35829.80443</v>
      </c>
      <c r="L538" s="117" t="n">
        <v>0</v>
      </c>
      <c r="M538" s="117" t="n">
        <v>34007.26743</v>
      </c>
      <c r="N538" s="116" t="n"/>
      <c r="O538" s="117" t="n">
        <v>34007.26743</v>
      </c>
      <c r="P538" s="117" t="n">
        <v>0</v>
      </c>
      <c r="Q538" s="117" t="n">
        <v>312.53208</v>
      </c>
      <c r="R538" s="117" t="n">
        <v>312.53208</v>
      </c>
      <c r="S538" s="118" t="n">
        <v>0</v>
      </c>
      <c r="T538" s="110" t="n"/>
    </row>
    <row r="539" ht="13.5" customHeight="1" s="52">
      <c r="A539" s="104" t="n">
        <v>532</v>
      </c>
      <c r="B539" s="119" t="n"/>
      <c r="C539" s="119" t="n"/>
      <c r="D539" s="119" t="n"/>
      <c r="F539" s="120" t="inlineStr">
        <is>
          <t>Група 335 - Усього</t>
        </is>
      </c>
      <c r="G539" s="116" t="n"/>
      <c r="H539" s="116" t="n"/>
      <c r="I539" s="120" t="n"/>
      <c r="J539" s="121" t="n">
        <v>35829.80443</v>
      </c>
      <c r="K539" s="121" t="n">
        <v>35829.80443</v>
      </c>
      <c r="L539" s="121" t="n">
        <v>0</v>
      </c>
      <c r="M539" s="121" t="n">
        <v>34007.26743</v>
      </c>
      <c r="N539" s="116" t="n"/>
      <c r="O539" s="121" t="n">
        <v>34007.26743</v>
      </c>
      <c r="P539" s="121" t="n">
        <v>0</v>
      </c>
      <c r="Q539" s="121" t="n">
        <v>312.53208</v>
      </c>
      <c r="R539" s="121" t="n">
        <v>312.53208</v>
      </c>
      <c r="S539" s="122" t="n">
        <v>0</v>
      </c>
      <c r="T539" s="110" t="n"/>
    </row>
    <row r="540" ht="20.25" customHeight="1" s="52">
      <c r="A540" s="104" t="n">
        <v>533</v>
      </c>
      <c r="B540" s="119" t="n"/>
      <c r="C540" s="119" t="n"/>
      <c r="D540" s="120" t="inlineStr">
        <is>
          <t>Розділ 33 - Усього</t>
        </is>
      </c>
      <c r="E540" s="116" t="n"/>
      <c r="F540" s="120" t="n"/>
      <c r="G540" s="116" t="n"/>
      <c r="H540" s="116" t="n"/>
      <c r="I540" s="120" t="n"/>
      <c r="J540" s="121" t="n">
        <v>35829.80443</v>
      </c>
      <c r="K540" s="121" t="n">
        <v>35829.80443</v>
      </c>
      <c r="L540" s="121" t="n">
        <v>0</v>
      </c>
      <c r="M540" s="121" t="n">
        <v>34007.26743</v>
      </c>
      <c r="N540" s="116" t="n"/>
      <c r="O540" s="121" t="n">
        <v>34007.26743</v>
      </c>
      <c r="P540" s="121" t="n">
        <v>0</v>
      </c>
      <c r="Q540" s="121" t="n">
        <v>312.53208</v>
      </c>
      <c r="R540" s="121" t="n">
        <v>312.53208</v>
      </c>
      <c r="S540" s="122" t="n">
        <v>0</v>
      </c>
      <c r="T540" s="110" t="n"/>
    </row>
    <row r="541" ht="13.5" customHeight="1" s="52">
      <c r="A541" s="104" t="n">
        <v>534</v>
      </c>
      <c r="B541" s="119" t="n"/>
      <c r="C541" s="115" t="inlineStr">
        <is>
          <t>36</t>
        </is>
      </c>
      <c r="D541" s="115" t="inlineStr">
        <is>
          <t>360</t>
        </is>
      </c>
      <c r="E541" s="116" t="n"/>
      <c r="F541" s="115" t="inlineStr">
        <is>
          <t>3600</t>
        </is>
      </c>
      <c r="G541" s="116" t="n"/>
      <c r="H541" s="115" t="inlineStr">
        <is>
          <t>Доходи майбутніх періодів</t>
        </is>
      </c>
      <c r="I541" s="115" t="inlineStr">
        <is>
          <t>П</t>
        </is>
      </c>
      <c r="J541" s="117" t="n">
        <v>33788.47985</v>
      </c>
      <c r="K541" s="117" t="n">
        <v>33258.31993</v>
      </c>
      <c r="L541" s="117" t="n">
        <v>530.1599200000001</v>
      </c>
      <c r="M541" s="117" t="n">
        <v>30834.36094</v>
      </c>
      <c r="N541" s="116" t="n"/>
      <c r="O541" s="117" t="n">
        <v>30819.35272</v>
      </c>
      <c r="P541" s="117" t="n">
        <v>15.00822</v>
      </c>
      <c r="Q541" s="117" t="n">
        <v>21224.17182</v>
      </c>
      <c r="R541" s="117" t="n">
        <v>20790.68426</v>
      </c>
      <c r="S541" s="118" t="n">
        <v>433.48756</v>
      </c>
      <c r="T541" s="110" t="n"/>
    </row>
    <row r="542" ht="13.5" customHeight="1" s="52">
      <c r="A542" s="104" t="n">
        <v>535</v>
      </c>
      <c r="B542" s="119" t="n"/>
      <c r="C542" s="119" t="n"/>
      <c r="D542" s="119" t="n"/>
      <c r="F542" s="120" t="inlineStr">
        <is>
          <t>Група 360 - Усього</t>
        </is>
      </c>
      <c r="G542" s="116" t="n"/>
      <c r="H542" s="116" t="n"/>
      <c r="I542" s="120" t="n"/>
      <c r="J542" s="121" t="n">
        <v>33788.47985</v>
      </c>
      <c r="K542" s="121" t="n">
        <v>33258.31993</v>
      </c>
      <c r="L542" s="121" t="n">
        <v>530.1599200000001</v>
      </c>
      <c r="M542" s="121" t="n">
        <v>30834.36094</v>
      </c>
      <c r="N542" s="116" t="n"/>
      <c r="O542" s="121" t="n">
        <v>30819.35272</v>
      </c>
      <c r="P542" s="121" t="n">
        <v>15.00822</v>
      </c>
      <c r="Q542" s="121" t="n">
        <v>21224.17182</v>
      </c>
      <c r="R542" s="121" t="n">
        <v>20790.68426</v>
      </c>
      <c r="S542" s="122" t="n">
        <v>433.48756</v>
      </c>
      <c r="T542" s="110" t="n"/>
    </row>
    <row r="543" ht="14.25" customHeight="1" s="52">
      <c r="A543" s="104" t="n">
        <v>536</v>
      </c>
      <c r="B543" s="119" t="n"/>
      <c r="C543" s="119" t="n"/>
      <c r="D543" s="115" t="inlineStr">
        <is>
          <t>361</t>
        </is>
      </c>
      <c r="E543" s="116" t="n"/>
      <c r="F543" s="115" t="inlineStr">
        <is>
          <t>3610</t>
        </is>
      </c>
      <c r="G543" s="116" t="n"/>
      <c r="H543" s="115" t="inlineStr">
        <is>
          <t>Кредиторська заборгованість з придбання активів</t>
        </is>
      </c>
      <c r="I543" s="115" t="inlineStr">
        <is>
          <t>П</t>
        </is>
      </c>
      <c r="J543" s="117" t="n">
        <v>10684.59037</v>
      </c>
      <c r="K543" s="117" t="n">
        <v>10684.59037</v>
      </c>
      <c r="L543" s="117" t="n">
        <v>0</v>
      </c>
      <c r="M543" s="117" t="n">
        <v>15919.49637</v>
      </c>
      <c r="N543" s="116" t="n"/>
      <c r="O543" s="117" t="n">
        <v>15919.49637</v>
      </c>
      <c r="P543" s="117" t="n">
        <v>0</v>
      </c>
      <c r="Q543" s="117" t="n">
        <v>5257.03</v>
      </c>
      <c r="R543" s="117" t="n">
        <v>5257.03</v>
      </c>
      <c r="S543" s="118" t="n">
        <v>0</v>
      </c>
      <c r="T543" s="110" t="n"/>
    </row>
    <row r="544" ht="13.5" customHeight="1" s="52">
      <c r="A544" s="104" t="n">
        <v>537</v>
      </c>
      <c r="B544" s="119" t="n"/>
      <c r="C544" s="119" t="n"/>
      <c r="D544" s="119" t="n"/>
      <c r="F544" s="115" t="inlineStr">
        <is>
          <t>3611</t>
        </is>
      </c>
      <c r="G544" s="116" t="n"/>
      <c r="H544" s="115" t="inlineStr">
        <is>
          <t>Договірне зобов'язання</t>
        </is>
      </c>
      <c r="I544" s="115" t="inlineStr">
        <is>
          <t>П</t>
        </is>
      </c>
      <c r="J544" s="117" t="n">
        <v>0</v>
      </c>
      <c r="K544" s="117" t="n">
        <v>0</v>
      </c>
      <c r="L544" s="117" t="n">
        <v>0</v>
      </c>
      <c r="M544" s="117" t="n">
        <v>0</v>
      </c>
      <c r="N544" s="116" t="n"/>
      <c r="O544" s="117" t="n">
        <v>0</v>
      </c>
      <c r="P544" s="117" t="n">
        <v>0</v>
      </c>
      <c r="Q544" s="117" t="n">
        <v>0</v>
      </c>
      <c r="R544" s="117" t="n">
        <v>0</v>
      </c>
      <c r="S544" s="118" t="n">
        <v>0</v>
      </c>
      <c r="T544" s="110" t="n"/>
    </row>
    <row r="545" ht="13.5" customHeight="1" s="52">
      <c r="A545" s="104" t="n">
        <v>538</v>
      </c>
      <c r="B545" s="119" t="n"/>
      <c r="C545" s="119" t="n"/>
      <c r="D545" s="119" t="n"/>
      <c r="F545" s="115" t="inlineStr">
        <is>
          <t>3615</t>
        </is>
      </c>
      <c r="G545" s="116" t="n"/>
      <c r="H545" s="115" t="inlineStr">
        <is>
          <t>Зобов'язання орендаря з лізингу (оренди)</t>
        </is>
      </c>
      <c r="I545" s="115" t="inlineStr">
        <is>
          <t>П</t>
        </is>
      </c>
      <c r="J545" s="117" t="n">
        <v>415.99366</v>
      </c>
      <c r="K545" s="117" t="n">
        <v>415.99366</v>
      </c>
      <c r="L545" s="117" t="n">
        <v>0</v>
      </c>
      <c r="M545" s="117" t="n">
        <v>0</v>
      </c>
      <c r="N545" s="116" t="n"/>
      <c r="O545" s="117" t="n">
        <v>0</v>
      </c>
      <c r="P545" s="117" t="n">
        <v>0</v>
      </c>
      <c r="Q545" s="117" t="n">
        <v>46005.01977</v>
      </c>
      <c r="R545" s="117" t="n">
        <v>46005.01977</v>
      </c>
      <c r="S545" s="118" t="n">
        <v>0</v>
      </c>
      <c r="T545" s="110" t="n"/>
    </row>
    <row r="546" ht="13.5" customHeight="1" s="52">
      <c r="A546" s="104" t="n">
        <v>539</v>
      </c>
      <c r="B546" s="119" t="n"/>
      <c r="C546" s="119" t="n"/>
      <c r="D546" s="119" t="n"/>
      <c r="F546" s="115" t="inlineStr">
        <is>
          <t>3619</t>
        </is>
      </c>
      <c r="G546" s="116" t="n"/>
      <c r="H546" s="115" t="inlineStr">
        <is>
          <t>Кредиторська заборгованість за послуги</t>
        </is>
      </c>
      <c r="I546" s="115" t="inlineStr">
        <is>
          <t>П</t>
        </is>
      </c>
      <c r="J546" s="117" t="n">
        <v>6713.40191</v>
      </c>
      <c r="K546" s="117" t="n">
        <v>6466.33847</v>
      </c>
      <c r="L546" s="117" t="n">
        <v>247.06344</v>
      </c>
      <c r="M546" s="117" t="n">
        <v>7503.75696</v>
      </c>
      <c r="N546" s="116" t="n"/>
      <c r="O546" s="117" t="n">
        <v>6087.90711</v>
      </c>
      <c r="P546" s="117" t="n">
        <v>1415.84985</v>
      </c>
      <c r="Q546" s="117" t="n">
        <v>8835.38733</v>
      </c>
      <c r="R546" s="117" t="n">
        <v>2211.06879</v>
      </c>
      <c r="S546" s="118" t="n">
        <v>6624.31854</v>
      </c>
      <c r="T546" s="110" t="n"/>
    </row>
    <row r="547" ht="13.5" customHeight="1" s="52">
      <c r="A547" s="104" t="n">
        <v>540</v>
      </c>
      <c r="B547" s="119" t="n"/>
      <c r="C547" s="119" t="n"/>
      <c r="D547" s="119" t="n"/>
      <c r="F547" s="115" t="inlineStr">
        <is>
          <t>3618</t>
        </is>
      </c>
      <c r="G547" s="116" t="n"/>
      <c r="H547" s="115" t="inlineStr">
        <is>
          <t>Нараховані витрати за зобов'язанням орендаря з лізингу (оренди)</t>
        </is>
      </c>
      <c r="I547" s="115" t="inlineStr">
        <is>
          <t>П</t>
        </is>
      </c>
      <c r="J547" s="117" t="n">
        <v>468.59136</v>
      </c>
      <c r="K547" s="117" t="n">
        <v>468.59136</v>
      </c>
      <c r="L547" s="117" t="n">
        <v>0</v>
      </c>
      <c r="M547" s="117" t="n">
        <v>468.59136</v>
      </c>
      <c r="N547" s="116" t="n"/>
      <c r="O547" s="117" t="n">
        <v>468.59136</v>
      </c>
      <c r="P547" s="117" t="n">
        <v>0</v>
      </c>
      <c r="Q547" s="117" t="n">
        <v>3.69357</v>
      </c>
      <c r="R547" s="117" t="n">
        <v>3.69357</v>
      </c>
      <c r="S547" s="118" t="n">
        <v>0</v>
      </c>
      <c r="T547" s="110" t="n"/>
    </row>
    <row r="548" ht="14.25" customHeight="1" s="52">
      <c r="A548" s="104" t="n">
        <v>541</v>
      </c>
      <c r="B548" s="119" t="n"/>
      <c r="C548" s="119" t="n"/>
      <c r="D548" s="119" t="n"/>
      <c r="F548" s="120" t="inlineStr">
        <is>
          <t>Група 361 - Усього</t>
        </is>
      </c>
      <c r="G548" s="116" t="n"/>
      <c r="H548" s="116" t="n"/>
      <c r="I548" s="120" t="n"/>
      <c r="J548" s="121" t="n">
        <v>18282.5773</v>
      </c>
      <c r="K548" s="121" t="n">
        <v>18035.51386</v>
      </c>
      <c r="L548" s="121" t="n">
        <v>247.06344</v>
      </c>
      <c r="M548" s="121" t="n">
        <v>23891.84469</v>
      </c>
      <c r="N548" s="116" t="n"/>
      <c r="O548" s="121" t="n">
        <v>22475.99484</v>
      </c>
      <c r="P548" s="121" t="n">
        <v>1415.84985</v>
      </c>
      <c r="Q548" s="121" t="n">
        <v>60101.13067</v>
      </c>
      <c r="R548" s="121" t="n">
        <v>53476.81213</v>
      </c>
      <c r="S548" s="122" t="n">
        <v>6624.31854</v>
      </c>
      <c r="T548" s="110" t="n"/>
    </row>
    <row r="549" ht="13.5" customHeight="1" s="52">
      <c r="A549" s="104" t="n">
        <v>542</v>
      </c>
      <c r="B549" s="119" t="n"/>
      <c r="C549" s="119" t="n"/>
      <c r="D549" s="115" t="inlineStr">
        <is>
          <t>362</t>
        </is>
      </c>
      <c r="E549" s="116" t="n"/>
      <c r="F549" s="115" t="inlineStr">
        <is>
          <t>3620</t>
        </is>
      </c>
      <c r="G549" s="116" t="n"/>
      <c r="H549" s="115" t="inlineStr">
        <is>
          <t>Кредиторська заборгованість за податком на прибуток</t>
        </is>
      </c>
      <c r="I549" s="115" t="inlineStr">
        <is>
          <t>П</t>
        </is>
      </c>
      <c r="J549" s="117" t="n">
        <v>0</v>
      </c>
      <c r="K549" s="117" t="n">
        <v>0</v>
      </c>
      <c r="L549" s="117" t="n">
        <v>0</v>
      </c>
      <c r="M549" s="117" t="n">
        <v>0</v>
      </c>
      <c r="N549" s="116" t="n"/>
      <c r="O549" s="117" t="n">
        <v>0</v>
      </c>
      <c r="P549" s="117" t="n">
        <v>0</v>
      </c>
      <c r="Q549" s="117" t="n">
        <v>0</v>
      </c>
      <c r="R549" s="117" t="n">
        <v>0</v>
      </c>
      <c r="S549" s="118" t="n">
        <v>0</v>
      </c>
      <c r="T549" s="110" t="n"/>
    </row>
    <row r="550" ht="13.5" customHeight="1" s="52">
      <c r="A550" s="104" t="n">
        <v>543</v>
      </c>
      <c r="B550" s="119" t="n"/>
      <c r="C550" s="119" t="n"/>
      <c r="D550" s="119" t="n"/>
      <c r="F550" s="115" t="inlineStr">
        <is>
          <t>3621</t>
        </is>
      </c>
      <c r="G550" s="116" t="n"/>
      <c r="H550" s="115" t="inlineStr">
        <is>
          <t>Відстрочені податкові зобов'язання</t>
        </is>
      </c>
      <c r="I550" s="115" t="inlineStr">
        <is>
          <t>П</t>
        </is>
      </c>
      <c r="J550" s="117" t="n">
        <v>0</v>
      </c>
      <c r="K550" s="117" t="n">
        <v>0</v>
      </c>
      <c r="L550" s="117" t="n">
        <v>0</v>
      </c>
      <c r="M550" s="117" t="n">
        <v>0</v>
      </c>
      <c r="N550" s="116" t="n"/>
      <c r="O550" s="117" t="n">
        <v>0</v>
      </c>
      <c r="P550" s="117" t="n">
        <v>0</v>
      </c>
      <c r="Q550" s="117" t="n">
        <v>0</v>
      </c>
      <c r="R550" s="117" t="n">
        <v>0</v>
      </c>
      <c r="S550" s="118" t="n">
        <v>0</v>
      </c>
      <c r="T550" s="110" t="n"/>
    </row>
    <row r="551" ht="13.5" customHeight="1" s="52">
      <c r="A551" s="104" t="n">
        <v>544</v>
      </c>
      <c r="B551" s="119" t="n"/>
      <c r="C551" s="119" t="n"/>
      <c r="D551" s="119" t="n"/>
      <c r="F551" s="115" t="inlineStr">
        <is>
          <t>3622</t>
        </is>
      </c>
      <c r="G551" s="116" t="n"/>
      <c r="H551" s="115" t="inlineStr">
        <is>
          <t>Кредиторська заборгованість за податками та обов'язковими платежами, крім податку на прибуток</t>
        </is>
      </c>
      <c r="I551" s="115" t="inlineStr">
        <is>
          <t>П</t>
        </is>
      </c>
      <c r="J551" s="117" t="n">
        <v>78684.11146</v>
      </c>
      <c r="K551" s="117" t="n">
        <v>78684.11146</v>
      </c>
      <c r="L551" s="117" t="n">
        <v>0</v>
      </c>
      <c r="M551" s="117" t="n">
        <v>69612.36607</v>
      </c>
      <c r="N551" s="116" t="n"/>
      <c r="O551" s="117" t="n">
        <v>69612.36607</v>
      </c>
      <c r="P551" s="117" t="n">
        <v>0</v>
      </c>
      <c r="Q551" s="117" t="n">
        <v>27030.58913</v>
      </c>
      <c r="R551" s="117" t="n">
        <v>27030.58913</v>
      </c>
      <c r="S551" s="118" t="n">
        <v>0</v>
      </c>
      <c r="T551" s="110" t="n"/>
    </row>
    <row r="552" ht="13.5" customHeight="1" s="52">
      <c r="A552" s="104" t="n">
        <v>545</v>
      </c>
      <c r="B552" s="119" t="n"/>
      <c r="C552" s="119" t="n"/>
      <c r="D552" s="119" t="n"/>
      <c r="F552" s="115" t="inlineStr">
        <is>
          <t>3623</t>
        </is>
      </c>
      <c r="G552" s="116" t="n"/>
      <c r="H552" s="115" t="inlineStr">
        <is>
          <t>Кредиторська заборгованість за зборами до Фонду гарантування вкладів фізичних осіб</t>
        </is>
      </c>
      <c r="I552" s="115" t="inlineStr">
        <is>
          <t>П</t>
        </is>
      </c>
      <c r="J552" s="117" t="n">
        <v>0</v>
      </c>
      <c r="K552" s="117" t="n">
        <v>0</v>
      </c>
      <c r="L552" s="117" t="n">
        <v>0</v>
      </c>
      <c r="M552" s="117" t="n">
        <v>20039.82527</v>
      </c>
      <c r="N552" s="116" t="n"/>
      <c r="O552" s="117" t="n">
        <v>20039.82527</v>
      </c>
      <c r="P552" s="117" t="n">
        <v>0</v>
      </c>
      <c r="Q552" s="117" t="n">
        <v>41531.37307</v>
      </c>
      <c r="R552" s="117" t="n">
        <v>41531.37307</v>
      </c>
      <c r="S552" s="118" t="n">
        <v>0</v>
      </c>
      <c r="T552" s="110" t="n"/>
    </row>
    <row r="553" ht="14.25" customHeight="1" s="52">
      <c r="A553" s="104" t="n">
        <v>546</v>
      </c>
      <c r="B553" s="119" t="n"/>
      <c r="C553" s="119" t="n"/>
      <c r="D553" s="119" t="n"/>
      <c r="F553" s="120" t="inlineStr">
        <is>
          <t>Група 362 - Усього</t>
        </is>
      </c>
      <c r="G553" s="116" t="n"/>
      <c r="H553" s="116" t="n"/>
      <c r="I553" s="120" t="n"/>
      <c r="J553" s="121" t="n">
        <v>78684.11146</v>
      </c>
      <c r="K553" s="121" t="n">
        <v>78684.11146</v>
      </c>
      <c r="L553" s="121" t="n">
        <v>0</v>
      </c>
      <c r="M553" s="121" t="n">
        <v>89652.19134</v>
      </c>
      <c r="N553" s="116" t="n"/>
      <c r="O553" s="121" t="n">
        <v>89652.19134</v>
      </c>
      <c r="P553" s="121" t="n">
        <v>0</v>
      </c>
      <c r="Q553" s="121" t="n">
        <v>68561.96219999999</v>
      </c>
      <c r="R553" s="121" t="n">
        <v>68561.96219999999</v>
      </c>
      <c r="S553" s="122" t="n">
        <v>0</v>
      </c>
      <c r="T553" s="110" t="n"/>
    </row>
    <row r="554" ht="13.5" customHeight="1" s="52">
      <c r="A554" s="104" t="n">
        <v>547</v>
      </c>
      <c r="B554" s="119" t="n"/>
      <c r="C554" s="119" t="n"/>
      <c r="D554" s="115" t="inlineStr">
        <is>
          <t>363</t>
        </is>
      </c>
      <c r="E554" s="116" t="n"/>
      <c r="F554" s="115" t="inlineStr">
        <is>
          <t>3631</t>
        </is>
      </c>
      <c r="G554" s="116" t="n"/>
      <c r="H554" s="115" t="inlineStr">
        <is>
          <t>Кредиторська заборгованість перед акціонерами (власниками) банку за дивідендами</t>
        </is>
      </c>
      <c r="I554" s="115" t="inlineStr">
        <is>
          <t>П</t>
        </is>
      </c>
      <c r="J554" s="117" t="n">
        <v>0</v>
      </c>
      <c r="K554" s="117" t="n">
        <v>0</v>
      </c>
      <c r="L554" s="117" t="n">
        <v>0</v>
      </c>
      <c r="M554" s="117" t="n">
        <v>0</v>
      </c>
      <c r="N554" s="116" t="n"/>
      <c r="O554" s="117" t="n">
        <v>0</v>
      </c>
      <c r="P554" s="117" t="n">
        <v>0</v>
      </c>
      <c r="Q554" s="117" t="n">
        <v>0</v>
      </c>
      <c r="R554" s="117" t="n">
        <v>0</v>
      </c>
      <c r="S554" s="118" t="n">
        <v>0</v>
      </c>
      <c r="T554" s="110" t="n"/>
    </row>
    <row r="555" ht="13.5" customHeight="1" s="52">
      <c r="A555" s="104" t="n">
        <v>548</v>
      </c>
      <c r="B555" s="119" t="n"/>
      <c r="C555" s="119" t="n"/>
      <c r="D555" s="119" t="n"/>
      <c r="F555" s="120" t="inlineStr">
        <is>
          <t>Група 363 - Усього</t>
        </is>
      </c>
      <c r="G555" s="116" t="n"/>
      <c r="H555" s="116" t="n"/>
      <c r="I555" s="120" t="n"/>
      <c r="J555" s="121" t="n">
        <v>0</v>
      </c>
      <c r="K555" s="121" t="n">
        <v>0</v>
      </c>
      <c r="L555" s="121" t="n">
        <v>0</v>
      </c>
      <c r="M555" s="121" t="n">
        <v>0</v>
      </c>
      <c r="N555" s="116" t="n"/>
      <c r="O555" s="121" t="n">
        <v>0</v>
      </c>
      <c r="P555" s="121" t="n">
        <v>0</v>
      </c>
      <c r="Q555" s="121" t="n">
        <v>0</v>
      </c>
      <c r="R555" s="121" t="n">
        <v>0</v>
      </c>
      <c r="S555" s="122" t="n">
        <v>0</v>
      </c>
      <c r="T555" s="110" t="n"/>
    </row>
    <row r="556" ht="13.5" customHeight="1" s="52">
      <c r="A556" s="104" t="n">
        <v>549</v>
      </c>
      <c r="B556" s="119" t="n"/>
      <c r="C556" s="119" t="n"/>
      <c r="D556" s="115" t="inlineStr">
        <is>
          <t>364</t>
        </is>
      </c>
      <c r="E556" s="116" t="n"/>
      <c r="F556" s="115" t="inlineStr">
        <is>
          <t>3640</t>
        </is>
      </c>
      <c r="G556" s="116" t="n"/>
      <c r="H556" s="115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6" s="115" t="inlineStr">
        <is>
          <t>П</t>
        </is>
      </c>
      <c r="J556" s="117" t="n">
        <v>78344177.23185</v>
      </c>
      <c r="K556" s="117" t="n">
        <v>21719650.39538</v>
      </c>
      <c r="L556" s="117" t="n">
        <v>56624526.83647</v>
      </c>
      <c r="M556" s="117" t="n">
        <v>78347131.85313</v>
      </c>
      <c r="N556" s="116" t="n"/>
      <c r="O556" s="117" t="n">
        <v>21722605.01666</v>
      </c>
      <c r="P556" s="117" t="n">
        <v>56624526.83647</v>
      </c>
      <c r="Q556" s="117" t="n">
        <v>2969.24996</v>
      </c>
      <c r="R556" s="117" t="n">
        <v>2969.24996</v>
      </c>
      <c r="S556" s="118" t="n">
        <v>0</v>
      </c>
      <c r="T556" s="110" t="n"/>
    </row>
    <row r="557" ht="13.5" customHeight="1" s="52">
      <c r="A557" s="104" t="n">
        <v>550</v>
      </c>
      <c r="B557" s="119" t="n"/>
      <c r="C557" s="119" t="n"/>
      <c r="D557" s="119" t="n"/>
      <c r="F557" s="115" t="inlineStr">
        <is>
          <t>3641</t>
        </is>
      </c>
      <c r="G557" s="116" t="n"/>
      <c r="H557" s="115" t="inlineStr">
        <is>
          <t>Кредиторська заборгованість за розрахунками за цінними паперами для банку</t>
        </is>
      </c>
      <c r="I557" s="115" t="inlineStr">
        <is>
          <t>П</t>
        </is>
      </c>
      <c r="J557" s="117" t="n">
        <v>0</v>
      </c>
      <c r="K557" s="117" t="n">
        <v>0</v>
      </c>
      <c r="L557" s="117" t="n">
        <v>0</v>
      </c>
      <c r="M557" s="117" t="n">
        <v>0</v>
      </c>
      <c r="N557" s="116" t="n"/>
      <c r="O557" s="117" t="n">
        <v>0</v>
      </c>
      <c r="P557" s="117" t="n">
        <v>0</v>
      </c>
      <c r="Q557" s="117" t="n">
        <v>0</v>
      </c>
      <c r="R557" s="117" t="n">
        <v>0</v>
      </c>
      <c r="S557" s="118" t="n">
        <v>0</v>
      </c>
      <c r="T557" s="110" t="n"/>
    </row>
    <row r="558" ht="14.25" customHeight="1" s="52">
      <c r="A558" s="104" t="n">
        <v>551</v>
      </c>
      <c r="B558" s="119" t="n"/>
      <c r="C558" s="119" t="n"/>
      <c r="D558" s="119" t="n"/>
      <c r="F558" s="115" t="inlineStr">
        <is>
          <t>3648</t>
        </is>
      </c>
      <c r="G558" s="116" t="n"/>
      <c r="H558" s="115" t="inlineStr">
        <is>
          <t>Кредиторська заборгованість за операціями з іншими фінансовими інструментами</t>
        </is>
      </c>
      <c r="I558" s="115" t="inlineStr">
        <is>
          <t>П</t>
        </is>
      </c>
      <c r="J558" s="117" t="n">
        <v>7568.29607</v>
      </c>
      <c r="K558" s="117" t="n">
        <v>7568.29607</v>
      </c>
      <c r="L558" s="117" t="n">
        <v>0</v>
      </c>
      <c r="M558" s="117" t="n">
        <v>7669.37035</v>
      </c>
      <c r="N558" s="116" t="n"/>
      <c r="O558" s="117" t="n">
        <v>7669.37035</v>
      </c>
      <c r="P558" s="117" t="n">
        <v>0</v>
      </c>
      <c r="Q558" s="117" t="n">
        <v>10872.91707</v>
      </c>
      <c r="R558" s="117" t="n">
        <v>10872.91707</v>
      </c>
      <c r="S558" s="118" t="n">
        <v>0</v>
      </c>
      <c r="T558" s="110" t="n"/>
    </row>
    <row r="559" ht="13.5" customHeight="1" s="52">
      <c r="A559" s="104" t="n">
        <v>552</v>
      </c>
      <c r="B559" s="119" t="n"/>
      <c r="C559" s="119" t="n"/>
      <c r="D559" s="119" t="n"/>
      <c r="F559" s="115" t="inlineStr">
        <is>
          <t>3642</t>
        </is>
      </c>
      <c r="G559" s="116" t="n"/>
      <c r="H559" s="115" t="inlineStr">
        <is>
          <t>Кредиторська заборгованість за кредитними операціями</t>
        </is>
      </c>
      <c r="I559" s="115" t="inlineStr">
        <is>
          <t>П</t>
        </is>
      </c>
      <c r="J559" s="117" t="n">
        <v>0</v>
      </c>
      <c r="K559" s="117" t="n">
        <v>0</v>
      </c>
      <c r="L559" s="117" t="n">
        <v>0</v>
      </c>
      <c r="M559" s="117" t="n">
        <v>0</v>
      </c>
      <c r="N559" s="116" t="n"/>
      <c r="O559" s="117" t="n">
        <v>0</v>
      </c>
      <c r="P559" s="117" t="n">
        <v>0</v>
      </c>
      <c r="Q559" s="117" t="n">
        <v>0</v>
      </c>
      <c r="R559" s="117" t="n">
        <v>0</v>
      </c>
      <c r="S559" s="118" t="n">
        <v>0</v>
      </c>
      <c r="T559" s="110" t="n"/>
    </row>
    <row r="560" ht="13.5" customHeight="1" s="52">
      <c r="A560" s="104" t="n">
        <v>553</v>
      </c>
      <c r="B560" s="119" t="n"/>
      <c r="C560" s="119" t="n"/>
      <c r="D560" s="119" t="n"/>
      <c r="F560" s="120" t="inlineStr">
        <is>
          <t>Група 364 - Усього</t>
        </is>
      </c>
      <c r="G560" s="116" t="n"/>
      <c r="H560" s="116" t="n"/>
      <c r="I560" s="120" t="n"/>
      <c r="J560" s="121" t="n">
        <v>78351745.52791999</v>
      </c>
      <c r="K560" s="121" t="n">
        <v>21727218.69145</v>
      </c>
      <c r="L560" s="121" t="n">
        <v>56624526.83647</v>
      </c>
      <c r="M560" s="121" t="n">
        <v>78354801.22348</v>
      </c>
      <c r="N560" s="116" t="n"/>
      <c r="O560" s="121" t="n">
        <v>21730274.38701</v>
      </c>
      <c r="P560" s="121" t="n">
        <v>56624526.83647</v>
      </c>
      <c r="Q560" s="121" t="n">
        <v>13842.16703</v>
      </c>
      <c r="R560" s="121" t="n">
        <v>13842.16703</v>
      </c>
      <c r="S560" s="122" t="n">
        <v>0</v>
      </c>
      <c r="T560" s="110" t="n"/>
    </row>
    <row r="561" ht="13.5" customHeight="1" s="52">
      <c r="A561" s="104" t="n">
        <v>554</v>
      </c>
      <c r="B561" s="119" t="n"/>
      <c r="C561" s="119" t="n"/>
      <c r="D561" s="115" t="inlineStr">
        <is>
          <t>365</t>
        </is>
      </c>
      <c r="E561" s="116" t="n"/>
      <c r="F561" s="115" t="inlineStr">
        <is>
          <t>3650</t>
        </is>
      </c>
      <c r="G561" s="116" t="n"/>
      <c r="H561" s="115" t="inlineStr">
        <is>
          <t>Заборгованість працівникам банку на відрядження</t>
        </is>
      </c>
      <c r="I561" s="115" t="inlineStr">
        <is>
          <t>П</t>
        </is>
      </c>
      <c r="J561" s="117" t="n">
        <v>0</v>
      </c>
      <c r="K561" s="117" t="n">
        <v>0</v>
      </c>
      <c r="L561" s="117" t="n">
        <v>0</v>
      </c>
      <c r="M561" s="117" t="n">
        <v>0</v>
      </c>
      <c r="N561" s="116" t="n"/>
      <c r="O561" s="117" t="n">
        <v>0</v>
      </c>
      <c r="P561" s="117" t="n">
        <v>0</v>
      </c>
      <c r="Q561" s="117" t="n">
        <v>0</v>
      </c>
      <c r="R561" s="117" t="n">
        <v>0</v>
      </c>
      <c r="S561" s="118" t="n">
        <v>0</v>
      </c>
      <c r="T561" s="110" t="n"/>
    </row>
    <row r="562" ht="13.5" customHeight="1" s="52">
      <c r="A562" s="104" t="n">
        <v>555</v>
      </c>
      <c r="B562" s="119" t="n"/>
      <c r="C562" s="119" t="n"/>
      <c r="D562" s="119" t="n"/>
      <c r="F562" s="115" t="inlineStr">
        <is>
          <t>3651</t>
        </is>
      </c>
      <c r="G562" s="116" t="n"/>
      <c r="H562" s="115" t="inlineStr">
        <is>
          <t>Заборгованість працівникам банку на господарські витрати</t>
        </is>
      </c>
      <c r="I562" s="115" t="inlineStr">
        <is>
          <t>П</t>
        </is>
      </c>
      <c r="J562" s="117" t="n">
        <v>0</v>
      </c>
      <c r="K562" s="117" t="n">
        <v>0</v>
      </c>
      <c r="L562" s="117" t="n">
        <v>0</v>
      </c>
      <c r="M562" s="117" t="n">
        <v>0</v>
      </c>
      <c r="N562" s="116" t="n"/>
      <c r="O562" s="117" t="n">
        <v>0</v>
      </c>
      <c r="P562" s="117" t="n">
        <v>0</v>
      </c>
      <c r="Q562" s="117" t="n">
        <v>0</v>
      </c>
      <c r="R562" s="117" t="n">
        <v>0</v>
      </c>
      <c r="S562" s="118" t="n">
        <v>0</v>
      </c>
      <c r="T562" s="110" t="n"/>
    </row>
    <row r="563" ht="14.25" customHeight="1" s="52">
      <c r="A563" s="104" t="n">
        <v>556</v>
      </c>
      <c r="B563" s="119" t="n"/>
      <c r="C563" s="119" t="n"/>
      <c r="D563" s="119" t="n"/>
      <c r="F563" s="115" t="inlineStr">
        <is>
          <t>3652</t>
        </is>
      </c>
      <c r="G563" s="116" t="n"/>
      <c r="H563" s="115" t="inlineStr">
        <is>
          <t>Нарахування працівникам банку за заробітною платою</t>
        </is>
      </c>
      <c r="I563" s="115" t="inlineStr">
        <is>
          <t>П</t>
        </is>
      </c>
      <c r="J563" s="117" t="n">
        <v>146609.24414</v>
      </c>
      <c r="K563" s="117" t="n">
        <v>146609.24414</v>
      </c>
      <c r="L563" s="117" t="n">
        <v>0</v>
      </c>
      <c r="M563" s="117" t="n">
        <v>198452.98429</v>
      </c>
      <c r="N563" s="116" t="n"/>
      <c r="O563" s="117" t="n">
        <v>198452.98429</v>
      </c>
      <c r="P563" s="117" t="n">
        <v>0</v>
      </c>
      <c r="Q563" s="117" t="n">
        <v>186690.88116</v>
      </c>
      <c r="R563" s="117" t="n">
        <v>186690.88116</v>
      </c>
      <c r="S563" s="118" t="n">
        <v>0</v>
      </c>
      <c r="T563" s="110" t="n"/>
    </row>
    <row r="564" ht="13.5" customHeight="1" s="52">
      <c r="A564" s="104" t="n">
        <v>557</v>
      </c>
      <c r="B564" s="119" t="n"/>
      <c r="C564" s="119" t="n"/>
      <c r="D564" s="119" t="n"/>
      <c r="F564" s="115" t="inlineStr">
        <is>
          <t>3653</t>
        </is>
      </c>
      <c r="G564" s="116" t="n"/>
      <c r="H564" s="115" t="inlineStr">
        <is>
          <t>Утримання з працівників банку на користь третіх осіб</t>
        </is>
      </c>
      <c r="I564" s="115" t="inlineStr">
        <is>
          <t>П</t>
        </is>
      </c>
      <c r="J564" s="117" t="n">
        <v>35660.08554</v>
      </c>
      <c r="K564" s="117" t="n">
        <v>35660.08554</v>
      </c>
      <c r="L564" s="117" t="n">
        <v>0</v>
      </c>
      <c r="M564" s="117" t="n">
        <v>35662.43384</v>
      </c>
      <c r="N564" s="116" t="n"/>
      <c r="O564" s="117" t="n">
        <v>35662.43384</v>
      </c>
      <c r="P564" s="117" t="n">
        <v>0</v>
      </c>
      <c r="Q564" s="117" t="n">
        <v>184.11886</v>
      </c>
      <c r="R564" s="117" t="n">
        <v>184.11886</v>
      </c>
      <c r="S564" s="118" t="n">
        <v>0</v>
      </c>
      <c r="T564" s="110" t="n"/>
    </row>
    <row r="565" ht="13.5" customHeight="1" s="52">
      <c r="A565" s="104" t="n">
        <v>558</v>
      </c>
      <c r="B565" s="119" t="n"/>
      <c r="C565" s="119" t="n"/>
      <c r="D565" s="119" t="n"/>
      <c r="F565" s="115" t="inlineStr">
        <is>
          <t>3654</t>
        </is>
      </c>
      <c r="G565" s="116" t="n"/>
      <c r="H565" s="115" t="inlineStr">
        <is>
          <t>Нараховані відпускні до сплати</t>
        </is>
      </c>
      <c r="I565" s="115" t="inlineStr">
        <is>
          <t>П</t>
        </is>
      </c>
      <c r="J565" s="117" t="n">
        <v>0</v>
      </c>
      <c r="K565" s="117" t="n">
        <v>0</v>
      </c>
      <c r="L565" s="117" t="n">
        <v>0</v>
      </c>
      <c r="M565" s="117" t="n">
        <v>0</v>
      </c>
      <c r="N565" s="116" t="n"/>
      <c r="O565" s="117" t="n">
        <v>0</v>
      </c>
      <c r="P565" s="117" t="n">
        <v>0</v>
      </c>
      <c r="Q565" s="117" t="n">
        <v>0</v>
      </c>
      <c r="R565" s="117" t="n">
        <v>0</v>
      </c>
      <c r="S565" s="118" t="n">
        <v>0</v>
      </c>
      <c r="T565" s="110" t="n"/>
    </row>
    <row r="566" ht="13.5" customHeight="1" s="52">
      <c r="A566" s="104" t="n">
        <v>559</v>
      </c>
      <c r="B566" s="119" t="n"/>
      <c r="C566" s="119" t="n"/>
      <c r="D566" s="119" t="n"/>
      <c r="F566" s="115" t="inlineStr">
        <is>
          <t>3658</t>
        </is>
      </c>
      <c r="G566" s="116" t="n"/>
      <c r="H566" s="115" t="inlineStr">
        <is>
          <t>Забезпечення оплати відпусток</t>
        </is>
      </c>
      <c r="I566" s="115" t="inlineStr">
        <is>
          <t>П</t>
        </is>
      </c>
      <c r="J566" s="117" t="n">
        <v>9759.58268</v>
      </c>
      <c r="K566" s="117" t="n">
        <v>9759.58268</v>
      </c>
      <c r="L566" s="117" t="n">
        <v>0</v>
      </c>
      <c r="M566" s="117" t="n">
        <v>12810.61321</v>
      </c>
      <c r="N566" s="116" t="n"/>
      <c r="O566" s="117" t="n">
        <v>12810.61321</v>
      </c>
      <c r="P566" s="117" t="n">
        <v>0</v>
      </c>
      <c r="Q566" s="117" t="n">
        <v>229698.02291</v>
      </c>
      <c r="R566" s="117" t="n">
        <v>229698.02291</v>
      </c>
      <c r="S566" s="118" t="n">
        <v>0</v>
      </c>
      <c r="T566" s="110" t="n"/>
    </row>
    <row r="567" ht="13.5" customHeight="1" s="52">
      <c r="A567" s="104" t="n">
        <v>560</v>
      </c>
      <c r="B567" s="119" t="n"/>
      <c r="C567" s="119" t="n"/>
      <c r="D567" s="119" t="n"/>
      <c r="F567" s="115" t="inlineStr">
        <is>
          <t>3659</t>
        </is>
      </c>
      <c r="G567" s="116" t="n"/>
      <c r="H567" s="115" t="inlineStr">
        <is>
          <t>Інша кредиторська заборгованість за розрахунками з працівниками банку та іншими особами</t>
        </is>
      </c>
      <c r="I567" s="115" t="inlineStr">
        <is>
          <t>П</t>
        </is>
      </c>
      <c r="J567" s="117" t="n">
        <v>101.41975</v>
      </c>
      <c r="K567" s="117" t="n">
        <v>101.41975</v>
      </c>
      <c r="L567" s="117" t="n">
        <v>0</v>
      </c>
      <c r="M567" s="117" t="n">
        <v>88.51533999999999</v>
      </c>
      <c r="N567" s="116" t="n"/>
      <c r="O567" s="117" t="n">
        <v>88.51533999999999</v>
      </c>
      <c r="P567" s="117" t="n">
        <v>0</v>
      </c>
      <c r="Q567" s="117" t="n">
        <v>88.51533999999999</v>
      </c>
      <c r="R567" s="117" t="n">
        <v>88.51533999999999</v>
      </c>
      <c r="S567" s="118" t="n">
        <v>0</v>
      </c>
      <c r="T567" s="110" t="n"/>
    </row>
    <row r="568" ht="14.25" customHeight="1" s="52">
      <c r="A568" s="104" t="n">
        <v>561</v>
      </c>
      <c r="B568" s="119" t="n"/>
      <c r="C568" s="119" t="n"/>
      <c r="D568" s="119" t="n"/>
      <c r="F568" s="120" t="inlineStr">
        <is>
          <t>Група 365 - Усього</t>
        </is>
      </c>
      <c r="G568" s="116" t="n"/>
      <c r="H568" s="116" t="n"/>
      <c r="I568" s="120" t="n"/>
      <c r="J568" s="121" t="n">
        <v>192130.33211</v>
      </c>
      <c r="K568" s="121" t="n">
        <v>192130.33211</v>
      </c>
      <c r="L568" s="121" t="n">
        <v>0</v>
      </c>
      <c r="M568" s="121" t="n">
        <v>247014.54668</v>
      </c>
      <c r="N568" s="116" t="n"/>
      <c r="O568" s="121" t="n">
        <v>247014.54668</v>
      </c>
      <c r="P568" s="121" t="n">
        <v>0</v>
      </c>
      <c r="Q568" s="121" t="n">
        <v>416661.53827</v>
      </c>
      <c r="R568" s="121" t="n">
        <v>416661.53827</v>
      </c>
      <c r="S568" s="122" t="n">
        <v>0</v>
      </c>
      <c r="T568" s="110" t="n"/>
    </row>
    <row r="569" ht="13.5" customHeight="1" s="52">
      <c r="A569" s="104" t="n">
        <v>562</v>
      </c>
      <c r="B569" s="119" t="n"/>
      <c r="C569" s="119" t="n"/>
      <c r="D569" s="115" t="inlineStr">
        <is>
          <t>366</t>
        </is>
      </c>
      <c r="E569" s="116" t="n"/>
      <c r="F569" s="115" t="inlineStr">
        <is>
          <t>3660</t>
        </is>
      </c>
      <c r="G569" s="116" t="n"/>
      <c r="H569" s="115" t="inlineStr">
        <is>
          <t>Субординований борг банку</t>
        </is>
      </c>
      <c r="I569" s="115" t="inlineStr">
        <is>
          <t>П</t>
        </is>
      </c>
      <c r="J569" s="117" t="n">
        <v>44130</v>
      </c>
      <c r="K569" s="117" t="n">
        <v>0</v>
      </c>
      <c r="L569" s="117" t="n">
        <v>44130</v>
      </c>
      <c r="M569" s="117" t="n">
        <v>66400</v>
      </c>
      <c r="N569" s="116" t="n"/>
      <c r="O569" s="117" t="n">
        <v>0</v>
      </c>
      <c r="P569" s="117" t="n">
        <v>66400</v>
      </c>
      <c r="Q569" s="117" t="n">
        <v>4219280</v>
      </c>
      <c r="R569" s="117" t="n">
        <v>0</v>
      </c>
      <c r="S569" s="118" t="n">
        <v>4219280</v>
      </c>
      <c r="T569" s="110" t="n"/>
    </row>
    <row r="570" ht="13.5" customHeight="1" s="52">
      <c r="A570" s="104" t="n">
        <v>563</v>
      </c>
      <c r="B570" s="119" t="n"/>
      <c r="C570" s="119" t="n"/>
      <c r="D570" s="119" t="n"/>
      <c r="F570" s="115" t="inlineStr">
        <is>
          <t>3666</t>
        </is>
      </c>
      <c r="G570" s="116" t="n"/>
      <c r="H570" s="115" t="inlineStr">
        <is>
          <t>Неамортизований дисконт/премія за субординованим боргом</t>
        </is>
      </c>
      <c r="I570" s="115" t="inlineStr">
        <is>
          <t>А</t>
        </is>
      </c>
      <c r="J570" s="117" t="n">
        <v>855.65919</v>
      </c>
      <c r="K570" s="117" t="n">
        <v>0</v>
      </c>
      <c r="L570" s="117" t="n">
        <v>855.65919</v>
      </c>
      <c r="M570" s="117" t="n">
        <v>554.5818400000001</v>
      </c>
      <c r="N570" s="116" t="n"/>
      <c r="O570" s="117" t="n">
        <v>0</v>
      </c>
      <c r="P570" s="117" t="n">
        <v>554.5818400000001</v>
      </c>
      <c r="Q570" s="117" t="n">
        <v>0</v>
      </c>
      <c r="R570" s="117" t="n">
        <v>0</v>
      </c>
      <c r="S570" s="118" t="n">
        <v>0</v>
      </c>
      <c r="T570" s="110" t="n"/>
    </row>
    <row r="571" ht="13.5" customHeight="1" s="52">
      <c r="A571" s="104" t="n">
        <v>564</v>
      </c>
      <c r="B571" s="119" t="n"/>
      <c r="C571" s="119" t="n"/>
      <c r="D571" s="119" t="n"/>
      <c r="F571" s="119" t="n"/>
      <c r="H571" s="119" t="n"/>
      <c r="I571" s="115" t="inlineStr">
        <is>
          <t>П</t>
        </is>
      </c>
      <c r="J571" s="117" t="n">
        <v>0</v>
      </c>
      <c r="K571" s="117" t="n">
        <v>0</v>
      </c>
      <c r="L571" s="117" t="n">
        <v>0</v>
      </c>
      <c r="M571" s="117" t="n">
        <v>0</v>
      </c>
      <c r="N571" s="116" t="n"/>
      <c r="O571" s="117" t="n">
        <v>0</v>
      </c>
      <c r="P571" s="117" t="n">
        <v>0</v>
      </c>
      <c r="Q571" s="117" t="n">
        <v>16123.07391</v>
      </c>
      <c r="R571" s="117" t="n">
        <v>0</v>
      </c>
      <c r="S571" s="118" t="n">
        <v>16123.07391</v>
      </c>
      <c r="T571" s="110" t="n"/>
    </row>
    <row r="572" ht="13.5" customHeight="1" s="52">
      <c r="A572" s="104" t="n">
        <v>565</v>
      </c>
      <c r="B572" s="119" t="n"/>
      <c r="C572" s="119" t="n"/>
      <c r="D572" s="119" t="n"/>
      <c r="F572" s="115" t="inlineStr">
        <is>
          <t>3668</t>
        </is>
      </c>
      <c r="G572" s="116" t="n"/>
      <c r="H572" s="115" t="inlineStr">
        <is>
          <t xml:space="preserve">Нараховані витрати за субординованим боргом </t>
        </is>
      </c>
      <c r="I572" s="115" t="inlineStr">
        <is>
          <t>П</t>
        </is>
      </c>
      <c r="J572" s="117" t="n">
        <v>236683.92735</v>
      </c>
      <c r="K572" s="117" t="n">
        <v>0</v>
      </c>
      <c r="L572" s="117" t="n">
        <v>236683.92735</v>
      </c>
      <c r="M572" s="117" t="n">
        <v>40558.40522</v>
      </c>
      <c r="N572" s="116" t="n"/>
      <c r="O572" s="117" t="n">
        <v>0</v>
      </c>
      <c r="P572" s="117" t="n">
        <v>40558.40522</v>
      </c>
      <c r="Q572" s="117" t="n">
        <v>38443.59057</v>
      </c>
      <c r="R572" s="117" t="n">
        <v>0</v>
      </c>
      <c r="S572" s="118" t="n">
        <v>38443.59057</v>
      </c>
      <c r="T572" s="110" t="n"/>
    </row>
    <row r="573" ht="14.25" customHeight="1" s="52">
      <c r="A573" s="104" t="n">
        <v>566</v>
      </c>
      <c r="B573" s="119" t="n"/>
      <c r="C573" s="119" t="n"/>
      <c r="D573" s="119" t="n"/>
      <c r="F573" s="120" t="inlineStr">
        <is>
          <t>Група 366 - Усього</t>
        </is>
      </c>
      <c r="G573" s="116" t="n"/>
      <c r="H573" s="116" t="n"/>
      <c r="I573" s="120" t="n"/>
      <c r="J573" s="121" t="n">
        <v>281669.58654</v>
      </c>
      <c r="K573" s="121" t="n">
        <v>0</v>
      </c>
      <c r="L573" s="121" t="n">
        <v>281669.58654</v>
      </c>
      <c r="M573" s="121" t="n">
        <v>107512.98706</v>
      </c>
      <c r="N573" s="116" t="n"/>
      <c r="O573" s="121" t="n">
        <v>0</v>
      </c>
      <c r="P573" s="121" t="n">
        <v>107512.98706</v>
      </c>
      <c r="Q573" s="121" t="n">
        <v>4273846.66448</v>
      </c>
      <c r="R573" s="121" t="n">
        <v>0</v>
      </c>
      <c r="S573" s="122" t="n">
        <v>4273846.66448</v>
      </c>
      <c r="T573" s="110" t="n"/>
    </row>
    <row r="574" ht="13.5" customHeight="1" s="52">
      <c r="A574" s="104" t="n">
        <v>567</v>
      </c>
      <c r="B574" s="119" t="n"/>
      <c r="C574" s="119" t="n"/>
      <c r="D574" s="115" t="inlineStr">
        <is>
          <t>367</t>
        </is>
      </c>
      <c r="E574" s="116" t="n"/>
      <c r="F574" s="115" t="inlineStr">
        <is>
          <t>3670</t>
        </is>
      </c>
      <c r="G574" s="116" t="n"/>
      <c r="H574" s="115" t="inlineStr">
        <is>
          <t>Нараховані витрати за розрахунково-касове обслуговування</t>
        </is>
      </c>
      <c r="I574" s="115" t="inlineStr">
        <is>
          <t>П</t>
        </is>
      </c>
      <c r="J574" s="117" t="n">
        <v>0</v>
      </c>
      <c r="K574" s="117" t="n">
        <v>0</v>
      </c>
      <c r="L574" s="117" t="n">
        <v>0</v>
      </c>
      <c r="M574" s="117" t="n">
        <v>0</v>
      </c>
      <c r="N574" s="116" t="n"/>
      <c r="O574" s="117" t="n">
        <v>0</v>
      </c>
      <c r="P574" s="117" t="n">
        <v>0</v>
      </c>
      <c r="Q574" s="117" t="n">
        <v>0</v>
      </c>
      <c r="R574" s="117" t="n">
        <v>0</v>
      </c>
      <c r="S574" s="118" t="n">
        <v>0</v>
      </c>
      <c r="T574" s="110" t="n"/>
    </row>
    <row r="575" ht="13.5" customHeight="1" s="52">
      <c r="A575" s="104" t="n">
        <v>568</v>
      </c>
      <c r="B575" s="119" t="n"/>
      <c r="C575" s="119" t="n"/>
      <c r="D575" s="119" t="n"/>
      <c r="F575" s="115" t="inlineStr">
        <is>
          <t>3678</t>
        </is>
      </c>
      <c r="G575" s="116" t="n"/>
      <c r="H575" s="115" t="inlineStr">
        <is>
          <t xml:space="preserve">Інші нараховані витрати </t>
        </is>
      </c>
      <c r="I575" s="115" t="inlineStr">
        <is>
          <t>П</t>
        </is>
      </c>
      <c r="J575" s="117" t="n">
        <v>36916.11032</v>
      </c>
      <c r="K575" s="117" t="n">
        <v>7096.31614</v>
      </c>
      <c r="L575" s="117" t="n">
        <v>29819.79418</v>
      </c>
      <c r="M575" s="117" t="n">
        <v>37712.92586</v>
      </c>
      <c r="N575" s="116" t="n"/>
      <c r="O575" s="117" t="n">
        <v>6791.61829</v>
      </c>
      <c r="P575" s="117" t="n">
        <v>30921.30757</v>
      </c>
      <c r="Q575" s="117" t="n">
        <v>40907.85245</v>
      </c>
      <c r="R575" s="117" t="n">
        <v>6521.17636</v>
      </c>
      <c r="S575" s="118" t="n">
        <v>34386.67609</v>
      </c>
      <c r="T575" s="110" t="n"/>
    </row>
    <row r="576" ht="13.5" customHeight="1" s="52">
      <c r="A576" s="104" t="n">
        <v>569</v>
      </c>
      <c r="B576" s="119" t="n"/>
      <c r="C576" s="119" t="n"/>
      <c r="D576" s="119" t="n"/>
      <c r="F576" s="120" t="inlineStr">
        <is>
          <t>Група 367 - Усього</t>
        </is>
      </c>
      <c r="G576" s="116" t="n"/>
      <c r="H576" s="116" t="n"/>
      <c r="I576" s="120" t="n"/>
      <c r="J576" s="121" t="n">
        <v>36916.11032</v>
      </c>
      <c r="K576" s="121" t="n">
        <v>7096.31614</v>
      </c>
      <c r="L576" s="121" t="n">
        <v>29819.79418</v>
      </c>
      <c r="M576" s="121" t="n">
        <v>37712.92586</v>
      </c>
      <c r="N576" s="116" t="n"/>
      <c r="O576" s="121" t="n">
        <v>6791.61829</v>
      </c>
      <c r="P576" s="121" t="n">
        <v>30921.30757</v>
      </c>
      <c r="Q576" s="121" t="n">
        <v>40907.85245</v>
      </c>
      <c r="R576" s="121" t="n">
        <v>6521.17636</v>
      </c>
      <c r="S576" s="122" t="n">
        <v>34386.67609</v>
      </c>
      <c r="T576" s="110" t="n"/>
    </row>
    <row r="577" ht="13.5" customHeight="1" s="52">
      <c r="A577" s="104" t="n">
        <v>570</v>
      </c>
      <c r="B577" s="119" t="n"/>
      <c r="C577" s="119" t="n"/>
      <c r="D577" s="115" t="inlineStr">
        <is>
          <t>368</t>
        </is>
      </c>
      <c r="E577" s="116" t="n"/>
      <c r="F577" s="115" t="inlineStr">
        <is>
          <t>3680</t>
        </is>
      </c>
      <c r="G577" s="116" t="n"/>
      <c r="H577" s="115" t="inlineStr">
        <is>
          <t>Капітальний інструмент з умовами списання/конверсії</t>
        </is>
      </c>
      <c r="I577" s="115" t="inlineStr">
        <is>
          <t>П</t>
        </is>
      </c>
      <c r="J577" s="117" t="n">
        <v>0</v>
      </c>
      <c r="K577" s="117" t="n">
        <v>0</v>
      </c>
      <c r="L577" s="117" t="n">
        <v>0</v>
      </c>
      <c r="M577" s="117" t="n">
        <v>0</v>
      </c>
      <c r="N577" s="116" t="n"/>
      <c r="O577" s="117" t="n">
        <v>0</v>
      </c>
      <c r="P577" s="117" t="n">
        <v>0</v>
      </c>
      <c r="Q577" s="117" t="n">
        <v>0</v>
      </c>
      <c r="R577" s="117" t="n">
        <v>0</v>
      </c>
      <c r="S577" s="118" t="n">
        <v>0</v>
      </c>
      <c r="T577" s="110" t="n"/>
    </row>
    <row r="578" ht="14.25" customHeight="1" s="52">
      <c r="A578" s="104" t="n">
        <v>571</v>
      </c>
      <c r="B578" s="119" t="n"/>
      <c r="C578" s="119" t="n"/>
      <c r="D578" s="119" t="n"/>
      <c r="F578" s="115" t="inlineStr">
        <is>
          <t>3686</t>
        </is>
      </c>
      <c r="G578" s="116" t="n"/>
      <c r="H578" s="115" t="inlineStr">
        <is>
          <t>Неамортизований дисконт/премія за капітальним інструментом з умовами списання/конверсії</t>
        </is>
      </c>
      <c r="I578" s="115" t="inlineStr">
        <is>
          <t>А</t>
        </is>
      </c>
      <c r="J578" s="117" t="n">
        <v>0</v>
      </c>
      <c r="K578" s="117" t="n">
        <v>0</v>
      </c>
      <c r="L578" s="117" t="n">
        <v>0</v>
      </c>
      <c r="M578" s="117" t="n">
        <v>0</v>
      </c>
      <c r="N578" s="116" t="n"/>
      <c r="O578" s="117" t="n">
        <v>0</v>
      </c>
      <c r="P578" s="117" t="n">
        <v>0</v>
      </c>
      <c r="Q578" s="117" t="n">
        <v>0</v>
      </c>
      <c r="R578" s="117" t="n">
        <v>0</v>
      </c>
      <c r="S578" s="118" t="n">
        <v>0</v>
      </c>
      <c r="T578" s="110" t="n"/>
    </row>
    <row r="579" ht="13.5" customHeight="1" s="52">
      <c r="A579" s="104" t="n">
        <v>572</v>
      </c>
      <c r="B579" s="119" t="n"/>
      <c r="C579" s="119" t="n"/>
      <c r="D579" s="119" t="n"/>
      <c r="F579" s="115" t="inlineStr">
        <is>
          <t>3688</t>
        </is>
      </c>
      <c r="G579" s="116" t="n"/>
      <c r="H579" s="115" t="inlineStr">
        <is>
          <t>Нараховані витрати за капітальним інструментом з умовами списання/конверсії</t>
        </is>
      </c>
      <c r="I579" s="115" t="inlineStr">
        <is>
          <t>П</t>
        </is>
      </c>
      <c r="J579" s="117" t="n">
        <v>0</v>
      </c>
      <c r="K579" s="117" t="n">
        <v>0</v>
      </c>
      <c r="L579" s="117" t="n">
        <v>0</v>
      </c>
      <c r="M579" s="117" t="n">
        <v>0</v>
      </c>
      <c r="N579" s="116" t="n"/>
      <c r="O579" s="117" t="n">
        <v>0</v>
      </c>
      <c r="P579" s="117" t="n">
        <v>0</v>
      </c>
      <c r="Q579" s="117" t="n">
        <v>0</v>
      </c>
      <c r="R579" s="117" t="n">
        <v>0</v>
      </c>
      <c r="S579" s="118" t="n">
        <v>0</v>
      </c>
      <c r="T579" s="110" t="n"/>
    </row>
    <row r="580" ht="13.5" customHeight="1" s="52">
      <c r="A580" s="104" t="n">
        <v>573</v>
      </c>
      <c r="B580" s="119" t="n"/>
      <c r="C580" s="119" t="n"/>
      <c r="D580" s="119" t="n"/>
      <c r="F580" s="120" t="inlineStr">
        <is>
          <t>Група 368 - Усього</t>
        </is>
      </c>
      <c r="G580" s="116" t="n"/>
      <c r="H580" s="116" t="n"/>
      <c r="I580" s="120" t="n"/>
      <c r="J580" s="121" t="n">
        <v>0</v>
      </c>
      <c r="K580" s="121" t="n">
        <v>0</v>
      </c>
      <c r="L580" s="121" t="n">
        <v>0</v>
      </c>
      <c r="M580" s="121" t="n">
        <v>0</v>
      </c>
      <c r="N580" s="116" t="n"/>
      <c r="O580" s="121" t="n">
        <v>0</v>
      </c>
      <c r="P580" s="121" t="n">
        <v>0</v>
      </c>
      <c r="Q580" s="121" t="n">
        <v>0</v>
      </c>
      <c r="R580" s="121" t="n">
        <v>0</v>
      </c>
      <c r="S580" s="122" t="n">
        <v>0</v>
      </c>
      <c r="T580" s="110" t="n"/>
    </row>
    <row r="581" ht="13.5" customHeight="1" s="52">
      <c r="A581" s="104" t="n">
        <v>574</v>
      </c>
      <c r="B581" s="119" t="n"/>
      <c r="C581" s="119" t="n"/>
      <c r="D581" s="115" t="inlineStr">
        <is>
          <t>369</t>
        </is>
      </c>
      <c r="E581" s="116" t="n"/>
      <c r="F581" s="115" t="inlineStr">
        <is>
          <t>3690</t>
        </is>
      </c>
      <c r="G581" s="116" t="n"/>
      <c r="H581" s="115" t="inlineStr">
        <is>
          <t>Резерви за наданими фінансовими гарантіями</t>
        </is>
      </c>
      <c r="I581" s="115" t="inlineStr">
        <is>
          <t>П</t>
        </is>
      </c>
      <c r="J581" s="117" t="n">
        <v>75.97637</v>
      </c>
      <c r="K581" s="117" t="n">
        <v>23.37347</v>
      </c>
      <c r="L581" s="117" t="n">
        <v>52.6029</v>
      </c>
      <c r="M581" s="117" t="n">
        <v>317.68714</v>
      </c>
      <c r="N581" s="116" t="n"/>
      <c r="O581" s="117" t="n">
        <v>140.72608</v>
      </c>
      <c r="P581" s="117" t="n">
        <v>176.96106</v>
      </c>
      <c r="Q581" s="117" t="n">
        <v>589.23874</v>
      </c>
      <c r="R581" s="117" t="n">
        <v>213.11713</v>
      </c>
      <c r="S581" s="118" t="n">
        <v>376.12161</v>
      </c>
      <c r="T581" s="110" t="n"/>
    </row>
    <row r="582" ht="13.5" customHeight="1" s="52">
      <c r="A582" s="104" t="n">
        <v>575</v>
      </c>
      <c r="B582" s="119" t="n"/>
      <c r="C582" s="119" t="n"/>
      <c r="D582" s="119" t="n"/>
      <c r="F582" s="115" t="inlineStr">
        <is>
          <t>3699</t>
        </is>
      </c>
      <c r="G582" s="116" t="n"/>
      <c r="H582" s="115" t="inlineStr">
        <is>
          <t>Резерви за іншими нефінансовими зобов'язаннями</t>
        </is>
      </c>
      <c r="I582" s="115" t="inlineStr">
        <is>
          <t>П</t>
        </is>
      </c>
      <c r="J582" s="117" t="n">
        <v>0</v>
      </c>
      <c r="K582" s="117" t="n">
        <v>0</v>
      </c>
      <c r="L582" s="117" t="n">
        <v>0</v>
      </c>
      <c r="M582" s="117" t="n">
        <v>0</v>
      </c>
      <c r="N582" s="116" t="n"/>
      <c r="O582" s="117" t="n">
        <v>0</v>
      </c>
      <c r="P582" s="117" t="n">
        <v>0</v>
      </c>
      <c r="Q582" s="117" t="n">
        <v>16660.28665</v>
      </c>
      <c r="R582" s="117" t="n">
        <v>16660.28665</v>
      </c>
      <c r="S582" s="118" t="n">
        <v>0</v>
      </c>
      <c r="T582" s="110" t="n"/>
    </row>
    <row r="583" ht="14.25" customHeight="1" s="52">
      <c r="A583" s="104" t="n">
        <v>576</v>
      </c>
      <c r="B583" s="119" t="n"/>
      <c r="C583" s="119" t="n"/>
      <c r="D583" s="119" t="n"/>
      <c r="F583" s="115" t="inlineStr">
        <is>
          <t>3692</t>
        </is>
      </c>
      <c r="G583" s="116" t="n"/>
      <c r="H583" s="115" t="inlineStr">
        <is>
          <t>Резерви за кредитними зобов'язаннями</t>
        </is>
      </c>
      <c r="I583" s="115" t="inlineStr">
        <is>
          <t>П</t>
        </is>
      </c>
      <c r="J583" s="117" t="n">
        <v>29826.7632</v>
      </c>
      <c r="K583" s="117" t="n">
        <v>7365.8087</v>
      </c>
      <c r="L583" s="117" t="n">
        <v>22460.9545</v>
      </c>
      <c r="M583" s="117" t="n">
        <v>32272.16435</v>
      </c>
      <c r="N583" s="116" t="n"/>
      <c r="O583" s="117" t="n">
        <v>2896.74838</v>
      </c>
      <c r="P583" s="117" t="n">
        <v>29375.41597</v>
      </c>
      <c r="Q583" s="117" t="n">
        <v>101507.21942</v>
      </c>
      <c r="R583" s="117" t="n">
        <v>39427.09903</v>
      </c>
      <c r="S583" s="118" t="n">
        <v>62080.12039</v>
      </c>
      <c r="T583" s="110" t="n"/>
    </row>
    <row r="584" ht="13.5" customHeight="1" s="52">
      <c r="A584" s="104" t="n">
        <v>577</v>
      </c>
      <c r="B584" s="119" t="n"/>
      <c r="C584" s="119" t="n"/>
      <c r="D584" s="119" t="n"/>
      <c r="F584" s="120" t="inlineStr">
        <is>
          <t>Група 369 - Усього</t>
        </is>
      </c>
      <c r="G584" s="116" t="n"/>
      <c r="H584" s="116" t="n"/>
      <c r="I584" s="120" t="n"/>
      <c r="J584" s="121" t="n">
        <v>29902.73957</v>
      </c>
      <c r="K584" s="121" t="n">
        <v>7389.18217</v>
      </c>
      <c r="L584" s="121" t="n">
        <v>22513.5574</v>
      </c>
      <c r="M584" s="121" t="n">
        <v>32589.85149</v>
      </c>
      <c r="N584" s="116" t="n"/>
      <c r="O584" s="121" t="n">
        <v>3037.47446</v>
      </c>
      <c r="P584" s="121" t="n">
        <v>29552.37703</v>
      </c>
      <c r="Q584" s="121" t="n">
        <v>118756.74481</v>
      </c>
      <c r="R584" s="121" t="n">
        <v>56300.50281</v>
      </c>
      <c r="S584" s="122" t="n">
        <v>62456.242</v>
      </c>
      <c r="T584" s="110" t="n"/>
    </row>
    <row r="585" ht="21" customHeight="1" s="52">
      <c r="A585" s="104" t="n">
        <v>578</v>
      </c>
      <c r="B585" s="119" t="n"/>
      <c r="C585" s="119" t="n"/>
      <c r="D585" s="120" t="inlineStr">
        <is>
          <t>Розділ 36 - Усього</t>
        </is>
      </c>
      <c r="E585" s="116" t="n"/>
      <c r="F585" s="120" t="n"/>
      <c r="G585" s="116" t="n"/>
      <c r="H585" s="116" t="n"/>
      <c r="I585" s="120" t="n"/>
      <c r="J585" s="121" t="n">
        <v>79023119.46506999</v>
      </c>
      <c r="K585" s="121" t="n">
        <v>22063812.46712</v>
      </c>
      <c r="L585" s="121" t="n">
        <v>56959306.99795</v>
      </c>
      <c r="M585" s="121" t="n">
        <v>78924009.93154</v>
      </c>
      <c r="N585" s="116" t="n"/>
      <c r="O585" s="121" t="n">
        <v>22130065.56534</v>
      </c>
      <c r="P585" s="121" t="n">
        <v>56793944.3662</v>
      </c>
      <c r="Q585" s="121" t="n">
        <v>5013902.23173</v>
      </c>
      <c r="R585" s="121" t="n">
        <v>636154.84306</v>
      </c>
      <c r="S585" s="122" t="n">
        <v>4377747.38867</v>
      </c>
      <c r="T585" s="110" t="n"/>
    </row>
    <row r="586" ht="13.5" customHeight="1" s="52">
      <c r="A586" s="104" t="n">
        <v>579</v>
      </c>
      <c r="B586" s="119" t="n"/>
      <c r="C586" s="115" t="inlineStr">
        <is>
          <t>37</t>
        </is>
      </c>
      <c r="D586" s="115" t="inlineStr">
        <is>
          <t>370</t>
        </is>
      </c>
      <c r="E586" s="116" t="n"/>
      <c r="F586" s="115" t="inlineStr">
        <is>
          <t>3705</t>
        </is>
      </c>
      <c r="G586" s="116" t="n"/>
      <c r="H586" s="115" t="inlineStr">
        <is>
          <t>Клірингові рахунки за розрахунками платіжними картками</t>
        </is>
      </c>
      <c r="I586" s="115" t="inlineStr">
        <is>
          <t>П</t>
        </is>
      </c>
      <c r="J586" s="117" t="n">
        <v>0</v>
      </c>
      <c r="K586" s="117" t="n">
        <v>0</v>
      </c>
      <c r="L586" s="117" t="n">
        <v>0</v>
      </c>
      <c r="M586" s="117" t="n">
        <v>0</v>
      </c>
      <c r="N586" s="116" t="n"/>
      <c r="O586" s="117" t="n">
        <v>0</v>
      </c>
      <c r="P586" s="117" t="n">
        <v>0</v>
      </c>
      <c r="Q586" s="117" t="n">
        <v>0</v>
      </c>
      <c r="R586" s="117" t="n">
        <v>0</v>
      </c>
      <c r="S586" s="118" t="n">
        <v>0</v>
      </c>
      <c r="T586" s="110" t="n"/>
    </row>
    <row r="587" ht="13.5" customHeight="1" s="52">
      <c r="A587" s="104" t="n">
        <v>580</v>
      </c>
      <c r="B587" s="119" t="n"/>
      <c r="C587" s="119" t="n"/>
      <c r="D587" s="119" t="n"/>
      <c r="F587" s="120" t="inlineStr">
        <is>
          <t>Група 370 - Усього</t>
        </is>
      </c>
      <c r="G587" s="116" t="n"/>
      <c r="H587" s="116" t="n"/>
      <c r="I587" s="120" t="n"/>
      <c r="J587" s="121" t="n">
        <v>0</v>
      </c>
      <c r="K587" s="121" t="n">
        <v>0</v>
      </c>
      <c r="L587" s="121" t="n">
        <v>0</v>
      </c>
      <c r="M587" s="121" t="n">
        <v>0</v>
      </c>
      <c r="N587" s="116" t="n"/>
      <c r="O587" s="121" t="n">
        <v>0</v>
      </c>
      <c r="P587" s="121" t="n">
        <v>0</v>
      </c>
      <c r="Q587" s="121" t="n">
        <v>0</v>
      </c>
      <c r="R587" s="121" t="n">
        <v>0</v>
      </c>
      <c r="S587" s="122" t="n">
        <v>0</v>
      </c>
      <c r="T587" s="110" t="n"/>
    </row>
    <row r="588" ht="14.25" customHeight="1" s="52">
      <c r="A588" s="104" t="n">
        <v>581</v>
      </c>
      <c r="B588" s="119" t="n"/>
      <c r="C588" s="119" t="n"/>
      <c r="D588" s="115" t="inlineStr">
        <is>
          <t>372</t>
        </is>
      </c>
      <c r="E588" s="116" t="n"/>
      <c r="F588" s="115" t="inlineStr">
        <is>
          <t>3720</t>
        </is>
      </c>
      <c r="G588" s="116" t="n"/>
      <c r="H588" s="115" t="inlineStr">
        <is>
          <t>Кредитові суми до з'ясування</t>
        </is>
      </c>
      <c r="I588" s="115" t="inlineStr">
        <is>
          <t>П</t>
        </is>
      </c>
      <c r="J588" s="117" t="n">
        <v>1619995.33247</v>
      </c>
      <c r="K588" s="117" t="n">
        <v>140488.12229</v>
      </c>
      <c r="L588" s="117" t="n">
        <v>1479507.21018</v>
      </c>
      <c r="M588" s="117" t="n">
        <v>1473485.33994</v>
      </c>
      <c r="N588" s="116" t="n"/>
      <c r="O588" s="117" t="n">
        <v>140484.68938</v>
      </c>
      <c r="P588" s="117" t="n">
        <v>1333000.65056</v>
      </c>
      <c r="Q588" s="117" t="n">
        <v>108907.63604</v>
      </c>
      <c r="R588" s="117" t="n">
        <v>431.06207</v>
      </c>
      <c r="S588" s="118" t="n">
        <v>108476.57397</v>
      </c>
      <c r="T588" s="110" t="n"/>
    </row>
    <row r="589" ht="13.5" customHeight="1" s="52">
      <c r="A589" s="104" t="n">
        <v>582</v>
      </c>
      <c r="B589" s="119" t="n"/>
      <c r="C589" s="119" t="n"/>
      <c r="D589" s="119" t="n"/>
      <c r="F589" s="120" t="inlineStr">
        <is>
          <t>Група 372 - Усього</t>
        </is>
      </c>
      <c r="G589" s="116" t="n"/>
      <c r="H589" s="116" t="n"/>
      <c r="I589" s="120" t="n"/>
      <c r="J589" s="121" t="n">
        <v>1619995.33247</v>
      </c>
      <c r="K589" s="121" t="n">
        <v>140488.12229</v>
      </c>
      <c r="L589" s="121" t="n">
        <v>1479507.21018</v>
      </c>
      <c r="M589" s="121" t="n">
        <v>1473485.33994</v>
      </c>
      <c r="N589" s="116" t="n"/>
      <c r="O589" s="121" t="n">
        <v>140484.68938</v>
      </c>
      <c r="P589" s="121" t="n">
        <v>1333000.65056</v>
      </c>
      <c r="Q589" s="121" t="n">
        <v>108907.63604</v>
      </c>
      <c r="R589" s="121" t="n">
        <v>431.06207</v>
      </c>
      <c r="S589" s="122" t="n">
        <v>108476.57397</v>
      </c>
      <c r="T589" s="110" t="n"/>
    </row>
    <row r="590" ht="13.5" customHeight="1" s="52">
      <c r="A590" s="104" t="n">
        <v>583</v>
      </c>
      <c r="B590" s="119" t="n"/>
      <c r="C590" s="119" t="n"/>
      <c r="D590" s="115" t="inlineStr">
        <is>
          <t>373</t>
        </is>
      </c>
      <c r="E590" s="116" t="n"/>
      <c r="F590" s="115" t="inlineStr">
        <is>
          <t>3739</t>
        </is>
      </c>
      <c r="G590" s="116" t="n"/>
      <c r="H590" s="115" t="inlineStr">
        <is>
          <t>Транзитний рахунок за іншими розрахунками</t>
        </is>
      </c>
      <c r="I590" s="115" t="inlineStr">
        <is>
          <t>П</t>
        </is>
      </c>
      <c r="J590" s="117" t="n">
        <v>0</v>
      </c>
      <c r="K590" s="117" t="n">
        <v>0</v>
      </c>
      <c r="L590" s="117" t="n">
        <v>0</v>
      </c>
      <c r="M590" s="117" t="n">
        <v>0</v>
      </c>
      <c r="N590" s="116" t="n"/>
      <c r="O590" s="117" t="n">
        <v>0</v>
      </c>
      <c r="P590" s="117" t="n">
        <v>0</v>
      </c>
      <c r="Q590" s="117" t="n">
        <v>614949.50872</v>
      </c>
      <c r="R590" s="117" t="n">
        <v>5489.49204</v>
      </c>
      <c r="S590" s="118" t="n">
        <v>609460.01668</v>
      </c>
      <c r="T590" s="110" t="n"/>
    </row>
    <row r="591" ht="13.5" customHeight="1" s="52">
      <c r="A591" s="104" t="n">
        <v>584</v>
      </c>
      <c r="B591" s="119" t="n"/>
      <c r="C591" s="119" t="n"/>
      <c r="D591" s="119" t="n"/>
      <c r="F591" s="120" t="inlineStr">
        <is>
          <t>Група 373 - Усього</t>
        </is>
      </c>
      <c r="G591" s="116" t="n"/>
      <c r="H591" s="116" t="n"/>
      <c r="I591" s="120" t="n"/>
      <c r="J591" s="121" t="n">
        <v>0</v>
      </c>
      <c r="K591" s="121" t="n">
        <v>0</v>
      </c>
      <c r="L591" s="121" t="n">
        <v>0</v>
      </c>
      <c r="M591" s="121" t="n">
        <v>0</v>
      </c>
      <c r="N591" s="116" t="n"/>
      <c r="O591" s="121" t="n">
        <v>0</v>
      </c>
      <c r="P591" s="121" t="n">
        <v>0</v>
      </c>
      <c r="Q591" s="121" t="n">
        <v>614949.50872</v>
      </c>
      <c r="R591" s="121" t="n">
        <v>5489.49204</v>
      </c>
      <c r="S591" s="122" t="n">
        <v>609460.01668</v>
      </c>
      <c r="T591" s="110" t="n"/>
    </row>
    <row r="592" ht="20.25" customHeight="1" s="52">
      <c r="A592" s="104" t="n">
        <v>585</v>
      </c>
      <c r="B592" s="119" t="n"/>
      <c r="C592" s="119" t="n"/>
      <c r="D592" s="120" t="inlineStr">
        <is>
          <t>Розділ 37 - Усього</t>
        </is>
      </c>
      <c r="E592" s="116" t="n"/>
      <c r="F592" s="120" t="n"/>
      <c r="G592" s="116" t="n"/>
      <c r="H592" s="116" t="n"/>
      <c r="I592" s="120" t="n"/>
      <c r="J592" s="121" t="n">
        <v>1619995.33247</v>
      </c>
      <c r="K592" s="121" t="n">
        <v>140488.12229</v>
      </c>
      <c r="L592" s="121" t="n">
        <v>1479507.21018</v>
      </c>
      <c r="M592" s="121" t="n">
        <v>1473485.33994</v>
      </c>
      <c r="N592" s="116" t="n"/>
      <c r="O592" s="121" t="n">
        <v>140484.68938</v>
      </c>
      <c r="P592" s="121" t="n">
        <v>1333000.65056</v>
      </c>
      <c r="Q592" s="121" t="n">
        <v>723857.1447600001</v>
      </c>
      <c r="R592" s="121" t="n">
        <v>5920.55411</v>
      </c>
      <c r="S592" s="122" t="n">
        <v>717936.59065</v>
      </c>
      <c r="T592" s="110" t="n"/>
    </row>
    <row r="593" ht="14.25" customHeight="1" s="52">
      <c r="A593" s="104" t="n">
        <v>586</v>
      </c>
      <c r="B593" s="119" t="n"/>
      <c r="C593" s="115" t="inlineStr">
        <is>
          <t>38</t>
        </is>
      </c>
      <c r="D593" s="115" t="inlineStr">
        <is>
          <t>380</t>
        </is>
      </c>
      <c r="E593" s="116" t="n"/>
      <c r="F593" s="115" t="inlineStr">
        <is>
          <t>3800</t>
        </is>
      </c>
      <c r="G593" s="116" t="n"/>
      <c r="H593" s="115" t="inlineStr">
        <is>
          <t>Позиція банку щодо іноземної валюти та банківських металів</t>
        </is>
      </c>
      <c r="I593" s="115" t="inlineStr">
        <is>
          <t>П</t>
        </is>
      </c>
      <c r="J593" s="117" t="n">
        <v>0</v>
      </c>
      <c r="K593" s="117" t="n">
        <v>0</v>
      </c>
      <c r="L593" s="117" t="n">
        <v>0</v>
      </c>
      <c r="M593" s="117" t="n">
        <v>0</v>
      </c>
      <c r="N593" s="116" t="n"/>
      <c r="O593" s="117" t="n">
        <v>0</v>
      </c>
      <c r="P593" s="117" t="n">
        <v>0</v>
      </c>
      <c r="Q593" s="117" t="n">
        <v>359128.83258</v>
      </c>
      <c r="R593" s="117" t="n">
        <v>0</v>
      </c>
      <c r="S593" s="118" t="n">
        <v>359128.83258</v>
      </c>
      <c r="T593" s="110" t="n"/>
    </row>
    <row r="594" ht="13.5" customHeight="1" s="52">
      <c r="A594" s="104" t="n">
        <v>587</v>
      </c>
      <c r="B594" s="119" t="n"/>
      <c r="C594" s="119" t="n"/>
      <c r="D594" s="119" t="n"/>
      <c r="F594" s="115" t="inlineStr">
        <is>
          <t>3801</t>
        </is>
      </c>
      <c r="G594" s="116" t="n"/>
      <c r="H594" s="115" t="inlineStr">
        <is>
          <t>Еквівалент позиції банку щодо іноземної валюти та банківських металів</t>
        </is>
      </c>
      <c r="I594" s="115" t="inlineStr">
        <is>
          <t>А</t>
        </is>
      </c>
      <c r="J594" s="117" t="n">
        <v>84754919.44739</v>
      </c>
      <c r="K594" s="117" t="n">
        <v>84754919.44739</v>
      </c>
      <c r="L594" s="117" t="n">
        <v>0</v>
      </c>
      <c r="M594" s="117" t="n">
        <v>84499692.93075</v>
      </c>
      <c r="N594" s="116" t="n"/>
      <c r="O594" s="117" t="n">
        <v>84499692.93075</v>
      </c>
      <c r="P594" s="117" t="n">
        <v>0</v>
      </c>
      <c r="Q594" s="117" t="n">
        <v>-359128.83258</v>
      </c>
      <c r="R594" s="117" t="n">
        <v>-359128.83258</v>
      </c>
      <c r="S594" s="118" t="n">
        <v>0</v>
      </c>
      <c r="T594" s="110" t="n"/>
    </row>
    <row r="595" ht="13.5" customHeight="1" s="52">
      <c r="A595" s="104" t="n">
        <v>588</v>
      </c>
      <c r="B595" s="119" t="n"/>
      <c r="C595" s="119" t="n"/>
      <c r="D595" s="119" t="n"/>
      <c r="F595" s="120" t="inlineStr">
        <is>
          <t>Група 380 - Усього</t>
        </is>
      </c>
      <c r="G595" s="116" t="n"/>
      <c r="H595" s="116" t="n"/>
      <c r="I595" s="120" t="n"/>
      <c r="J595" s="121" t="n">
        <v>84754919.44739</v>
      </c>
      <c r="K595" s="121" t="n">
        <v>84754919.44739</v>
      </c>
      <c r="L595" s="121" t="n">
        <v>0</v>
      </c>
      <c r="M595" s="121" t="n">
        <v>84499692.93075</v>
      </c>
      <c r="N595" s="116" t="n"/>
      <c r="O595" s="121" t="n">
        <v>84499692.93075</v>
      </c>
      <c r="P595" s="121" t="n">
        <v>0</v>
      </c>
      <c r="Q595" s="121" t="n">
        <v>0</v>
      </c>
      <c r="R595" s="121" t="n">
        <v>-359128.83258</v>
      </c>
      <c r="S595" s="122" t="n">
        <v>359128.83258</v>
      </c>
      <c r="T595" s="110" t="n"/>
    </row>
    <row r="596" ht="24" customHeight="1" s="52">
      <c r="A596" s="104" t="n">
        <v>589</v>
      </c>
      <c r="B596" s="119" t="n"/>
      <c r="C596" s="119" t="n"/>
      <c r="D596" s="120" t="inlineStr">
        <is>
          <t>Розділ 38 - Усього</t>
        </is>
      </c>
      <c r="E596" s="116" t="n"/>
      <c r="F596" s="120" t="n"/>
      <c r="G596" s="116" t="n"/>
      <c r="H596" s="116" t="n"/>
      <c r="I596" s="120" t="n"/>
      <c r="J596" s="121" t="n">
        <v>84754919.44739</v>
      </c>
      <c r="K596" s="121" t="n">
        <v>84754919.44739</v>
      </c>
      <c r="L596" s="121" t="n">
        <v>0</v>
      </c>
      <c r="M596" s="121" t="n">
        <v>84499692.93075</v>
      </c>
      <c r="N596" s="116" t="n"/>
      <c r="O596" s="121" t="n">
        <v>84499692.93075</v>
      </c>
      <c r="P596" s="121" t="n">
        <v>0</v>
      </c>
      <c r="Q596" s="121" t="n">
        <v>0</v>
      </c>
      <c r="R596" s="121" t="n">
        <v>-359128.83258</v>
      </c>
      <c r="S596" s="122" t="n">
        <v>359128.83258</v>
      </c>
      <c r="T596" s="110" t="n"/>
    </row>
    <row r="597" ht="13.5" customHeight="1" s="52">
      <c r="A597" s="104" t="n">
        <v>590</v>
      </c>
      <c r="B597" s="119" t="n"/>
      <c r="C597" s="115" t="inlineStr">
        <is>
          <t>39</t>
        </is>
      </c>
      <c r="D597" s="115" t="inlineStr">
        <is>
          <t>390</t>
        </is>
      </c>
      <c r="E597" s="116" t="n"/>
      <c r="F597" s="115" t="inlineStr">
        <is>
          <t>3900</t>
        </is>
      </c>
      <c r="G597" s="116" t="n"/>
      <c r="H597" s="115" t="inlineStr">
        <is>
          <t>Рахунки філій, що відкриті в банку</t>
        </is>
      </c>
      <c r="I597" s="115" t="inlineStr">
        <is>
          <t>П</t>
        </is>
      </c>
      <c r="J597" s="117" t="n">
        <v>0</v>
      </c>
      <c r="K597" s="117" t="n">
        <v>0</v>
      </c>
      <c r="L597" s="117" t="n">
        <v>0</v>
      </c>
      <c r="M597" s="117" t="n">
        <v>0</v>
      </c>
      <c r="N597" s="116" t="n"/>
      <c r="O597" s="117" t="n">
        <v>0</v>
      </c>
      <c r="P597" s="117" t="n">
        <v>0</v>
      </c>
      <c r="Q597" s="117" t="n">
        <v>0</v>
      </c>
      <c r="R597" s="117" t="n">
        <v>0</v>
      </c>
      <c r="S597" s="118" t="n">
        <v>0</v>
      </c>
      <c r="T597" s="110" t="n"/>
    </row>
    <row r="598" ht="14.25" customHeight="1" s="52">
      <c r="A598" s="104" t="n">
        <v>591</v>
      </c>
      <c r="B598" s="119" t="n"/>
      <c r="C598" s="119" t="n"/>
      <c r="D598" s="119" t="n"/>
      <c r="F598" s="115" t="inlineStr">
        <is>
          <t>3901</t>
        </is>
      </c>
      <c r="G598" s="116" t="n"/>
      <c r="H598" s="115" t="inlineStr">
        <is>
          <t>Рахунки, що відкриті для філій банку</t>
        </is>
      </c>
      <c r="I598" s="115" t="inlineStr">
        <is>
          <t>П</t>
        </is>
      </c>
      <c r="J598" s="117" t="n">
        <v>0</v>
      </c>
      <c r="K598" s="117" t="n">
        <v>0</v>
      </c>
      <c r="L598" s="117" t="n">
        <v>0</v>
      </c>
      <c r="M598" s="117" t="n">
        <v>0</v>
      </c>
      <c r="N598" s="116" t="n"/>
      <c r="O598" s="117" t="n">
        <v>0</v>
      </c>
      <c r="P598" s="117" t="n">
        <v>0</v>
      </c>
      <c r="Q598" s="117" t="n">
        <v>0</v>
      </c>
      <c r="R598" s="117" t="n">
        <v>0</v>
      </c>
      <c r="S598" s="118" t="n">
        <v>0</v>
      </c>
      <c r="T598" s="110" t="n"/>
    </row>
    <row r="599" ht="13.5" customHeight="1" s="52">
      <c r="A599" s="104" t="n">
        <v>592</v>
      </c>
      <c r="B599" s="119" t="n"/>
      <c r="C599" s="119" t="n"/>
      <c r="D599" s="119" t="n"/>
      <c r="F599" s="115" t="inlineStr">
        <is>
          <t>3903</t>
        </is>
      </c>
      <c r="G599" s="116" t="n"/>
      <c r="H599" s="115" t="inlineStr">
        <is>
          <t>Розрахунки за коштами, що отримані від філій банку</t>
        </is>
      </c>
      <c r="I599" s="115" t="inlineStr">
        <is>
          <t>П</t>
        </is>
      </c>
      <c r="J599" s="117" t="n">
        <v>0</v>
      </c>
      <c r="K599" s="117" t="n">
        <v>0</v>
      </c>
      <c r="L599" s="117" t="n">
        <v>0</v>
      </c>
      <c r="M599" s="117" t="n">
        <v>0</v>
      </c>
      <c r="N599" s="116" t="n"/>
      <c r="O599" s="117" t="n">
        <v>0</v>
      </c>
      <c r="P599" s="117" t="n">
        <v>0</v>
      </c>
      <c r="Q599" s="117" t="n">
        <v>0</v>
      </c>
      <c r="R599" s="117" t="n">
        <v>0</v>
      </c>
      <c r="S599" s="118" t="n">
        <v>0</v>
      </c>
      <c r="T599" s="110" t="n"/>
    </row>
    <row r="600" ht="13.5" customHeight="1" s="52">
      <c r="A600" s="104" t="n">
        <v>593</v>
      </c>
      <c r="B600" s="119" t="n"/>
      <c r="C600" s="119" t="n"/>
      <c r="D600" s="119" t="n"/>
      <c r="F600" s="115" t="inlineStr">
        <is>
          <t>3905</t>
        </is>
      </c>
      <c r="G600" s="116" t="n"/>
      <c r="H600" s="115" t="inlineStr">
        <is>
          <t>Нараховані витрати за коштами, що отримані від філій банку</t>
        </is>
      </c>
      <c r="I600" s="115" t="inlineStr">
        <is>
          <t>П</t>
        </is>
      </c>
      <c r="J600" s="117" t="n">
        <v>0</v>
      </c>
      <c r="K600" s="117" t="n">
        <v>0</v>
      </c>
      <c r="L600" s="117" t="n">
        <v>0</v>
      </c>
      <c r="M600" s="117" t="n">
        <v>0</v>
      </c>
      <c r="N600" s="116" t="n"/>
      <c r="O600" s="117" t="n">
        <v>0</v>
      </c>
      <c r="P600" s="117" t="n">
        <v>0</v>
      </c>
      <c r="Q600" s="117" t="n">
        <v>0</v>
      </c>
      <c r="R600" s="117" t="n">
        <v>0</v>
      </c>
      <c r="S600" s="118" t="n">
        <v>0</v>
      </c>
      <c r="T600" s="110" t="n"/>
    </row>
    <row r="601" ht="13.5" customHeight="1" s="52">
      <c r="A601" s="104" t="n">
        <v>594</v>
      </c>
      <c r="B601" s="119" t="n"/>
      <c r="C601" s="119" t="n"/>
      <c r="D601" s="119" t="n"/>
      <c r="F601" s="115" t="inlineStr">
        <is>
          <t>3907</t>
        </is>
      </c>
      <c r="G601" s="116" t="n"/>
      <c r="H601" s="115" t="inlineStr">
        <is>
          <t>Кредиторська заборгованість за операціями з готівкою між філіями банку</t>
        </is>
      </c>
      <c r="I601" s="115" t="inlineStr">
        <is>
          <t>П</t>
        </is>
      </c>
      <c r="J601" s="117" t="n">
        <v>0</v>
      </c>
      <c r="K601" s="117" t="n">
        <v>0</v>
      </c>
      <c r="L601" s="117" t="n">
        <v>0</v>
      </c>
      <c r="M601" s="117" t="n">
        <v>0</v>
      </c>
      <c r="N601" s="116" t="n"/>
      <c r="O601" s="117" t="n">
        <v>0</v>
      </c>
      <c r="P601" s="117" t="n">
        <v>0</v>
      </c>
      <c r="Q601" s="117" t="n">
        <v>0</v>
      </c>
      <c r="R601" s="117" t="n">
        <v>0</v>
      </c>
      <c r="S601" s="118" t="n">
        <v>0</v>
      </c>
      <c r="T601" s="110" t="n"/>
    </row>
    <row r="602" ht="13.5" customHeight="1" s="52">
      <c r="A602" s="104" t="n">
        <v>595</v>
      </c>
      <c r="B602" s="119" t="n"/>
      <c r="C602" s="119" t="n"/>
      <c r="D602" s="119" t="n"/>
      <c r="F602" s="120" t="inlineStr">
        <is>
          <t>Група 390 - Усього</t>
        </is>
      </c>
      <c r="G602" s="116" t="n"/>
      <c r="H602" s="116" t="n"/>
      <c r="I602" s="120" t="n"/>
      <c r="J602" s="121" t="n">
        <v>0</v>
      </c>
      <c r="K602" s="121" t="n">
        <v>0</v>
      </c>
      <c r="L602" s="121" t="n">
        <v>0</v>
      </c>
      <c r="M602" s="121" t="n">
        <v>0</v>
      </c>
      <c r="N602" s="116" t="n"/>
      <c r="O602" s="121" t="n">
        <v>0</v>
      </c>
      <c r="P602" s="121" t="n">
        <v>0</v>
      </c>
      <c r="Q602" s="121" t="n">
        <v>0</v>
      </c>
      <c r="R602" s="121" t="n">
        <v>0</v>
      </c>
      <c r="S602" s="122" t="n">
        <v>0</v>
      </c>
      <c r="T602" s="110" t="n"/>
    </row>
    <row r="603" ht="24" customHeight="1" s="52">
      <c r="A603" s="104" t="n">
        <v>596</v>
      </c>
      <c r="B603" s="119" t="n"/>
      <c r="C603" s="119" t="n"/>
      <c r="D603" s="120" t="inlineStr">
        <is>
          <t>Розділ 39 - Усього</t>
        </is>
      </c>
      <c r="E603" s="116" t="n"/>
      <c r="F603" s="120" t="n"/>
      <c r="G603" s="116" t="n"/>
      <c r="H603" s="116" t="n"/>
      <c r="I603" s="120" t="n"/>
      <c r="J603" s="121" t="n">
        <v>0</v>
      </c>
      <c r="K603" s="121" t="n">
        <v>0</v>
      </c>
      <c r="L603" s="121" t="n">
        <v>0</v>
      </c>
      <c r="M603" s="121" t="n">
        <v>0</v>
      </c>
      <c r="N603" s="116" t="n"/>
      <c r="O603" s="121" t="n">
        <v>0</v>
      </c>
      <c r="P603" s="121" t="n">
        <v>0</v>
      </c>
      <c r="Q603" s="121" t="n">
        <v>0</v>
      </c>
      <c r="R603" s="121" t="n">
        <v>0</v>
      </c>
      <c r="S603" s="122" t="n">
        <v>0</v>
      </c>
      <c r="T603" s="110" t="n"/>
    </row>
    <row r="604" ht="18.75" customHeight="1" s="52">
      <c r="A604" s="104" t="n">
        <v>597</v>
      </c>
      <c r="B604" s="119" t="n"/>
      <c r="C604" s="120" t="inlineStr">
        <is>
          <t xml:space="preserve">  Клас 3 - Усього</t>
        </is>
      </c>
      <c r="D604" s="120" t="n"/>
      <c r="E604" s="116" t="n"/>
      <c r="F604" s="120" t="n"/>
      <c r="G604" s="116" t="n"/>
      <c r="H604" s="116" t="n"/>
      <c r="I604" s="120" t="n"/>
      <c r="J604" s="121" t="n">
        <v>165433864.04936</v>
      </c>
      <c r="K604" s="121" t="n">
        <v>106995049.84123</v>
      </c>
      <c r="L604" s="121" t="n">
        <v>58438814.20813</v>
      </c>
      <c r="M604" s="121" t="n">
        <v>164931195.46966</v>
      </c>
      <c r="N604" s="116" t="n"/>
      <c r="O604" s="121" t="n">
        <v>106804250.4529</v>
      </c>
      <c r="P604" s="121" t="n">
        <v>58126945.01676</v>
      </c>
      <c r="Q604" s="121" t="n">
        <v>5738071.90857</v>
      </c>
      <c r="R604" s="121" t="n">
        <v>283259.09667</v>
      </c>
      <c r="S604" s="122" t="n">
        <v>5454812.8119</v>
      </c>
      <c r="T604" s="110" t="n"/>
    </row>
    <row r="605" ht="35.25" customHeight="1" s="52">
      <c r="A605" s="104" t="n">
        <v>598</v>
      </c>
      <c r="B605" s="123" t="inlineStr">
        <is>
          <t xml:space="preserve">  Зобов'язання - Усього</t>
        </is>
      </c>
      <c r="C605" s="123" t="n"/>
      <c r="D605" s="123" t="n"/>
      <c r="E605" s="124" t="n"/>
      <c r="F605" s="123" t="n"/>
      <c r="G605" s="124" t="n"/>
      <c r="H605" s="124" t="n"/>
      <c r="I605" s="123" t="n"/>
      <c r="J605" s="125" t="n">
        <v>534482010.29055</v>
      </c>
      <c r="K605" s="125" t="n">
        <v>283766982.81064</v>
      </c>
      <c r="L605" s="125" t="n">
        <v>250715027.47991</v>
      </c>
      <c r="M605" s="125" t="n">
        <v>519782480.69044</v>
      </c>
      <c r="N605" s="124" t="n"/>
      <c r="O605" s="125" t="n">
        <v>282666464.01338</v>
      </c>
      <c r="P605" s="125" t="n">
        <v>237116016.67706</v>
      </c>
      <c r="Q605" s="125" t="n">
        <v>268230663.60697</v>
      </c>
      <c r="R605" s="125" t="n">
        <v>127222909.53747</v>
      </c>
      <c r="S605" s="126" t="n">
        <v>141007754.0695</v>
      </c>
      <c r="T605" s="110" t="n"/>
    </row>
    <row r="606" ht="16.5" customHeight="1" s="52">
      <c r="A606" s="104" t="n">
        <v>599</v>
      </c>
      <c r="B606" s="127" t="inlineStr">
        <is>
          <t>Клас 5</t>
        </is>
      </c>
      <c r="C606" s="106" t="n"/>
      <c r="D606" s="106" t="n"/>
      <c r="E606" s="106" t="n"/>
      <c r="F606" s="106" t="n"/>
      <c r="G606" s="106" t="n"/>
      <c r="H606" s="107" t="n"/>
      <c r="I606" s="108" t="n"/>
      <c r="J606" s="108" t="n"/>
      <c r="K606" s="108" t="n"/>
      <c r="L606" s="108" t="n"/>
      <c r="M606" s="109" t="n"/>
      <c r="N606" s="108" t="n"/>
      <c r="O606" s="108" t="n"/>
      <c r="P606" s="108" t="n"/>
      <c r="Q606" s="108" t="n"/>
      <c r="R606" s="108" t="n"/>
      <c r="S606" s="108" t="n"/>
      <c r="T606" s="110" t="n"/>
    </row>
    <row r="607" ht="15" customHeight="1" s="52">
      <c r="A607" s="104" t="n">
        <v>600</v>
      </c>
      <c r="B607" s="128" t="inlineStr">
        <is>
          <t>Капітал</t>
        </is>
      </c>
      <c r="H607" s="114" t="n"/>
      <c r="I607" s="129" t="n"/>
      <c r="J607" s="129" t="n"/>
      <c r="K607" s="129" t="n"/>
      <c r="L607" s="129" t="n"/>
      <c r="M607" s="130" t="n"/>
      <c r="N607" s="129" t="n"/>
      <c r="O607" s="129" t="n"/>
      <c r="P607" s="129" t="n"/>
      <c r="Q607" s="129" t="n"/>
      <c r="R607" s="129" t="n"/>
      <c r="S607" s="129" t="n"/>
      <c r="T607" s="110" t="n"/>
    </row>
    <row r="608" ht="13.5" customHeight="1" s="52">
      <c r="A608" s="104" t="n">
        <v>601</v>
      </c>
      <c r="B608" s="115" t="inlineStr">
        <is>
          <t>Клас 5</t>
        </is>
      </c>
      <c r="C608" s="115" t="inlineStr">
        <is>
          <t>50</t>
        </is>
      </c>
      <c r="D608" s="115" t="inlineStr">
        <is>
          <t>500</t>
        </is>
      </c>
      <c r="E608" s="116" t="n"/>
      <c r="F608" s="115" t="inlineStr">
        <is>
          <t>5000</t>
        </is>
      </c>
      <c r="G608" s="116" t="n"/>
      <c r="H608" s="115" t="inlineStr">
        <is>
          <t>Статутний капітал банку</t>
        </is>
      </c>
      <c r="I608" s="115" t="inlineStr">
        <is>
          <t>П</t>
        </is>
      </c>
      <c r="J608" s="117" t="n">
        <v>0</v>
      </c>
      <c r="K608" s="117" t="n">
        <v>0</v>
      </c>
      <c r="L608" s="117" t="n">
        <v>0</v>
      </c>
      <c r="M608" s="117" t="n">
        <v>0</v>
      </c>
      <c r="N608" s="116" t="n"/>
      <c r="O608" s="117" t="n">
        <v>0</v>
      </c>
      <c r="P608" s="117" t="n">
        <v>0</v>
      </c>
      <c r="Q608" s="117" t="n">
        <v>45570041.12424</v>
      </c>
      <c r="R608" s="117" t="n">
        <v>45570041.12424</v>
      </c>
      <c r="S608" s="118" t="n">
        <v>0</v>
      </c>
      <c r="T608" s="110" t="n"/>
    </row>
    <row r="609" ht="13.5" customHeight="1" s="52">
      <c r="A609" s="104" t="n">
        <v>602</v>
      </c>
      <c r="B609" s="119" t="n"/>
      <c r="C609" s="119" t="n"/>
      <c r="D609" s="119" t="n"/>
      <c r="F609" s="115" t="inlineStr">
        <is>
          <t>5002</t>
        </is>
      </c>
      <c r="G609" s="116" t="n"/>
      <c r="H609" s="115" t="inlineStr">
        <is>
          <t xml:space="preserve">Власні акції (частки, паї), що викуплені в акціонерів (власників) </t>
        </is>
      </c>
      <c r="I609" s="115" t="inlineStr">
        <is>
          <t>А</t>
        </is>
      </c>
      <c r="J609" s="117" t="n">
        <v>0</v>
      </c>
      <c r="K609" s="117" t="n">
        <v>0</v>
      </c>
      <c r="L609" s="117" t="n">
        <v>0</v>
      </c>
      <c r="M609" s="117" t="n">
        <v>0</v>
      </c>
      <c r="N609" s="116" t="n"/>
      <c r="O609" s="117" t="n">
        <v>0</v>
      </c>
      <c r="P609" s="117" t="n">
        <v>0</v>
      </c>
      <c r="Q609" s="117" t="n">
        <v>0</v>
      </c>
      <c r="R609" s="117" t="n">
        <v>0</v>
      </c>
      <c r="S609" s="118" t="n">
        <v>0</v>
      </c>
      <c r="T609" s="110" t="n"/>
    </row>
    <row r="610" ht="14.25" customHeight="1" s="52">
      <c r="A610" s="104" t="n">
        <v>603</v>
      </c>
      <c r="B610" s="119" t="n"/>
      <c r="C610" s="119" t="n"/>
      <c r="D610" s="119" t="n"/>
      <c r="F610" s="115" t="inlineStr">
        <is>
          <t>5004</t>
        </is>
      </c>
      <c r="G610" s="116" t="n"/>
      <c r="H610" s="115" t="inlineStr">
        <is>
          <t>Незареєстрований статутний капітал</t>
        </is>
      </c>
      <c r="I610" s="115" t="inlineStr">
        <is>
          <t>П</t>
        </is>
      </c>
      <c r="J610" s="117" t="n">
        <v>0</v>
      </c>
      <c r="K610" s="117" t="n">
        <v>0</v>
      </c>
      <c r="L610" s="117" t="n">
        <v>0</v>
      </c>
      <c r="M610" s="117" t="n">
        <v>0</v>
      </c>
      <c r="N610" s="116" t="n"/>
      <c r="O610" s="117" t="n">
        <v>0</v>
      </c>
      <c r="P610" s="117" t="n">
        <v>0</v>
      </c>
      <c r="Q610" s="117" t="n">
        <v>0</v>
      </c>
      <c r="R610" s="117" t="n">
        <v>0</v>
      </c>
      <c r="S610" s="118" t="n">
        <v>0</v>
      </c>
      <c r="T610" s="110" t="n"/>
    </row>
    <row r="611" ht="13.5" customHeight="1" s="52">
      <c r="A611" s="104" t="n">
        <v>604</v>
      </c>
      <c r="B611" s="119" t="n"/>
      <c r="C611" s="119" t="n"/>
      <c r="D611" s="119" t="n"/>
      <c r="F611" s="120" t="inlineStr">
        <is>
          <t>Група 500 - Усього</t>
        </is>
      </c>
      <c r="G611" s="116" t="n"/>
      <c r="H611" s="116" t="n"/>
      <c r="I611" s="120" t="n"/>
      <c r="J611" s="121" t="n">
        <v>0</v>
      </c>
      <c r="K611" s="121" t="n">
        <v>0</v>
      </c>
      <c r="L611" s="121" t="n">
        <v>0</v>
      </c>
      <c r="M611" s="121" t="n">
        <v>0</v>
      </c>
      <c r="N611" s="116" t="n"/>
      <c r="O611" s="121" t="n">
        <v>0</v>
      </c>
      <c r="P611" s="121" t="n">
        <v>0</v>
      </c>
      <c r="Q611" s="121" t="n">
        <v>45570041.12424</v>
      </c>
      <c r="R611" s="121" t="n">
        <v>45570041.12424</v>
      </c>
      <c r="S611" s="122" t="n">
        <v>0</v>
      </c>
      <c r="T611" s="110" t="n"/>
    </row>
    <row r="612" ht="13.5" customHeight="1" s="52">
      <c r="A612" s="104" t="n">
        <v>605</v>
      </c>
      <c r="B612" s="119" t="n"/>
      <c r="C612" s="119" t="n"/>
      <c r="D612" s="115" t="inlineStr">
        <is>
          <t>501</t>
        </is>
      </c>
      <c r="E612" s="116" t="n"/>
      <c r="F612" s="115" t="inlineStr">
        <is>
          <t>5010</t>
        </is>
      </c>
      <c r="G612" s="116" t="n"/>
      <c r="H612" s="115" t="inlineStr">
        <is>
          <t>Емісійні різниці</t>
        </is>
      </c>
      <c r="I612" s="115" t="inlineStr">
        <is>
          <t>П</t>
        </is>
      </c>
      <c r="J612" s="117" t="n">
        <v>0</v>
      </c>
      <c r="K612" s="117" t="n">
        <v>0</v>
      </c>
      <c r="L612" s="117" t="n">
        <v>0</v>
      </c>
      <c r="M612" s="117" t="n">
        <v>0</v>
      </c>
      <c r="N612" s="116" t="n"/>
      <c r="O612" s="117" t="n">
        <v>0</v>
      </c>
      <c r="P612" s="117" t="n">
        <v>0</v>
      </c>
      <c r="Q612" s="117" t="n">
        <v>0</v>
      </c>
      <c r="R612" s="117" t="n">
        <v>0</v>
      </c>
      <c r="S612" s="118" t="n">
        <v>0</v>
      </c>
      <c r="T612" s="110" t="n"/>
    </row>
    <row r="613" ht="13.5" customHeight="1" s="52">
      <c r="A613" s="104" t="n">
        <v>606</v>
      </c>
      <c r="B613" s="119" t="n"/>
      <c r="C613" s="119" t="n"/>
      <c r="D613" s="119" t="n"/>
      <c r="F613" s="115" t="inlineStr">
        <is>
          <t>5011</t>
        </is>
      </c>
      <c r="G613" s="116" t="n"/>
      <c r="H613" s="115" t="inlineStr">
        <is>
          <t>Операції з акціонерами (власниками)</t>
        </is>
      </c>
      <c r="I613" s="115" t="inlineStr">
        <is>
          <t>А</t>
        </is>
      </c>
      <c r="J613" s="117" t="n">
        <v>0</v>
      </c>
      <c r="K613" s="117" t="n">
        <v>0</v>
      </c>
      <c r="L613" s="117" t="n">
        <v>0</v>
      </c>
      <c r="M613" s="117" t="n">
        <v>0</v>
      </c>
      <c r="N613" s="116" t="n"/>
      <c r="O613" s="117" t="n">
        <v>0</v>
      </c>
      <c r="P613" s="117" t="n">
        <v>0</v>
      </c>
      <c r="Q613" s="117" t="n">
        <v>0</v>
      </c>
      <c r="R613" s="117" t="n">
        <v>0</v>
      </c>
      <c r="S613" s="118" t="n">
        <v>0</v>
      </c>
      <c r="T613" s="110" t="n"/>
    </row>
    <row r="614" ht="13.5" customHeight="1" s="52">
      <c r="A614" s="104" t="n">
        <v>607</v>
      </c>
      <c r="B614" s="119" t="n"/>
      <c r="C614" s="119" t="n"/>
      <c r="D614" s="119" t="n"/>
      <c r="F614" s="119" t="n"/>
      <c r="H614" s="119" t="n"/>
      <c r="I614" s="115" t="inlineStr">
        <is>
          <t>П</t>
        </is>
      </c>
      <c r="J614" s="117" t="n">
        <v>0</v>
      </c>
      <c r="K614" s="117" t="n">
        <v>0</v>
      </c>
      <c r="L614" s="117" t="n">
        <v>0</v>
      </c>
      <c r="M614" s="117" t="n">
        <v>0</v>
      </c>
      <c r="N614" s="116" t="n"/>
      <c r="O614" s="117" t="n">
        <v>0</v>
      </c>
      <c r="P614" s="117" t="n">
        <v>0</v>
      </c>
      <c r="Q614" s="117" t="n">
        <v>0</v>
      </c>
      <c r="R614" s="117" t="n">
        <v>0</v>
      </c>
      <c r="S614" s="118" t="n">
        <v>0</v>
      </c>
      <c r="T614" s="110" t="n"/>
    </row>
    <row r="615" ht="14.25" customHeight="1" s="52">
      <c r="A615" s="104" t="n">
        <v>608</v>
      </c>
      <c r="B615" s="119" t="n"/>
      <c r="C615" s="119" t="n"/>
      <c r="D615" s="119" t="n"/>
      <c r="F615" s="120" t="inlineStr">
        <is>
          <t>Група 501 - Усього</t>
        </is>
      </c>
      <c r="G615" s="116" t="n"/>
      <c r="H615" s="116" t="n"/>
      <c r="I615" s="120" t="n"/>
      <c r="J615" s="121" t="n">
        <v>0</v>
      </c>
      <c r="K615" s="121" t="n">
        <v>0</v>
      </c>
      <c r="L615" s="121" t="n">
        <v>0</v>
      </c>
      <c r="M615" s="121" t="n">
        <v>0</v>
      </c>
      <c r="N615" s="116" t="n"/>
      <c r="O615" s="121" t="n">
        <v>0</v>
      </c>
      <c r="P615" s="121" t="n">
        <v>0</v>
      </c>
      <c r="Q615" s="121" t="n">
        <v>0</v>
      </c>
      <c r="R615" s="121" t="n">
        <v>0</v>
      </c>
      <c r="S615" s="122" t="n">
        <v>0</v>
      </c>
      <c r="T615" s="110" t="n"/>
    </row>
    <row r="616" ht="13.5" customHeight="1" s="52">
      <c r="A616" s="104" t="n">
        <v>609</v>
      </c>
      <c r="B616" s="119" t="n"/>
      <c r="C616" s="119" t="n"/>
      <c r="D616" s="115" t="inlineStr">
        <is>
          <t>502</t>
        </is>
      </c>
      <c r="E616" s="116" t="n"/>
      <c r="F616" s="115" t="inlineStr">
        <is>
          <t>5020</t>
        </is>
      </c>
      <c r="G616" s="116" t="n"/>
      <c r="H616" s="115" t="inlineStr">
        <is>
          <t>Загальні резерви</t>
        </is>
      </c>
      <c r="I616" s="115" t="inlineStr">
        <is>
          <t>П</t>
        </is>
      </c>
      <c r="J616" s="117" t="n">
        <v>0</v>
      </c>
      <c r="K616" s="117" t="n">
        <v>0</v>
      </c>
      <c r="L616" s="117" t="n">
        <v>0</v>
      </c>
      <c r="M616" s="117" t="n">
        <v>0</v>
      </c>
      <c r="N616" s="116" t="n"/>
      <c r="O616" s="117" t="n">
        <v>0</v>
      </c>
      <c r="P616" s="117" t="n">
        <v>0</v>
      </c>
      <c r="Q616" s="117" t="n">
        <v>0</v>
      </c>
      <c r="R616" s="117" t="n">
        <v>0</v>
      </c>
      <c r="S616" s="118" t="n">
        <v>0</v>
      </c>
      <c r="T616" s="110" t="n"/>
    </row>
    <row r="617" ht="13.5" customHeight="1" s="52">
      <c r="A617" s="104" t="n">
        <v>610</v>
      </c>
      <c r="B617" s="119" t="n"/>
      <c r="C617" s="119" t="n"/>
      <c r="D617" s="119" t="n"/>
      <c r="F617" s="115" t="inlineStr">
        <is>
          <t>5021</t>
        </is>
      </c>
      <c r="G617" s="116" t="n"/>
      <c r="H617" s="115" t="inlineStr">
        <is>
          <t>Резервні фонди</t>
        </is>
      </c>
      <c r="I617" s="115" t="inlineStr">
        <is>
          <t>П</t>
        </is>
      </c>
      <c r="J617" s="117" t="n">
        <v>0</v>
      </c>
      <c r="K617" s="117" t="n">
        <v>0</v>
      </c>
      <c r="L617" s="117" t="n">
        <v>0</v>
      </c>
      <c r="M617" s="117" t="n">
        <v>0</v>
      </c>
      <c r="N617" s="116" t="n"/>
      <c r="O617" s="117" t="n">
        <v>0</v>
      </c>
      <c r="P617" s="117" t="n">
        <v>0</v>
      </c>
      <c r="Q617" s="117" t="n">
        <v>0</v>
      </c>
      <c r="R617" s="117" t="n">
        <v>0</v>
      </c>
      <c r="S617" s="118" t="n">
        <v>0</v>
      </c>
      <c r="T617" s="110" t="n"/>
    </row>
    <row r="618" ht="13.5" customHeight="1" s="52">
      <c r="A618" s="104" t="n">
        <v>611</v>
      </c>
      <c r="B618" s="119" t="n"/>
      <c r="C618" s="119" t="n"/>
      <c r="D618" s="119" t="n"/>
      <c r="F618" s="115" t="inlineStr">
        <is>
          <t>5022</t>
        </is>
      </c>
      <c r="G618" s="116" t="n"/>
      <c r="H618" s="115" t="inlineStr">
        <is>
          <t>Інші фонди банку</t>
        </is>
      </c>
      <c r="I618" s="115" t="inlineStr">
        <is>
          <t>П</t>
        </is>
      </c>
      <c r="J618" s="117" t="n">
        <v>0</v>
      </c>
      <c r="K618" s="117" t="n">
        <v>0</v>
      </c>
      <c r="L618" s="117" t="n">
        <v>0</v>
      </c>
      <c r="M618" s="117" t="n">
        <v>0</v>
      </c>
      <c r="N618" s="116" t="n"/>
      <c r="O618" s="117" t="n">
        <v>0</v>
      </c>
      <c r="P618" s="117" t="n">
        <v>0</v>
      </c>
      <c r="Q618" s="117" t="n">
        <v>0</v>
      </c>
      <c r="R618" s="117" t="n">
        <v>0</v>
      </c>
      <c r="S618" s="118" t="n">
        <v>0</v>
      </c>
      <c r="T618" s="110" t="n"/>
    </row>
    <row r="619" ht="13.5" customHeight="1" s="52">
      <c r="A619" s="104" t="n">
        <v>612</v>
      </c>
      <c r="B619" s="119" t="n"/>
      <c r="C619" s="119" t="n"/>
      <c r="D619" s="119" t="n"/>
      <c r="F619" s="120" t="inlineStr">
        <is>
          <t>Група 502 - Усього</t>
        </is>
      </c>
      <c r="G619" s="116" t="n"/>
      <c r="H619" s="116" t="n"/>
      <c r="I619" s="120" t="n"/>
      <c r="J619" s="121" t="n">
        <v>0</v>
      </c>
      <c r="K619" s="121" t="n">
        <v>0</v>
      </c>
      <c r="L619" s="121" t="n">
        <v>0</v>
      </c>
      <c r="M619" s="121" t="n">
        <v>0</v>
      </c>
      <c r="N619" s="116" t="n"/>
      <c r="O619" s="121" t="n">
        <v>0</v>
      </c>
      <c r="P619" s="121" t="n">
        <v>0</v>
      </c>
      <c r="Q619" s="121" t="n">
        <v>0</v>
      </c>
      <c r="R619" s="121" t="n">
        <v>0</v>
      </c>
      <c r="S619" s="122" t="n">
        <v>0</v>
      </c>
      <c r="T619" s="110" t="n"/>
    </row>
    <row r="620" ht="14.25" customHeight="1" s="52">
      <c r="A620" s="104" t="n">
        <v>613</v>
      </c>
      <c r="B620" s="119" t="n"/>
      <c r="C620" s="119" t="n"/>
      <c r="D620" s="115" t="inlineStr">
        <is>
          <t>503</t>
        </is>
      </c>
      <c r="E620" s="116" t="n"/>
      <c r="F620" s="115" t="inlineStr">
        <is>
          <t>5030</t>
        </is>
      </c>
      <c r="G620" s="116" t="n"/>
      <c r="H620" s="115" t="inlineStr">
        <is>
          <t>Нерозподілені прибутки минулих років</t>
        </is>
      </c>
      <c r="I620" s="115" t="inlineStr">
        <is>
          <t>П</t>
        </is>
      </c>
      <c r="J620" s="117" t="n">
        <v>0</v>
      </c>
      <c r="K620" s="117" t="n">
        <v>0</v>
      </c>
      <c r="L620" s="117" t="n">
        <v>0</v>
      </c>
      <c r="M620" s="117" t="n">
        <v>1417.12692</v>
      </c>
      <c r="N620" s="116" t="n"/>
      <c r="O620" s="117" t="n">
        <v>1417.12692</v>
      </c>
      <c r="P620" s="117" t="n">
        <v>0</v>
      </c>
      <c r="Q620" s="117" t="n">
        <v>16751.34742</v>
      </c>
      <c r="R620" s="117" t="n">
        <v>16751.34742</v>
      </c>
      <c r="S620" s="118" t="n">
        <v>0</v>
      </c>
      <c r="T620" s="110" t="n"/>
    </row>
    <row r="621" ht="13.5" customHeight="1" s="52">
      <c r="A621" s="104" t="n">
        <v>614</v>
      </c>
      <c r="B621" s="119" t="n"/>
      <c r="C621" s="119" t="n"/>
      <c r="D621" s="119" t="n"/>
      <c r="F621" s="115" t="inlineStr">
        <is>
          <t>5031</t>
        </is>
      </c>
      <c r="G621" s="116" t="n"/>
      <c r="H621" s="115" t="inlineStr">
        <is>
          <t>Непокриті збитки минулих років</t>
        </is>
      </c>
      <c r="I621" s="115" t="inlineStr">
        <is>
          <t>А</t>
        </is>
      </c>
      <c r="J621" s="117" t="n">
        <v>0</v>
      </c>
      <c r="K621" s="117" t="n">
        <v>0</v>
      </c>
      <c r="L621" s="117" t="n">
        <v>0</v>
      </c>
      <c r="M621" s="117" t="n">
        <v>0</v>
      </c>
      <c r="N621" s="116" t="n"/>
      <c r="O621" s="117" t="n">
        <v>0</v>
      </c>
      <c r="P621" s="117" t="n">
        <v>0</v>
      </c>
      <c r="Q621" s="117" t="n">
        <v>-36498893.50551</v>
      </c>
      <c r="R621" s="117" t="n">
        <v>-36498893.50551</v>
      </c>
      <c r="S621" s="118" t="n">
        <v>0</v>
      </c>
      <c r="T621" s="110" t="n"/>
    </row>
    <row r="622" ht="13.5" customHeight="1" s="52">
      <c r="A622" s="104" t="n">
        <v>615</v>
      </c>
      <c r="B622" s="119" t="n"/>
      <c r="C622" s="119" t="n"/>
      <c r="D622" s="119" t="n"/>
      <c r="F622" s="120" t="inlineStr">
        <is>
          <t>Група 503 - Усього</t>
        </is>
      </c>
      <c r="G622" s="116" t="n"/>
      <c r="H622" s="116" t="n"/>
      <c r="I622" s="120" t="n"/>
      <c r="J622" s="121" t="n">
        <v>0</v>
      </c>
      <c r="K622" s="121" t="n">
        <v>0</v>
      </c>
      <c r="L622" s="121" t="n">
        <v>0</v>
      </c>
      <c r="M622" s="121" t="n">
        <v>1417.12692</v>
      </c>
      <c r="N622" s="116" t="n"/>
      <c r="O622" s="121" t="n">
        <v>1417.12692</v>
      </c>
      <c r="P622" s="121" t="n">
        <v>0</v>
      </c>
      <c r="Q622" s="121" t="n">
        <v>-36482142.15809</v>
      </c>
      <c r="R622" s="121" t="n">
        <v>-36482142.15809</v>
      </c>
      <c r="S622" s="122" t="n">
        <v>0</v>
      </c>
      <c r="T622" s="110" t="n"/>
    </row>
    <row r="623" ht="13.5" customHeight="1" s="52">
      <c r="A623" s="104" t="n">
        <v>616</v>
      </c>
      <c r="B623" s="119" t="n"/>
      <c r="C623" s="119" t="n"/>
      <c r="D623" s="115" t="inlineStr">
        <is>
          <t>504</t>
        </is>
      </c>
      <c r="E623" s="116" t="n"/>
      <c r="F623" s="115" t="inlineStr">
        <is>
          <t>5040</t>
        </is>
      </c>
      <c r="G623" s="116" t="n"/>
      <c r="H623" s="115" t="inlineStr">
        <is>
          <t xml:space="preserve">Прибуток звітного року </t>
        </is>
      </c>
      <c r="I623" s="115" t="inlineStr">
        <is>
          <t>П</t>
        </is>
      </c>
      <c r="J623" s="117" t="n">
        <v>0</v>
      </c>
      <c r="K623" s="117" t="n">
        <v>0</v>
      </c>
      <c r="L623" s="117" t="n">
        <v>0</v>
      </c>
      <c r="M623" s="117" t="n">
        <v>0</v>
      </c>
      <c r="N623" s="116" t="n"/>
      <c r="O623" s="117" t="n">
        <v>0</v>
      </c>
      <c r="P623" s="117" t="n">
        <v>0</v>
      </c>
      <c r="Q623" s="117" t="n">
        <v>0</v>
      </c>
      <c r="R623" s="117" t="n">
        <v>0</v>
      </c>
      <c r="S623" s="118" t="n">
        <v>0</v>
      </c>
      <c r="T623" s="110" t="n"/>
    </row>
    <row r="624" ht="13.5" customHeight="1" s="52">
      <c r="A624" s="104" t="n">
        <v>617</v>
      </c>
      <c r="B624" s="119" t="n"/>
      <c r="C624" s="119" t="n"/>
      <c r="D624" s="119" t="n"/>
      <c r="F624" s="115" t="inlineStr">
        <is>
          <t>5041</t>
        </is>
      </c>
      <c r="G624" s="116" t="n"/>
      <c r="H624" s="115" t="inlineStr">
        <is>
          <t>Збиток звітного року</t>
        </is>
      </c>
      <c r="I624" s="115" t="inlineStr">
        <is>
          <t>А</t>
        </is>
      </c>
      <c r="J624" s="117" t="n">
        <v>0</v>
      </c>
      <c r="K624" s="117" t="n">
        <v>0</v>
      </c>
      <c r="L624" s="117" t="n">
        <v>0</v>
      </c>
      <c r="M624" s="117" t="n">
        <v>0</v>
      </c>
      <c r="N624" s="116" t="n"/>
      <c r="O624" s="117" t="n">
        <v>0</v>
      </c>
      <c r="P624" s="117" t="n">
        <v>0</v>
      </c>
      <c r="Q624" s="117" t="n">
        <v>0</v>
      </c>
      <c r="R624" s="117" t="n">
        <v>0</v>
      </c>
      <c r="S624" s="118" t="n">
        <v>0</v>
      </c>
      <c r="T624" s="110" t="n"/>
    </row>
    <row r="625" ht="14.25" customHeight="1" s="52">
      <c r="A625" s="104" t="n">
        <v>618</v>
      </c>
      <c r="B625" s="119" t="n"/>
      <c r="C625" s="119" t="n"/>
      <c r="D625" s="119" t="n"/>
      <c r="F625" s="120" t="inlineStr">
        <is>
          <t>Група 504 - Усього</t>
        </is>
      </c>
      <c r="G625" s="116" t="n"/>
      <c r="H625" s="116" t="n"/>
      <c r="I625" s="120" t="n"/>
      <c r="J625" s="121" t="n">
        <v>0</v>
      </c>
      <c r="K625" s="121" t="n">
        <v>0</v>
      </c>
      <c r="L625" s="121" t="n">
        <v>0</v>
      </c>
      <c r="M625" s="121" t="n">
        <v>0</v>
      </c>
      <c r="N625" s="116" t="n"/>
      <c r="O625" s="121" t="n">
        <v>0</v>
      </c>
      <c r="P625" s="121" t="n">
        <v>0</v>
      </c>
      <c r="Q625" s="121" t="n">
        <v>0</v>
      </c>
      <c r="R625" s="121" t="n">
        <v>0</v>
      </c>
      <c r="S625" s="122" t="n">
        <v>0</v>
      </c>
      <c r="T625" s="110" t="n"/>
    </row>
    <row r="626" ht="19.5" customHeight="1" s="52">
      <c r="A626" s="104" t="n">
        <v>619</v>
      </c>
      <c r="B626" s="119" t="n"/>
      <c r="C626" s="119" t="n"/>
      <c r="D626" s="120" t="inlineStr">
        <is>
          <t>Розділ 50 - Усього</t>
        </is>
      </c>
      <c r="E626" s="116" t="n"/>
      <c r="F626" s="120" t="n"/>
      <c r="G626" s="116" t="n"/>
      <c r="H626" s="116" t="n"/>
      <c r="I626" s="120" t="n"/>
      <c r="J626" s="121" t="n">
        <v>0</v>
      </c>
      <c r="K626" s="121" t="n">
        <v>0</v>
      </c>
      <c r="L626" s="121" t="n">
        <v>0</v>
      </c>
      <c r="M626" s="121" t="n">
        <v>1417.12692</v>
      </c>
      <c r="N626" s="116" t="n"/>
      <c r="O626" s="121" t="n">
        <v>1417.12692</v>
      </c>
      <c r="P626" s="121" t="n">
        <v>0</v>
      </c>
      <c r="Q626" s="121" t="n">
        <v>9087898.966150001</v>
      </c>
      <c r="R626" s="121" t="n">
        <v>9087898.966150001</v>
      </c>
      <c r="S626" s="122" t="n">
        <v>0</v>
      </c>
      <c r="T626" s="110" t="n"/>
    </row>
    <row r="627" ht="13.5" customHeight="1" s="52">
      <c r="A627" s="104" t="n">
        <v>620</v>
      </c>
      <c r="B627" s="119" t="n"/>
      <c r="C627" s="115" t="inlineStr">
        <is>
          <t>51</t>
        </is>
      </c>
      <c r="D627" s="115" t="inlineStr">
        <is>
          <t>510</t>
        </is>
      </c>
      <c r="E627" s="116" t="n"/>
      <c r="F627" s="115" t="inlineStr">
        <is>
          <t>5100</t>
        </is>
      </c>
      <c r="G627" s="116" t="n"/>
      <c r="H627" s="115" t="inlineStr">
        <is>
          <t>Результати переоцінки основних засобів</t>
        </is>
      </c>
      <c r="I627" s="115" t="inlineStr">
        <is>
          <t>П</t>
        </is>
      </c>
      <c r="J627" s="117" t="n">
        <v>1417.12692</v>
      </c>
      <c r="K627" s="117" t="n">
        <v>1417.12692</v>
      </c>
      <c r="L627" s="117" t="n">
        <v>0</v>
      </c>
      <c r="M627" s="117" t="n">
        <v>0</v>
      </c>
      <c r="N627" s="116" t="n"/>
      <c r="O627" s="117" t="n">
        <v>0</v>
      </c>
      <c r="P627" s="117" t="n">
        <v>0</v>
      </c>
      <c r="Q627" s="117" t="n">
        <v>798026.40741</v>
      </c>
      <c r="R627" s="117" t="n">
        <v>798026.40741</v>
      </c>
      <c r="S627" s="118" t="n">
        <v>0</v>
      </c>
      <c r="T627" s="110" t="n"/>
    </row>
    <row r="628" ht="13.5" customHeight="1" s="52">
      <c r="A628" s="104" t="n">
        <v>621</v>
      </c>
      <c r="B628" s="119" t="n"/>
      <c r="C628" s="119" t="n"/>
      <c r="D628" s="119" t="n"/>
      <c r="F628" s="115" t="inlineStr">
        <is>
          <t>5102</t>
        </is>
      </c>
      <c r="G628" s="116" t="n"/>
      <c r="H628" s="115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8" s="115" t="inlineStr">
        <is>
          <t>А</t>
        </is>
      </c>
      <c r="J628" s="117" t="n">
        <v>126706.94988</v>
      </c>
      <c r="K628" s="117" t="n">
        <v>126706.94988</v>
      </c>
      <c r="L628" s="117" t="n">
        <v>0</v>
      </c>
      <c r="M628" s="117" t="n">
        <v>116132.23044</v>
      </c>
      <c r="N628" s="116" t="n"/>
      <c r="O628" s="117" t="n">
        <v>116132.23044</v>
      </c>
      <c r="P628" s="117" t="n">
        <v>0</v>
      </c>
      <c r="Q628" s="117" t="n">
        <v>0</v>
      </c>
      <c r="R628" s="117" t="n">
        <v>0</v>
      </c>
      <c r="S628" s="118" t="n">
        <v>0</v>
      </c>
      <c r="T628" s="110" t="n"/>
    </row>
    <row r="629" ht="13.5" customHeight="1" s="52">
      <c r="A629" s="104" t="n">
        <v>622</v>
      </c>
      <c r="B629" s="119" t="n"/>
      <c r="C629" s="119" t="n"/>
      <c r="D629" s="119" t="n"/>
      <c r="F629" s="119" t="n"/>
      <c r="H629" s="119" t="n"/>
      <c r="I629" s="115" t="inlineStr">
        <is>
          <t>П</t>
        </is>
      </c>
      <c r="J629" s="117" t="n">
        <v>0</v>
      </c>
      <c r="K629" s="117" t="n">
        <v>0</v>
      </c>
      <c r="L629" s="117" t="n">
        <v>0</v>
      </c>
      <c r="M629" s="117" t="n">
        <v>0</v>
      </c>
      <c r="N629" s="116" t="n"/>
      <c r="O629" s="117" t="n">
        <v>0</v>
      </c>
      <c r="P629" s="117" t="n">
        <v>0</v>
      </c>
      <c r="Q629" s="117" t="n">
        <v>95248.72366</v>
      </c>
      <c r="R629" s="117" t="n">
        <v>95248.72366</v>
      </c>
      <c r="S629" s="118" t="n">
        <v>0</v>
      </c>
      <c r="T629" s="110" t="n"/>
    </row>
    <row r="630" ht="14.25" customHeight="1" s="52">
      <c r="A630" s="104" t="n">
        <v>623</v>
      </c>
      <c r="B630" s="119" t="n"/>
      <c r="C630" s="119" t="n"/>
      <c r="D630" s="119" t="n"/>
      <c r="F630" s="115" t="inlineStr">
        <is>
          <t>5105</t>
        </is>
      </c>
      <c r="G630" s="116" t="n"/>
      <c r="H630" s="115" t="inlineStr">
        <is>
          <t>Результати коригування вартості фінансових інструментів за операціями з акціонерами</t>
        </is>
      </c>
      <c r="I630" s="115" t="inlineStr">
        <is>
          <t>А</t>
        </is>
      </c>
      <c r="J630" s="117" t="n">
        <v>0</v>
      </c>
      <c r="K630" s="117" t="n">
        <v>0</v>
      </c>
      <c r="L630" s="117" t="n">
        <v>0</v>
      </c>
      <c r="M630" s="117" t="n">
        <v>0</v>
      </c>
      <c r="N630" s="116" t="n"/>
      <c r="O630" s="117" t="n">
        <v>0</v>
      </c>
      <c r="P630" s="117" t="n">
        <v>0</v>
      </c>
      <c r="Q630" s="117" t="n">
        <v>0</v>
      </c>
      <c r="R630" s="117" t="n">
        <v>0</v>
      </c>
      <c r="S630" s="118" t="n">
        <v>0</v>
      </c>
      <c r="T630" s="110" t="n"/>
    </row>
    <row r="631" ht="13.5" customHeight="1" s="52">
      <c r="A631" s="104" t="n">
        <v>624</v>
      </c>
      <c r="B631" s="119" t="n"/>
      <c r="C631" s="119" t="n"/>
      <c r="D631" s="119" t="n"/>
      <c r="F631" s="119" t="n"/>
      <c r="H631" s="119" t="n"/>
      <c r="I631" s="115" t="inlineStr">
        <is>
          <t>П</t>
        </is>
      </c>
      <c r="J631" s="117" t="n">
        <v>0</v>
      </c>
      <c r="K631" s="117" t="n">
        <v>0</v>
      </c>
      <c r="L631" s="117" t="n">
        <v>0</v>
      </c>
      <c r="M631" s="117" t="n">
        <v>0</v>
      </c>
      <c r="N631" s="116" t="n"/>
      <c r="O631" s="117" t="n">
        <v>0</v>
      </c>
      <c r="P631" s="117" t="n">
        <v>0</v>
      </c>
      <c r="Q631" s="117" t="n">
        <v>635103.73016</v>
      </c>
      <c r="R631" s="117" t="n">
        <v>635103.73016</v>
      </c>
      <c r="S631" s="118" t="n">
        <v>0</v>
      </c>
      <c r="T631" s="110" t="n"/>
    </row>
    <row r="632" ht="13.5" customHeight="1" s="52">
      <c r="A632" s="104" t="n">
        <v>625</v>
      </c>
      <c r="B632" s="119" t="n"/>
      <c r="C632" s="119" t="n"/>
      <c r="D632" s="119" t="n"/>
      <c r="F632" s="115" t="inlineStr">
        <is>
          <t>5106</t>
        </is>
      </c>
      <c r="G632" s="116" t="n"/>
      <c r="H632" s="115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32" s="115" t="inlineStr">
        <is>
          <t>А</t>
        </is>
      </c>
      <c r="J632" s="117" t="n">
        <v>0</v>
      </c>
      <c r="K632" s="117" t="n">
        <v>0</v>
      </c>
      <c r="L632" s="117" t="n">
        <v>0</v>
      </c>
      <c r="M632" s="117" t="n">
        <v>0</v>
      </c>
      <c r="N632" s="116" t="n"/>
      <c r="O632" s="117" t="n">
        <v>0</v>
      </c>
      <c r="P632" s="117" t="n">
        <v>0</v>
      </c>
      <c r="Q632" s="117" t="n">
        <v>-53423.04069</v>
      </c>
      <c r="R632" s="117" t="n">
        <v>-53423.04069</v>
      </c>
      <c r="S632" s="118" t="n">
        <v>0</v>
      </c>
      <c r="T632" s="110" t="n"/>
    </row>
    <row r="633" ht="13.5" customHeight="1" s="52">
      <c r="A633" s="104" t="n">
        <v>626</v>
      </c>
      <c r="B633" s="119" t="n"/>
      <c r="C633" s="119" t="n"/>
      <c r="D633" s="119" t="n"/>
      <c r="F633" s="119" t="n"/>
      <c r="H633" s="119" t="n"/>
      <c r="I633" s="115" t="inlineStr">
        <is>
          <t>П</t>
        </is>
      </c>
      <c r="J633" s="117" t="n">
        <v>0</v>
      </c>
      <c r="K633" s="117" t="n">
        <v>0</v>
      </c>
      <c r="L633" s="117" t="n">
        <v>0</v>
      </c>
      <c r="M633" s="117" t="n">
        <v>0</v>
      </c>
      <c r="N633" s="116" t="n"/>
      <c r="O633" s="117" t="n">
        <v>0</v>
      </c>
      <c r="P633" s="117" t="n">
        <v>0</v>
      </c>
      <c r="Q633" s="117" t="n">
        <v>0</v>
      </c>
      <c r="R633" s="117" t="n">
        <v>0</v>
      </c>
      <c r="S633" s="118" t="n">
        <v>0</v>
      </c>
      <c r="T633" s="110" t="n"/>
    </row>
    <row r="634" ht="13.5" customHeight="1" s="52">
      <c r="A634" s="104" t="n">
        <v>627</v>
      </c>
      <c r="B634" s="119" t="n"/>
      <c r="C634" s="119" t="n"/>
      <c r="D634" s="119" t="n"/>
      <c r="F634" s="120" t="inlineStr">
        <is>
          <t>Група 510 - Усього</t>
        </is>
      </c>
      <c r="G634" s="116" t="n"/>
      <c r="H634" s="116" t="n"/>
      <c r="I634" s="120" t="n"/>
      <c r="J634" s="121" t="n">
        <v>128124.0768</v>
      </c>
      <c r="K634" s="121" t="n">
        <v>128124.0768</v>
      </c>
      <c r="L634" s="121" t="n">
        <v>0</v>
      </c>
      <c r="M634" s="121" t="n">
        <v>116132.23044</v>
      </c>
      <c r="N634" s="116" t="n"/>
      <c r="O634" s="121" t="n">
        <v>116132.23044</v>
      </c>
      <c r="P634" s="121" t="n">
        <v>0</v>
      </c>
      <c r="Q634" s="121" t="n">
        <v>1474955.82054</v>
      </c>
      <c r="R634" s="121" t="n">
        <v>1474955.82054</v>
      </c>
      <c r="S634" s="122" t="n">
        <v>0</v>
      </c>
      <c r="T634" s="110" t="n"/>
    </row>
    <row r="635" ht="24" customHeight="1" s="52">
      <c r="A635" s="104" t="n">
        <v>628</v>
      </c>
      <c r="B635" s="119" t="n"/>
      <c r="C635" s="119" t="n"/>
      <c r="D635" s="120" t="inlineStr">
        <is>
          <t>Розділ 51 - Усього</t>
        </is>
      </c>
      <c r="E635" s="116" t="n"/>
      <c r="F635" s="120" t="n"/>
      <c r="G635" s="116" t="n"/>
      <c r="H635" s="116" t="n"/>
      <c r="I635" s="120" t="n"/>
      <c r="J635" s="121" t="n">
        <v>128124.0768</v>
      </c>
      <c r="K635" s="121" t="n">
        <v>128124.0768</v>
      </c>
      <c r="L635" s="121" t="n">
        <v>0</v>
      </c>
      <c r="M635" s="121" t="n">
        <v>116132.23044</v>
      </c>
      <c r="N635" s="116" t="n"/>
      <c r="O635" s="121" t="n">
        <v>116132.23044</v>
      </c>
      <c r="P635" s="121" t="n">
        <v>0</v>
      </c>
      <c r="Q635" s="121" t="n">
        <v>1474955.82054</v>
      </c>
      <c r="R635" s="121" t="n">
        <v>1474955.82054</v>
      </c>
      <c r="S635" s="122" t="n">
        <v>0</v>
      </c>
      <c r="T635" s="110" t="n"/>
    </row>
    <row r="636" ht="13.5" customHeight="1" s="52">
      <c r="A636" s="104" t="n">
        <v>629</v>
      </c>
      <c r="B636" s="119" t="n"/>
      <c r="C636" s="115" t="inlineStr">
        <is>
          <t>59</t>
        </is>
      </c>
      <c r="D636" s="115" t="inlineStr">
        <is>
          <t>599</t>
        </is>
      </c>
      <c r="E636" s="116" t="n"/>
      <c r="F636" s="115" t="inlineStr">
        <is>
          <t>5999</t>
        </is>
      </c>
      <c r="G636" s="116" t="n"/>
      <c r="H636" s="115" t="inlineStr">
        <is>
          <t>5999</t>
        </is>
      </c>
      <c r="I636" s="115" t="inlineStr">
        <is>
          <t>П</t>
        </is>
      </c>
      <c r="J636" s="117" t="n">
        <v>0</v>
      </c>
      <c r="K636" s="117" t="n">
        <v>0</v>
      </c>
      <c r="L636" s="117" t="n">
        <v>0</v>
      </c>
      <c r="M636" s="117" t="n">
        <v>0</v>
      </c>
      <c r="N636" s="116" t="n"/>
      <c r="O636" s="117" t="n">
        <v>0</v>
      </c>
      <c r="P636" s="117" t="n">
        <v>0</v>
      </c>
      <c r="Q636" s="117" t="n">
        <v>8453586.72724</v>
      </c>
      <c r="R636" s="117" t="n">
        <v>8453586.72724</v>
      </c>
      <c r="S636" s="118" t="n">
        <v>0</v>
      </c>
      <c r="T636" s="110" t="n"/>
    </row>
    <row r="637" ht="13.5" customHeight="1" s="52">
      <c r="A637" s="104" t="n">
        <v>630</v>
      </c>
      <c r="B637" s="119" t="n"/>
      <c r="C637" s="119" t="n"/>
      <c r="D637" s="119" t="n"/>
      <c r="F637" s="120" t="inlineStr">
        <is>
          <t>Група 599 - Усього</t>
        </is>
      </c>
      <c r="G637" s="116" t="n"/>
      <c r="H637" s="116" t="n"/>
      <c r="I637" s="120" t="n"/>
      <c r="J637" s="121" t="n">
        <v>0</v>
      </c>
      <c r="K637" s="121" t="n">
        <v>0</v>
      </c>
      <c r="L637" s="121" t="n">
        <v>0</v>
      </c>
      <c r="M637" s="121" t="n">
        <v>0</v>
      </c>
      <c r="N637" s="116" t="n"/>
      <c r="O637" s="121" t="n">
        <v>0</v>
      </c>
      <c r="P637" s="121" t="n">
        <v>0</v>
      </c>
      <c r="Q637" s="121" t="n">
        <v>8453586.72724</v>
      </c>
      <c r="R637" s="121" t="n">
        <v>8453586.72724</v>
      </c>
      <c r="S637" s="122" t="n">
        <v>0</v>
      </c>
      <c r="T637" s="110" t="n"/>
    </row>
    <row r="638" ht="18" customHeight="1" s="52">
      <c r="A638" s="104" t="n">
        <v>631</v>
      </c>
      <c r="B638" s="119" t="n"/>
      <c r="C638" s="119" t="n"/>
      <c r="D638" s="120" t="inlineStr">
        <is>
          <t>Розділ 59 - Усього</t>
        </is>
      </c>
      <c r="E638" s="116" t="n"/>
      <c r="F638" s="120" t="n"/>
      <c r="G638" s="116" t="n"/>
      <c r="H638" s="116" t="n"/>
      <c r="I638" s="120" t="n"/>
      <c r="J638" s="121" t="n">
        <v>0</v>
      </c>
      <c r="K638" s="121" t="n">
        <v>0</v>
      </c>
      <c r="L638" s="121" t="n">
        <v>0</v>
      </c>
      <c r="M638" s="121" t="n">
        <v>0</v>
      </c>
      <c r="N638" s="116" t="n"/>
      <c r="O638" s="121" t="n">
        <v>0</v>
      </c>
      <c r="P638" s="121" t="n">
        <v>0</v>
      </c>
      <c r="Q638" s="121" t="n">
        <v>8453586.72724</v>
      </c>
      <c r="R638" s="121" t="n">
        <v>8453586.72724</v>
      </c>
      <c r="S638" s="122" t="n">
        <v>0</v>
      </c>
      <c r="T638" s="110" t="n"/>
    </row>
    <row r="639" ht="18" customHeight="1" s="52">
      <c r="A639" s="104" t="n">
        <v>632</v>
      </c>
      <c r="B639" s="119" t="n"/>
      <c r="C639" s="120" t="inlineStr">
        <is>
          <t xml:space="preserve">  Клас 5 - Усього</t>
        </is>
      </c>
      <c r="D639" s="120" t="n"/>
      <c r="E639" s="116" t="n"/>
      <c r="F639" s="120" t="n"/>
      <c r="G639" s="116" t="n"/>
      <c r="H639" s="116" t="n"/>
      <c r="I639" s="120" t="n"/>
      <c r="J639" s="121" t="n">
        <v>128124.0768</v>
      </c>
      <c r="K639" s="121" t="n">
        <v>128124.0768</v>
      </c>
      <c r="L639" s="121" t="n">
        <v>0</v>
      </c>
      <c r="M639" s="121" t="n">
        <v>117549.35736</v>
      </c>
      <c r="N639" s="116" t="n"/>
      <c r="O639" s="121" t="n">
        <v>117549.35736</v>
      </c>
      <c r="P639" s="121" t="n">
        <v>0</v>
      </c>
      <c r="Q639" s="121" t="n">
        <v>19016441.51393</v>
      </c>
      <c r="R639" s="121" t="n">
        <v>19016441.51393</v>
      </c>
      <c r="S639" s="122" t="n">
        <v>0</v>
      </c>
      <c r="T639" s="110" t="n"/>
    </row>
    <row r="640" ht="27" customHeight="1" s="52">
      <c r="A640" s="104" t="n">
        <v>633</v>
      </c>
      <c r="B640" s="123" t="inlineStr">
        <is>
          <t xml:space="preserve">  Капітал - Усього</t>
        </is>
      </c>
      <c r="C640" s="123" t="n"/>
      <c r="D640" s="123" t="n"/>
      <c r="E640" s="124" t="n"/>
      <c r="F640" s="123" t="n"/>
      <c r="G640" s="124" t="n"/>
      <c r="H640" s="124" t="n"/>
      <c r="I640" s="123" t="n"/>
      <c r="J640" s="125" t="n">
        <v>128124.0768</v>
      </c>
      <c r="K640" s="125" t="n">
        <v>128124.0768</v>
      </c>
      <c r="L640" s="125" t="n">
        <v>0</v>
      </c>
      <c r="M640" s="125" t="n">
        <v>117549.35736</v>
      </c>
      <c r="N640" s="124" t="n"/>
      <c r="O640" s="125" t="n">
        <v>117549.35736</v>
      </c>
      <c r="P640" s="125" t="n">
        <v>0</v>
      </c>
      <c r="Q640" s="125" t="n">
        <v>19016441.51393</v>
      </c>
      <c r="R640" s="125" t="n">
        <v>19016441.51393</v>
      </c>
      <c r="S640" s="126" t="n">
        <v>0</v>
      </c>
      <c r="T640" s="110" t="n"/>
    </row>
    <row r="641" ht="12" customHeight="1" s="52">
      <c r="A641" s="104" t="n">
        <v>634</v>
      </c>
      <c r="B641" s="131" t="inlineStr">
        <is>
          <t>Пасиви - усього</t>
        </is>
      </c>
      <c r="C641" s="106" t="n"/>
      <c r="D641" s="106" t="n"/>
      <c r="E641" s="106" t="n"/>
      <c r="F641" s="106" t="n"/>
      <c r="G641" s="106" t="n"/>
      <c r="H641" s="106" t="n"/>
      <c r="I641" s="106" t="n"/>
      <c r="J641" s="132" t="n">
        <v>534610134.36735</v>
      </c>
      <c r="K641" s="132" t="n">
        <v>283895106.88744</v>
      </c>
      <c r="L641" s="132" t="n">
        <v>250715027.47991</v>
      </c>
      <c r="M641" s="132" t="n">
        <v>519900030.0478</v>
      </c>
      <c r="N641" s="124" t="n"/>
      <c r="O641" s="132" t="n">
        <v>282784013.37074</v>
      </c>
      <c r="P641" s="132" t="n">
        <v>237116016.67706</v>
      </c>
      <c r="Q641" s="132" t="n">
        <v>287247105.1209</v>
      </c>
      <c r="R641" s="132" t="n">
        <v>146239351.0514</v>
      </c>
      <c r="S641" s="133" t="n">
        <v>141007754.0695</v>
      </c>
      <c r="T641" s="110" t="n"/>
    </row>
    <row r="642" ht="15.75" customHeight="1" s="52">
      <c r="A642" s="104" t="n">
        <v>635</v>
      </c>
      <c r="B642" s="105" t="inlineStr">
        <is>
          <t>Рахунки доходів та витрат</t>
        </is>
      </c>
      <c r="C642" s="106" t="n"/>
      <c r="D642" s="106" t="n"/>
      <c r="E642" s="106" t="n"/>
      <c r="F642" s="106" t="n"/>
      <c r="G642" s="106" t="n"/>
      <c r="H642" s="107" t="n"/>
      <c r="I642" s="108" t="n"/>
      <c r="J642" s="108" t="n"/>
      <c r="K642" s="108" t="n"/>
      <c r="L642" s="108" t="n"/>
      <c r="M642" s="109" t="n"/>
      <c r="N642" s="108" t="n"/>
      <c r="O642" s="108" t="n"/>
      <c r="P642" s="108" t="n"/>
      <c r="Q642" s="108" t="n"/>
      <c r="R642" s="108" t="n"/>
      <c r="S642" s="108" t="n"/>
      <c r="T642" s="110" t="n"/>
    </row>
    <row r="643" ht="10.5" customHeight="1" s="52">
      <c r="A643" s="104" t="n">
        <v>636</v>
      </c>
      <c r="B643" s="127" t="inlineStr">
        <is>
          <t>Клас 6</t>
        </is>
      </c>
      <c r="C643" s="106" t="n"/>
      <c r="D643" s="106" t="n"/>
      <c r="E643" s="106" t="n"/>
      <c r="F643" s="106" t="n"/>
      <c r="G643" s="106" t="n"/>
      <c r="H643" s="107" t="n"/>
      <c r="I643" s="111" t="n"/>
      <c r="J643" s="111" t="n"/>
      <c r="K643" s="111" t="n"/>
      <c r="L643" s="111" t="n"/>
      <c r="M643" s="112" t="n"/>
      <c r="N643" s="111" t="n"/>
      <c r="O643" s="111" t="n"/>
      <c r="P643" s="111" t="n"/>
      <c r="Q643" s="111" t="n"/>
      <c r="R643" s="111" t="n"/>
      <c r="S643" s="111" t="n"/>
      <c r="T643" s="110" t="n"/>
    </row>
    <row r="644" ht="14.25" customHeight="1" s="52">
      <c r="A644" s="104" t="n">
        <v>637</v>
      </c>
      <c r="B644" s="134" t="inlineStr">
        <is>
          <t>Доходи</t>
        </is>
      </c>
      <c r="H644" s="135" t="n"/>
      <c r="I644" s="108" t="n"/>
      <c r="J644" s="108" t="n"/>
      <c r="K644" s="108" t="n"/>
      <c r="L644" s="108" t="n"/>
      <c r="M644" s="109" t="n"/>
      <c r="N644" s="108" t="n"/>
      <c r="O644" s="108" t="n"/>
      <c r="P644" s="108" t="n"/>
      <c r="Q644" s="108" t="n"/>
      <c r="R644" s="108" t="n"/>
      <c r="S644" s="108" t="n"/>
      <c r="T644" s="110" t="n"/>
    </row>
    <row r="645" ht="13.5" customHeight="1" s="52">
      <c r="A645" s="104" t="n">
        <v>638</v>
      </c>
      <c r="B645" s="115" t="inlineStr">
        <is>
          <t>Клас 6</t>
        </is>
      </c>
      <c r="C645" s="115" t="inlineStr">
        <is>
          <t>60</t>
        </is>
      </c>
      <c r="D645" s="115" t="inlineStr">
        <is>
          <t>600</t>
        </is>
      </c>
      <c r="E645" s="116" t="n"/>
      <c r="F645" s="115" t="inlineStr">
        <is>
          <t>6000</t>
        </is>
      </c>
      <c r="G645" s="116" t="n"/>
      <c r="H645" s="115" t="inlineStr">
        <is>
          <t>Процентні доходи за коштами на вимогу, що розміщені в Hаціональному банку України</t>
        </is>
      </c>
      <c r="I645" s="115" t="inlineStr">
        <is>
          <t>А</t>
        </is>
      </c>
      <c r="J645" s="117" t="n">
        <v>0</v>
      </c>
      <c r="K645" s="117" t="n">
        <v>0</v>
      </c>
      <c r="L645" s="117" t="n">
        <v>0</v>
      </c>
      <c r="M645" s="117" t="n">
        <v>0</v>
      </c>
      <c r="N645" s="116" t="n"/>
      <c r="O645" s="117" t="n">
        <v>0</v>
      </c>
      <c r="P645" s="117" t="n">
        <v>0</v>
      </c>
      <c r="Q645" s="117" t="n">
        <v>0</v>
      </c>
      <c r="R645" s="117" t="n">
        <v>0</v>
      </c>
      <c r="S645" s="118" t="n">
        <v>0</v>
      </c>
      <c r="T645" s="110" t="n"/>
    </row>
    <row r="646" ht="13.5" customHeight="1" s="52">
      <c r="A646" s="104" t="n">
        <v>639</v>
      </c>
      <c r="B646" s="119" t="n"/>
      <c r="C646" s="119" t="n"/>
      <c r="D646" s="119" t="n"/>
      <c r="F646" s="119" t="n"/>
      <c r="H646" s="119" t="n"/>
      <c r="I646" s="115" t="inlineStr">
        <is>
          <t>П</t>
        </is>
      </c>
      <c r="J646" s="117" t="n">
        <v>0</v>
      </c>
      <c r="K646" s="117" t="n">
        <v>0</v>
      </c>
      <c r="L646" s="117" t="n">
        <v>0</v>
      </c>
      <c r="M646" s="117" t="n">
        <v>0</v>
      </c>
      <c r="N646" s="116" t="n"/>
      <c r="O646" s="117" t="n">
        <v>0</v>
      </c>
      <c r="P646" s="117" t="n">
        <v>0</v>
      </c>
      <c r="Q646" s="117" t="n">
        <v>1092.54662</v>
      </c>
      <c r="R646" s="117" t="n">
        <v>1092.54662</v>
      </c>
      <c r="S646" s="118" t="n">
        <v>0</v>
      </c>
      <c r="T646" s="110" t="n"/>
    </row>
    <row r="647" ht="14.25" customHeight="1" s="52">
      <c r="A647" s="104" t="n">
        <v>640</v>
      </c>
      <c r="B647" s="119" t="n"/>
      <c r="C647" s="119" t="n"/>
      <c r="D647" s="119" t="n"/>
      <c r="F647" s="120" t="inlineStr">
        <is>
          <t>Група 600 - Усього</t>
        </is>
      </c>
      <c r="G647" s="116" t="n"/>
      <c r="H647" s="116" t="n"/>
      <c r="I647" s="120" t="n"/>
      <c r="J647" s="121" t="n">
        <v>0</v>
      </c>
      <c r="K647" s="121" t="n">
        <v>0</v>
      </c>
      <c r="L647" s="121" t="n">
        <v>0</v>
      </c>
      <c r="M647" s="121" t="n">
        <v>0</v>
      </c>
      <c r="N647" s="116" t="n"/>
      <c r="O647" s="121" t="n">
        <v>0</v>
      </c>
      <c r="P647" s="121" t="n">
        <v>0</v>
      </c>
      <c r="Q647" s="121" t="n">
        <v>1092.54662</v>
      </c>
      <c r="R647" s="121" t="n">
        <v>1092.54662</v>
      </c>
      <c r="S647" s="122" t="n">
        <v>0</v>
      </c>
      <c r="T647" s="110" t="n"/>
    </row>
    <row r="648" ht="13.5" customHeight="1" s="52">
      <c r="A648" s="104" t="n">
        <v>641</v>
      </c>
      <c r="B648" s="119" t="n"/>
      <c r="C648" s="119" t="n"/>
      <c r="D648" s="115" t="inlineStr">
        <is>
          <t>601</t>
        </is>
      </c>
      <c r="E648" s="116" t="n"/>
      <c r="F648" s="115" t="inlineStr">
        <is>
          <t>6010</t>
        </is>
      </c>
      <c r="G648" s="116" t="n"/>
      <c r="H648" s="115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8" s="115" t="inlineStr">
        <is>
          <t>А</t>
        </is>
      </c>
      <c r="J648" s="117" t="n">
        <v>0</v>
      </c>
      <c r="K648" s="117" t="n">
        <v>0</v>
      </c>
      <c r="L648" s="117" t="n">
        <v>0</v>
      </c>
      <c r="M648" s="117" t="n">
        <v>45332.80476</v>
      </c>
      <c r="N648" s="116" t="n"/>
      <c r="O648" s="117" t="n">
        <v>45332.80476</v>
      </c>
      <c r="P648" s="117" t="n">
        <v>0</v>
      </c>
      <c r="Q648" s="117" t="n">
        <v>0</v>
      </c>
      <c r="R648" s="117" t="n">
        <v>0</v>
      </c>
      <c r="S648" s="118" t="n">
        <v>0</v>
      </c>
      <c r="T648" s="110" t="n"/>
    </row>
    <row r="649" ht="13.5" customHeight="1" s="52">
      <c r="A649" s="104" t="n">
        <v>642</v>
      </c>
      <c r="B649" s="119" t="n"/>
      <c r="C649" s="119" t="n"/>
      <c r="D649" s="119" t="n"/>
      <c r="F649" s="119" t="n"/>
      <c r="H649" s="119" t="n"/>
      <c r="I649" s="115" t="inlineStr">
        <is>
          <t>П</t>
        </is>
      </c>
      <c r="J649" s="117" t="n">
        <v>0</v>
      </c>
      <c r="K649" s="117" t="n">
        <v>0</v>
      </c>
      <c r="L649" s="117" t="n">
        <v>0</v>
      </c>
      <c r="M649" s="117" t="n">
        <v>0</v>
      </c>
      <c r="N649" s="116" t="n"/>
      <c r="O649" s="117" t="n">
        <v>0</v>
      </c>
      <c r="P649" s="117" t="n">
        <v>0</v>
      </c>
      <c r="Q649" s="117" t="n">
        <v>559211.44773</v>
      </c>
      <c r="R649" s="117" t="n">
        <v>559211.44773</v>
      </c>
      <c r="S649" s="118" t="n">
        <v>0</v>
      </c>
      <c r="T649" s="110" t="n"/>
    </row>
    <row r="650" ht="13.5" customHeight="1" s="52">
      <c r="A650" s="104" t="n">
        <v>643</v>
      </c>
      <c r="B650" s="119" t="n"/>
      <c r="C650" s="119" t="n"/>
      <c r="D650" s="119" t="n"/>
      <c r="F650" s="115" t="inlineStr">
        <is>
          <t>6011</t>
        </is>
      </c>
      <c r="G650" s="116" t="n"/>
      <c r="H650" s="115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50" s="115" t="inlineStr">
        <is>
          <t>А</t>
        </is>
      </c>
      <c r="J650" s="117" t="n">
        <v>0</v>
      </c>
      <c r="K650" s="117" t="n">
        <v>0</v>
      </c>
      <c r="L650" s="117" t="n">
        <v>0</v>
      </c>
      <c r="M650" s="117" t="n">
        <v>8462.870800000001</v>
      </c>
      <c r="N650" s="116" t="n"/>
      <c r="O650" s="117" t="n">
        <v>8462.870800000001</v>
      </c>
      <c r="P650" s="117" t="n">
        <v>0</v>
      </c>
      <c r="Q650" s="117" t="n">
        <v>0</v>
      </c>
      <c r="R650" s="117" t="n">
        <v>0</v>
      </c>
      <c r="S650" s="118" t="n">
        <v>0</v>
      </c>
      <c r="T650" s="110" t="n"/>
    </row>
    <row r="651" ht="13.5" customHeight="1" s="52">
      <c r="A651" s="104" t="n">
        <v>644</v>
      </c>
      <c r="B651" s="119" t="n"/>
      <c r="C651" s="119" t="n"/>
      <c r="D651" s="119" t="n"/>
      <c r="F651" s="119" t="n"/>
      <c r="H651" s="119" t="n"/>
      <c r="I651" s="115" t="inlineStr">
        <is>
          <t>П</t>
        </is>
      </c>
      <c r="J651" s="117" t="n">
        <v>0</v>
      </c>
      <c r="K651" s="117" t="n">
        <v>0</v>
      </c>
      <c r="L651" s="117" t="n">
        <v>0</v>
      </c>
      <c r="M651" s="117" t="n">
        <v>0</v>
      </c>
      <c r="N651" s="116" t="n"/>
      <c r="O651" s="117" t="n">
        <v>0</v>
      </c>
      <c r="P651" s="117" t="n">
        <v>0</v>
      </c>
      <c r="Q651" s="117" t="n">
        <v>69797.33881</v>
      </c>
      <c r="R651" s="117" t="n">
        <v>69797.33881</v>
      </c>
      <c r="S651" s="118" t="n">
        <v>0</v>
      </c>
      <c r="T651" s="110" t="n"/>
    </row>
    <row r="652" ht="14.25" customHeight="1" s="52">
      <c r="A652" s="104" t="n">
        <v>645</v>
      </c>
      <c r="B652" s="119" t="n"/>
      <c r="C652" s="119" t="n"/>
      <c r="D652" s="119" t="n"/>
      <c r="F652" s="115" t="inlineStr">
        <is>
          <t>6012</t>
        </is>
      </c>
      <c r="G652" s="116" t="n"/>
      <c r="H652" s="11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52" s="115" t="inlineStr">
        <is>
          <t>А</t>
        </is>
      </c>
      <c r="J652" s="117" t="n">
        <v>3.80329</v>
      </c>
      <c r="K652" s="117" t="n">
        <v>3.80329</v>
      </c>
      <c r="L652" s="117" t="n">
        <v>0</v>
      </c>
      <c r="M652" s="117" t="n">
        <v>44385.93083</v>
      </c>
      <c r="N652" s="116" t="n"/>
      <c r="O652" s="117" t="n">
        <v>44385.93083</v>
      </c>
      <c r="P652" s="117" t="n">
        <v>0</v>
      </c>
      <c r="Q652" s="117" t="n">
        <v>0</v>
      </c>
      <c r="R652" s="117" t="n">
        <v>0</v>
      </c>
      <c r="S652" s="118" t="n">
        <v>0</v>
      </c>
      <c r="T652" s="110" t="n"/>
    </row>
    <row r="653" ht="13.5" customHeight="1" s="52">
      <c r="A653" s="104" t="n">
        <v>646</v>
      </c>
      <c r="B653" s="119" t="n"/>
      <c r="C653" s="119" t="n"/>
      <c r="D653" s="119" t="n"/>
      <c r="F653" s="119" t="n"/>
      <c r="H653" s="119" t="n"/>
      <c r="I653" s="115" t="inlineStr">
        <is>
          <t>П</t>
        </is>
      </c>
      <c r="J653" s="117" t="n">
        <v>0</v>
      </c>
      <c r="K653" s="117" t="n">
        <v>0</v>
      </c>
      <c r="L653" s="117" t="n">
        <v>0</v>
      </c>
      <c r="M653" s="117" t="n">
        <v>0</v>
      </c>
      <c r="N653" s="116" t="n"/>
      <c r="O653" s="117" t="n">
        <v>0</v>
      </c>
      <c r="P653" s="117" t="n">
        <v>0</v>
      </c>
      <c r="Q653" s="117" t="n">
        <v>521736.51233</v>
      </c>
      <c r="R653" s="117" t="n">
        <v>521736.51233</v>
      </c>
      <c r="S653" s="118" t="n">
        <v>0</v>
      </c>
      <c r="T653" s="110" t="n"/>
    </row>
    <row r="654" ht="13.5" customHeight="1" s="52">
      <c r="A654" s="104" t="n">
        <v>647</v>
      </c>
      <c r="B654" s="119" t="n"/>
      <c r="C654" s="119" t="n"/>
      <c r="D654" s="119" t="n"/>
      <c r="F654" s="115" t="inlineStr">
        <is>
          <t>6013</t>
        </is>
      </c>
      <c r="G654" s="116" t="n"/>
      <c r="H654" s="115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4" s="115" t="inlineStr">
        <is>
          <t>А</t>
        </is>
      </c>
      <c r="J654" s="117" t="n">
        <v>0</v>
      </c>
      <c r="K654" s="117" t="n">
        <v>0</v>
      </c>
      <c r="L654" s="117" t="n">
        <v>0</v>
      </c>
      <c r="M654" s="117" t="n">
        <v>0</v>
      </c>
      <c r="N654" s="116" t="n"/>
      <c r="O654" s="117" t="n">
        <v>0</v>
      </c>
      <c r="P654" s="117" t="n">
        <v>0</v>
      </c>
      <c r="Q654" s="117" t="n">
        <v>0</v>
      </c>
      <c r="R654" s="117" t="n">
        <v>0</v>
      </c>
      <c r="S654" s="118" t="n">
        <v>0</v>
      </c>
      <c r="T654" s="110" t="n"/>
    </row>
    <row r="655" ht="13.5" customHeight="1" s="52">
      <c r="A655" s="104" t="n">
        <v>648</v>
      </c>
      <c r="B655" s="119" t="n"/>
      <c r="C655" s="119" t="n"/>
      <c r="D655" s="119" t="n"/>
      <c r="F655" s="119" t="n"/>
      <c r="H655" s="119" t="n"/>
      <c r="I655" s="115" t="inlineStr">
        <is>
          <t>П</t>
        </is>
      </c>
      <c r="J655" s="117" t="n">
        <v>0</v>
      </c>
      <c r="K655" s="117" t="n">
        <v>0</v>
      </c>
      <c r="L655" s="117" t="n">
        <v>0</v>
      </c>
      <c r="M655" s="117" t="n">
        <v>0</v>
      </c>
      <c r="N655" s="116" t="n"/>
      <c r="O655" s="117" t="n">
        <v>0</v>
      </c>
      <c r="P655" s="117" t="n">
        <v>0</v>
      </c>
      <c r="Q655" s="117" t="n">
        <v>0</v>
      </c>
      <c r="R655" s="117" t="n">
        <v>0</v>
      </c>
      <c r="S655" s="118" t="n">
        <v>0</v>
      </c>
      <c r="T655" s="110" t="n"/>
    </row>
    <row r="656" ht="13.5" customHeight="1" s="52">
      <c r="A656" s="104" t="n">
        <v>649</v>
      </c>
      <c r="B656" s="119" t="n"/>
      <c r="C656" s="119" t="n"/>
      <c r="D656" s="119" t="n"/>
      <c r="F656" s="115" t="inlineStr">
        <is>
          <t>6014</t>
        </is>
      </c>
      <c r="G656" s="116" t="n"/>
      <c r="H656" s="11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6" s="115" t="inlineStr">
        <is>
          <t>А</t>
        </is>
      </c>
      <c r="J656" s="117" t="n">
        <v>49.51601</v>
      </c>
      <c r="K656" s="117" t="n">
        <v>49.51601</v>
      </c>
      <c r="L656" s="117" t="n">
        <v>0</v>
      </c>
      <c r="M656" s="117" t="n">
        <v>0</v>
      </c>
      <c r="N656" s="116" t="n"/>
      <c r="O656" s="117" t="n">
        <v>0</v>
      </c>
      <c r="P656" s="117" t="n">
        <v>0</v>
      </c>
      <c r="Q656" s="117" t="n">
        <v>-364.21522</v>
      </c>
      <c r="R656" s="117" t="n">
        <v>-364.21522</v>
      </c>
      <c r="S656" s="118" t="n">
        <v>0</v>
      </c>
      <c r="T656" s="110" t="n"/>
    </row>
    <row r="657" ht="14.25" customHeight="1" s="52">
      <c r="A657" s="104" t="n">
        <v>650</v>
      </c>
      <c r="B657" s="119" t="n"/>
      <c r="C657" s="119" t="n"/>
      <c r="D657" s="119" t="n"/>
      <c r="F657" s="119" t="n"/>
      <c r="H657" s="119" t="n"/>
      <c r="I657" s="115" t="inlineStr">
        <is>
          <t>П</t>
        </is>
      </c>
      <c r="J657" s="117" t="n">
        <v>0</v>
      </c>
      <c r="K657" s="117" t="n">
        <v>0</v>
      </c>
      <c r="L657" s="117" t="n">
        <v>0</v>
      </c>
      <c r="M657" s="117" t="n">
        <v>0</v>
      </c>
      <c r="N657" s="116" t="n"/>
      <c r="O657" s="117" t="n">
        <v>0</v>
      </c>
      <c r="P657" s="117" t="n">
        <v>0</v>
      </c>
      <c r="Q657" s="117" t="n">
        <v>0</v>
      </c>
      <c r="R657" s="117" t="n">
        <v>0</v>
      </c>
      <c r="S657" s="118" t="n">
        <v>0</v>
      </c>
      <c r="T657" s="110" t="n"/>
    </row>
    <row r="658" ht="13.5" customHeight="1" s="52">
      <c r="A658" s="104" t="n">
        <v>651</v>
      </c>
      <c r="B658" s="119" t="n"/>
      <c r="C658" s="119" t="n"/>
      <c r="D658" s="119" t="n"/>
      <c r="F658" s="115" t="inlineStr">
        <is>
          <t>6015</t>
        </is>
      </c>
      <c r="G658" s="116" t="n"/>
      <c r="H658" s="115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8" s="115" t="inlineStr">
        <is>
          <t>А</t>
        </is>
      </c>
      <c r="J658" s="117" t="n">
        <v>0</v>
      </c>
      <c r="K658" s="117" t="n">
        <v>0</v>
      </c>
      <c r="L658" s="117" t="n">
        <v>0</v>
      </c>
      <c r="M658" s="117" t="n">
        <v>0</v>
      </c>
      <c r="N658" s="116" t="n"/>
      <c r="O658" s="117" t="n">
        <v>0</v>
      </c>
      <c r="P658" s="117" t="n">
        <v>0</v>
      </c>
      <c r="Q658" s="117" t="n">
        <v>0</v>
      </c>
      <c r="R658" s="117" t="n">
        <v>0</v>
      </c>
      <c r="S658" s="118" t="n">
        <v>0</v>
      </c>
      <c r="T658" s="110" t="n"/>
    </row>
    <row r="659" ht="13.5" customHeight="1" s="52">
      <c r="A659" s="104" t="n">
        <v>652</v>
      </c>
      <c r="B659" s="119" t="n"/>
      <c r="C659" s="119" t="n"/>
      <c r="D659" s="119" t="n"/>
      <c r="F659" s="119" t="n"/>
      <c r="H659" s="119" t="n"/>
      <c r="I659" s="115" t="inlineStr">
        <is>
          <t>П</t>
        </is>
      </c>
      <c r="J659" s="117" t="n">
        <v>0</v>
      </c>
      <c r="K659" s="117" t="n">
        <v>0</v>
      </c>
      <c r="L659" s="117" t="n">
        <v>0</v>
      </c>
      <c r="M659" s="117" t="n">
        <v>0</v>
      </c>
      <c r="N659" s="116" t="n"/>
      <c r="O659" s="117" t="n">
        <v>0</v>
      </c>
      <c r="P659" s="117" t="n">
        <v>0</v>
      </c>
      <c r="Q659" s="117" t="n">
        <v>0</v>
      </c>
      <c r="R659" s="117" t="n">
        <v>0</v>
      </c>
      <c r="S659" s="118" t="n">
        <v>0</v>
      </c>
      <c r="T659" s="110" t="n"/>
    </row>
    <row r="660" ht="13.5" customHeight="1" s="52">
      <c r="A660" s="104" t="n">
        <v>653</v>
      </c>
      <c r="B660" s="119" t="n"/>
      <c r="C660" s="119" t="n"/>
      <c r="D660" s="119" t="n"/>
      <c r="F660" s="120" t="inlineStr">
        <is>
          <t>Група 601 - Усього</t>
        </is>
      </c>
      <c r="G660" s="116" t="n"/>
      <c r="H660" s="116" t="n"/>
      <c r="I660" s="120" t="n"/>
      <c r="J660" s="121" t="n">
        <v>53.3193</v>
      </c>
      <c r="K660" s="121" t="n">
        <v>53.3193</v>
      </c>
      <c r="L660" s="121" t="n">
        <v>0</v>
      </c>
      <c r="M660" s="121" t="n">
        <v>98181.60639</v>
      </c>
      <c r="N660" s="116" t="n"/>
      <c r="O660" s="121" t="n">
        <v>98181.60639</v>
      </c>
      <c r="P660" s="121" t="n">
        <v>0</v>
      </c>
      <c r="Q660" s="121" t="n">
        <v>1150381.08365</v>
      </c>
      <c r="R660" s="121" t="n">
        <v>1150381.08365</v>
      </c>
      <c r="S660" s="122" t="n">
        <v>0</v>
      </c>
      <c r="T660" s="110" t="n"/>
    </row>
    <row r="661" ht="13.5" customHeight="1" s="52">
      <c r="A661" s="104" t="n">
        <v>654</v>
      </c>
      <c r="B661" s="119" t="n"/>
      <c r="C661" s="119" t="n"/>
      <c r="D661" s="115" t="inlineStr">
        <is>
          <t>602</t>
        </is>
      </c>
      <c r="E661" s="116" t="n"/>
      <c r="F661" s="115" t="inlineStr">
        <is>
          <t>6020</t>
        </is>
      </c>
      <c r="G661" s="116" t="n"/>
      <c r="H661" s="115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61" s="115" t="inlineStr">
        <is>
          <t>А</t>
        </is>
      </c>
      <c r="J661" s="117" t="n">
        <v>0.36733</v>
      </c>
      <c r="K661" s="117" t="n">
        <v>0.36733</v>
      </c>
      <c r="L661" s="117" t="n">
        <v>0</v>
      </c>
      <c r="M661" s="117" t="n">
        <v>5801.48744</v>
      </c>
      <c r="N661" s="116" t="n"/>
      <c r="O661" s="117" t="n">
        <v>5801.48744</v>
      </c>
      <c r="P661" s="117" t="n">
        <v>0</v>
      </c>
      <c r="Q661" s="117" t="n">
        <v>0</v>
      </c>
      <c r="R661" s="117" t="n">
        <v>0</v>
      </c>
      <c r="S661" s="118" t="n">
        <v>0</v>
      </c>
      <c r="T661" s="110" t="n"/>
    </row>
    <row r="662" ht="14.25" customHeight="1" s="52">
      <c r="A662" s="104" t="n">
        <v>655</v>
      </c>
      <c r="B662" s="119" t="n"/>
      <c r="C662" s="119" t="n"/>
      <c r="D662" s="119" t="n"/>
      <c r="F662" s="119" t="n"/>
      <c r="H662" s="119" t="n"/>
      <c r="I662" s="115" t="inlineStr">
        <is>
          <t>П</t>
        </is>
      </c>
      <c r="J662" s="117" t="n">
        <v>0</v>
      </c>
      <c r="K662" s="117" t="n">
        <v>0</v>
      </c>
      <c r="L662" s="117" t="n">
        <v>0</v>
      </c>
      <c r="M662" s="117" t="n">
        <v>0</v>
      </c>
      <c r="N662" s="116" t="n"/>
      <c r="O662" s="117" t="n">
        <v>0</v>
      </c>
      <c r="P662" s="117" t="n">
        <v>0</v>
      </c>
      <c r="Q662" s="117" t="n">
        <v>69451.21752999999</v>
      </c>
      <c r="R662" s="117" t="n">
        <v>69451.21752999999</v>
      </c>
      <c r="S662" s="118" t="n">
        <v>0</v>
      </c>
      <c r="T662" s="110" t="n"/>
    </row>
    <row r="663" ht="13.5" customHeight="1" s="52">
      <c r="A663" s="104" t="n">
        <v>656</v>
      </c>
      <c r="B663" s="119" t="n"/>
      <c r="C663" s="119" t="n"/>
      <c r="D663" s="119" t="n"/>
      <c r="F663" s="115" t="inlineStr">
        <is>
          <t>6021</t>
        </is>
      </c>
      <c r="G663" s="116" t="n"/>
      <c r="H663" s="11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3" s="115" t="inlineStr">
        <is>
          <t>А</t>
        </is>
      </c>
      <c r="J663" s="117" t="n">
        <v>0</v>
      </c>
      <c r="K663" s="117" t="n">
        <v>0</v>
      </c>
      <c r="L663" s="117" t="n">
        <v>0</v>
      </c>
      <c r="M663" s="117" t="n">
        <v>0</v>
      </c>
      <c r="N663" s="116" t="n"/>
      <c r="O663" s="117" t="n">
        <v>0</v>
      </c>
      <c r="P663" s="117" t="n">
        <v>0</v>
      </c>
      <c r="Q663" s="117" t="n">
        <v>0</v>
      </c>
      <c r="R663" s="117" t="n">
        <v>0</v>
      </c>
      <c r="S663" s="118" t="n">
        <v>0</v>
      </c>
      <c r="T663" s="110" t="n"/>
    </row>
    <row r="664" ht="13.5" customHeight="1" s="52">
      <c r="A664" s="104" t="n">
        <v>657</v>
      </c>
      <c r="B664" s="119" t="n"/>
      <c r="C664" s="119" t="n"/>
      <c r="D664" s="119" t="n"/>
      <c r="F664" s="119" t="n"/>
      <c r="H664" s="119" t="n"/>
      <c r="I664" s="115" t="inlineStr">
        <is>
          <t>П</t>
        </is>
      </c>
      <c r="J664" s="117" t="n">
        <v>0</v>
      </c>
      <c r="K664" s="117" t="n">
        <v>0</v>
      </c>
      <c r="L664" s="117" t="n">
        <v>0</v>
      </c>
      <c r="M664" s="117" t="n">
        <v>0</v>
      </c>
      <c r="N664" s="116" t="n"/>
      <c r="O664" s="117" t="n">
        <v>0</v>
      </c>
      <c r="P664" s="117" t="n">
        <v>0</v>
      </c>
      <c r="Q664" s="117" t="n">
        <v>0.02362</v>
      </c>
      <c r="R664" s="117" t="n">
        <v>0.02362</v>
      </c>
      <c r="S664" s="118" t="n">
        <v>0</v>
      </c>
      <c r="T664" s="110" t="n"/>
    </row>
    <row r="665" ht="13.5" customHeight="1" s="52">
      <c r="A665" s="104" t="n">
        <v>658</v>
      </c>
      <c r="B665" s="119" t="n"/>
      <c r="C665" s="119" t="n"/>
      <c r="D665" s="119" t="n"/>
      <c r="F665" s="115" t="inlineStr">
        <is>
          <t>6022</t>
        </is>
      </c>
      <c r="G665" s="116" t="n"/>
      <c r="H665" s="11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5" s="115" t="inlineStr">
        <is>
          <t>А</t>
        </is>
      </c>
      <c r="J665" s="117" t="n">
        <v>0</v>
      </c>
      <c r="K665" s="117" t="n">
        <v>0</v>
      </c>
      <c r="L665" s="117" t="n">
        <v>0</v>
      </c>
      <c r="M665" s="117" t="n">
        <v>42.7567</v>
      </c>
      <c r="N665" s="116" t="n"/>
      <c r="O665" s="117" t="n">
        <v>42.7567</v>
      </c>
      <c r="P665" s="117" t="n">
        <v>0</v>
      </c>
      <c r="Q665" s="117" t="n">
        <v>0</v>
      </c>
      <c r="R665" s="117" t="n">
        <v>0</v>
      </c>
      <c r="S665" s="118" t="n">
        <v>0</v>
      </c>
      <c r="T665" s="110" t="n"/>
    </row>
    <row r="666" ht="13.5" customHeight="1" s="52">
      <c r="A666" s="104" t="n">
        <v>659</v>
      </c>
      <c r="B666" s="119" t="n"/>
      <c r="C666" s="119" t="n"/>
      <c r="D666" s="119" t="n"/>
      <c r="F666" s="119" t="n"/>
      <c r="H666" s="119" t="n"/>
      <c r="I666" s="115" t="inlineStr">
        <is>
          <t>П</t>
        </is>
      </c>
      <c r="J666" s="117" t="n">
        <v>0</v>
      </c>
      <c r="K666" s="117" t="n">
        <v>0</v>
      </c>
      <c r="L666" s="117" t="n">
        <v>0</v>
      </c>
      <c r="M666" s="117" t="n">
        <v>0</v>
      </c>
      <c r="N666" s="116" t="n"/>
      <c r="O666" s="117" t="n">
        <v>0</v>
      </c>
      <c r="P666" s="117" t="n">
        <v>0</v>
      </c>
      <c r="Q666" s="117" t="n">
        <v>9859.66792</v>
      </c>
      <c r="R666" s="117" t="n">
        <v>9859.66792</v>
      </c>
      <c r="S666" s="118" t="n">
        <v>0</v>
      </c>
      <c r="T666" s="110" t="n"/>
    </row>
    <row r="667" ht="14.25" customHeight="1" s="52">
      <c r="A667" s="104" t="n">
        <v>660</v>
      </c>
      <c r="B667" s="119" t="n"/>
      <c r="C667" s="119" t="n"/>
      <c r="D667" s="119" t="n"/>
      <c r="F667" s="115" t="inlineStr">
        <is>
          <t>6023</t>
        </is>
      </c>
      <c r="G667" s="116" t="n"/>
      <c r="H667" s="11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7" s="115" t="inlineStr">
        <is>
          <t>А</t>
        </is>
      </c>
      <c r="J667" s="117" t="n">
        <v>0</v>
      </c>
      <c r="K667" s="117" t="n">
        <v>0</v>
      </c>
      <c r="L667" s="117" t="n">
        <v>0</v>
      </c>
      <c r="M667" s="117" t="n">
        <v>0</v>
      </c>
      <c r="N667" s="116" t="n"/>
      <c r="O667" s="117" t="n">
        <v>0</v>
      </c>
      <c r="P667" s="117" t="n">
        <v>0</v>
      </c>
      <c r="Q667" s="117" t="n">
        <v>0</v>
      </c>
      <c r="R667" s="117" t="n">
        <v>0</v>
      </c>
      <c r="S667" s="118" t="n">
        <v>0</v>
      </c>
      <c r="T667" s="110" t="n"/>
    </row>
    <row r="668" ht="13.5" customHeight="1" s="52">
      <c r="A668" s="104" t="n">
        <v>661</v>
      </c>
      <c r="B668" s="119" t="n"/>
      <c r="C668" s="119" t="n"/>
      <c r="D668" s="119" t="n"/>
      <c r="F668" s="119" t="n"/>
      <c r="H668" s="119" t="n"/>
      <c r="I668" s="115" t="inlineStr">
        <is>
          <t>П</t>
        </is>
      </c>
      <c r="J668" s="117" t="n">
        <v>0</v>
      </c>
      <c r="K668" s="117" t="n">
        <v>0</v>
      </c>
      <c r="L668" s="117" t="n">
        <v>0</v>
      </c>
      <c r="M668" s="117" t="n">
        <v>0</v>
      </c>
      <c r="N668" s="116" t="n"/>
      <c r="O668" s="117" t="n">
        <v>0</v>
      </c>
      <c r="P668" s="117" t="n">
        <v>0</v>
      </c>
      <c r="Q668" s="117" t="n">
        <v>0</v>
      </c>
      <c r="R668" s="117" t="n">
        <v>0</v>
      </c>
      <c r="S668" s="118" t="n">
        <v>0</v>
      </c>
      <c r="T668" s="110" t="n"/>
    </row>
    <row r="669" ht="13.5" customHeight="1" s="52">
      <c r="A669" s="104" t="n">
        <v>662</v>
      </c>
      <c r="B669" s="119" t="n"/>
      <c r="C669" s="119" t="n"/>
      <c r="D669" s="119" t="n"/>
      <c r="F669" s="115" t="inlineStr">
        <is>
          <t>6024</t>
        </is>
      </c>
      <c r="G669" s="116" t="n"/>
      <c r="H669" s="11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9" s="115" t="inlineStr">
        <is>
          <t>А</t>
        </is>
      </c>
      <c r="J669" s="117" t="n">
        <v>0</v>
      </c>
      <c r="K669" s="117" t="n">
        <v>0</v>
      </c>
      <c r="L669" s="117" t="n">
        <v>0</v>
      </c>
      <c r="M669" s="117" t="n">
        <v>0</v>
      </c>
      <c r="N669" s="116" t="n"/>
      <c r="O669" s="117" t="n">
        <v>0</v>
      </c>
      <c r="P669" s="117" t="n">
        <v>0</v>
      </c>
      <c r="Q669" s="117" t="n">
        <v>0</v>
      </c>
      <c r="R669" s="117" t="n">
        <v>0</v>
      </c>
      <c r="S669" s="118" t="n">
        <v>0</v>
      </c>
      <c r="T669" s="110" t="n"/>
    </row>
    <row r="670" ht="13.5" customHeight="1" s="52">
      <c r="A670" s="104" t="n">
        <v>663</v>
      </c>
      <c r="B670" s="119" t="n"/>
      <c r="C670" s="119" t="n"/>
      <c r="D670" s="119" t="n"/>
      <c r="F670" s="119" t="n"/>
      <c r="H670" s="119" t="n"/>
      <c r="I670" s="115" t="inlineStr">
        <is>
          <t>П</t>
        </is>
      </c>
      <c r="J670" s="117" t="n">
        <v>0</v>
      </c>
      <c r="K670" s="117" t="n">
        <v>0</v>
      </c>
      <c r="L670" s="117" t="n">
        <v>0</v>
      </c>
      <c r="M670" s="117" t="n">
        <v>0</v>
      </c>
      <c r="N670" s="116" t="n"/>
      <c r="O670" s="117" t="n">
        <v>0</v>
      </c>
      <c r="P670" s="117" t="n">
        <v>0</v>
      </c>
      <c r="Q670" s="117" t="n">
        <v>0</v>
      </c>
      <c r="R670" s="117" t="n">
        <v>0</v>
      </c>
      <c r="S670" s="118" t="n">
        <v>0</v>
      </c>
      <c r="T670" s="110" t="n"/>
    </row>
    <row r="671" ht="13.5" customHeight="1" s="52">
      <c r="A671" s="104" t="n">
        <v>664</v>
      </c>
      <c r="B671" s="119" t="n"/>
      <c r="C671" s="119" t="n"/>
      <c r="D671" s="119" t="n"/>
      <c r="F671" s="115" t="inlineStr">
        <is>
          <t>6025</t>
        </is>
      </c>
      <c r="G671" s="116" t="n"/>
      <c r="H671" s="115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71" s="115" t="inlineStr">
        <is>
          <t>А</t>
        </is>
      </c>
      <c r="J671" s="117" t="n">
        <v>59447.52965</v>
      </c>
      <c r="K671" s="117" t="n">
        <v>59447.52965</v>
      </c>
      <c r="L671" s="117" t="n">
        <v>0</v>
      </c>
      <c r="M671" s="117" t="n">
        <v>915305.24703</v>
      </c>
      <c r="N671" s="116" t="n"/>
      <c r="O671" s="117" t="n">
        <v>915305.24703</v>
      </c>
      <c r="P671" s="117" t="n">
        <v>0</v>
      </c>
      <c r="Q671" s="117" t="n">
        <v>0</v>
      </c>
      <c r="R671" s="117" t="n">
        <v>0</v>
      </c>
      <c r="S671" s="118" t="n">
        <v>0</v>
      </c>
      <c r="T671" s="110" t="n"/>
    </row>
    <row r="672" ht="14.25" customHeight="1" s="52">
      <c r="A672" s="104" t="n">
        <v>665</v>
      </c>
      <c r="B672" s="119" t="n"/>
      <c r="C672" s="119" t="n"/>
      <c r="D672" s="119" t="n"/>
      <c r="F672" s="119" t="n"/>
      <c r="H672" s="119" t="n"/>
      <c r="I672" s="115" t="inlineStr">
        <is>
          <t>П</t>
        </is>
      </c>
      <c r="J672" s="117" t="n">
        <v>0</v>
      </c>
      <c r="K672" s="117" t="n">
        <v>0</v>
      </c>
      <c r="L672" s="117" t="n">
        <v>0</v>
      </c>
      <c r="M672" s="117" t="n">
        <v>0</v>
      </c>
      <c r="N672" s="116" t="n"/>
      <c r="O672" s="117" t="n">
        <v>0</v>
      </c>
      <c r="P672" s="117" t="n">
        <v>0</v>
      </c>
      <c r="Q672" s="117" t="n">
        <v>8433626.86485</v>
      </c>
      <c r="R672" s="117" t="n">
        <v>8433626.86485</v>
      </c>
      <c r="S672" s="118" t="n">
        <v>0</v>
      </c>
      <c r="T672" s="110" t="n"/>
    </row>
    <row r="673" ht="13.5" customHeight="1" s="52">
      <c r="A673" s="104" t="n">
        <v>666</v>
      </c>
      <c r="B673" s="119" t="n"/>
      <c r="C673" s="119" t="n"/>
      <c r="D673" s="119" t="n"/>
      <c r="F673" s="115" t="inlineStr">
        <is>
          <t>6026</t>
        </is>
      </c>
      <c r="G673" s="116" t="n"/>
      <c r="H673" s="11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3" s="115" t="inlineStr">
        <is>
          <t>А</t>
        </is>
      </c>
      <c r="J673" s="117" t="n">
        <v>1310.46298</v>
      </c>
      <c r="K673" s="117" t="n">
        <v>1310.46298</v>
      </c>
      <c r="L673" s="117" t="n">
        <v>0</v>
      </c>
      <c r="M673" s="117" t="n">
        <v>13396.3924</v>
      </c>
      <c r="N673" s="116" t="n"/>
      <c r="O673" s="117" t="n">
        <v>13396.3924</v>
      </c>
      <c r="P673" s="117" t="n">
        <v>0</v>
      </c>
      <c r="Q673" s="117" t="n">
        <v>0</v>
      </c>
      <c r="R673" s="117" t="n">
        <v>0</v>
      </c>
      <c r="S673" s="118" t="n">
        <v>0</v>
      </c>
      <c r="T673" s="110" t="n"/>
    </row>
    <row r="674" ht="13.5" customHeight="1" s="52">
      <c r="A674" s="104" t="n">
        <v>667</v>
      </c>
      <c r="B674" s="119" t="n"/>
      <c r="C674" s="119" t="n"/>
      <c r="D674" s="119" t="n"/>
      <c r="F674" s="119" t="n"/>
      <c r="H674" s="119" t="n"/>
      <c r="I674" s="115" t="inlineStr">
        <is>
          <t>П</t>
        </is>
      </c>
      <c r="J674" s="117" t="n">
        <v>0</v>
      </c>
      <c r="K674" s="117" t="n">
        <v>0</v>
      </c>
      <c r="L674" s="117" t="n">
        <v>0</v>
      </c>
      <c r="M674" s="117" t="n">
        <v>0</v>
      </c>
      <c r="N674" s="116" t="n"/>
      <c r="O674" s="117" t="n">
        <v>0</v>
      </c>
      <c r="P674" s="117" t="n">
        <v>0</v>
      </c>
      <c r="Q674" s="117" t="n">
        <v>142541.28464</v>
      </c>
      <c r="R674" s="117" t="n">
        <v>142541.28464</v>
      </c>
      <c r="S674" s="118" t="n">
        <v>0</v>
      </c>
      <c r="T674" s="110" t="n"/>
    </row>
    <row r="675" ht="13.5" customHeight="1" s="52">
      <c r="A675" s="104" t="n">
        <v>668</v>
      </c>
      <c r="B675" s="119" t="n"/>
      <c r="C675" s="119" t="n"/>
      <c r="D675" s="119" t="n"/>
      <c r="F675" s="115" t="inlineStr">
        <is>
          <t>6027</t>
        </is>
      </c>
      <c r="G675" s="116" t="n"/>
      <c r="H675" s="11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5" s="115" t="inlineStr">
        <is>
          <t>А</t>
        </is>
      </c>
      <c r="J675" s="117" t="n">
        <v>0.01589</v>
      </c>
      <c r="K675" s="117" t="n">
        <v>0.01589</v>
      </c>
      <c r="L675" s="117" t="n">
        <v>0</v>
      </c>
      <c r="M675" s="117" t="n">
        <v>176.88129</v>
      </c>
      <c r="N675" s="116" t="n"/>
      <c r="O675" s="117" t="n">
        <v>176.88129</v>
      </c>
      <c r="P675" s="117" t="n">
        <v>0</v>
      </c>
      <c r="Q675" s="117" t="n">
        <v>-95.99514000000001</v>
      </c>
      <c r="R675" s="117" t="n">
        <v>-95.99514000000001</v>
      </c>
      <c r="S675" s="118" t="n">
        <v>0</v>
      </c>
      <c r="T675" s="110" t="n"/>
    </row>
    <row r="676" ht="13.5" customHeight="1" s="52">
      <c r="A676" s="104" t="n">
        <v>669</v>
      </c>
      <c r="B676" s="119" t="n"/>
      <c r="C676" s="119" t="n"/>
      <c r="D676" s="119" t="n"/>
      <c r="F676" s="119" t="n"/>
      <c r="H676" s="119" t="n"/>
      <c r="I676" s="115" t="inlineStr">
        <is>
          <t>П</t>
        </is>
      </c>
      <c r="J676" s="117" t="n">
        <v>0</v>
      </c>
      <c r="K676" s="117" t="n">
        <v>0</v>
      </c>
      <c r="L676" s="117" t="n">
        <v>0</v>
      </c>
      <c r="M676" s="117" t="n">
        <v>0</v>
      </c>
      <c r="N676" s="116" t="n"/>
      <c r="O676" s="117" t="n">
        <v>0</v>
      </c>
      <c r="P676" s="117" t="n">
        <v>0</v>
      </c>
      <c r="Q676" s="117" t="n">
        <v>2194.43442</v>
      </c>
      <c r="R676" s="117" t="n">
        <v>2194.43442</v>
      </c>
      <c r="S676" s="118" t="n">
        <v>0</v>
      </c>
      <c r="T676" s="110" t="n"/>
    </row>
    <row r="677" ht="14.25" customHeight="1" s="52">
      <c r="A677" s="104" t="n">
        <v>670</v>
      </c>
      <c r="B677" s="119" t="n"/>
      <c r="C677" s="119" t="n"/>
      <c r="D677" s="119" t="n"/>
      <c r="F677" s="120" t="inlineStr">
        <is>
          <t>Група 602 - Усього</t>
        </is>
      </c>
      <c r="G677" s="116" t="n"/>
      <c r="H677" s="116" t="n"/>
      <c r="I677" s="120" t="n"/>
      <c r="J677" s="121" t="n">
        <v>60758.37585</v>
      </c>
      <c r="K677" s="121" t="n">
        <v>60758.37585</v>
      </c>
      <c r="L677" s="121" t="n">
        <v>0</v>
      </c>
      <c r="M677" s="121" t="n">
        <v>934722.76486</v>
      </c>
      <c r="N677" s="116" t="n"/>
      <c r="O677" s="121" t="n">
        <v>934722.76486</v>
      </c>
      <c r="P677" s="121" t="n">
        <v>0</v>
      </c>
      <c r="Q677" s="121" t="n">
        <v>8657577.49784</v>
      </c>
      <c r="R677" s="121" t="n">
        <v>8657577.49784</v>
      </c>
      <c r="S677" s="122" t="n">
        <v>0</v>
      </c>
      <c r="T677" s="110" t="n"/>
    </row>
    <row r="678" ht="13.5" customHeight="1" s="52">
      <c r="A678" s="104" t="n">
        <v>671</v>
      </c>
      <c r="B678" s="119" t="n"/>
      <c r="C678" s="119" t="n"/>
      <c r="D678" s="115" t="inlineStr">
        <is>
          <t>603</t>
        </is>
      </c>
      <c r="E678" s="116" t="n"/>
      <c r="F678" s="115" t="inlineStr">
        <is>
          <t>6033</t>
        </is>
      </c>
      <c r="G678" s="116" t="n"/>
      <c r="H678" s="11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8" s="115" t="inlineStr">
        <is>
          <t>А</t>
        </is>
      </c>
      <c r="J678" s="117" t="n">
        <v>26292.303</v>
      </c>
      <c r="K678" s="117" t="n">
        <v>26292.303</v>
      </c>
      <c r="L678" s="117" t="n">
        <v>0</v>
      </c>
      <c r="M678" s="117" t="n">
        <v>59777.2746</v>
      </c>
      <c r="N678" s="116" t="n"/>
      <c r="O678" s="117" t="n">
        <v>59777.2746</v>
      </c>
      <c r="P678" s="117" t="n">
        <v>0</v>
      </c>
      <c r="Q678" s="117" t="n">
        <v>0</v>
      </c>
      <c r="R678" s="117" t="n">
        <v>0</v>
      </c>
      <c r="S678" s="118" t="n">
        <v>0</v>
      </c>
      <c r="T678" s="110" t="n"/>
    </row>
    <row r="679" ht="13.5" customHeight="1" s="52">
      <c r="A679" s="104" t="n">
        <v>672</v>
      </c>
      <c r="B679" s="119" t="n"/>
      <c r="C679" s="119" t="n"/>
      <c r="D679" s="119" t="n"/>
      <c r="F679" s="119" t="n"/>
      <c r="H679" s="119" t="n"/>
      <c r="I679" s="115" t="inlineStr">
        <is>
          <t>П</t>
        </is>
      </c>
      <c r="J679" s="117" t="n">
        <v>0</v>
      </c>
      <c r="K679" s="117" t="n">
        <v>0</v>
      </c>
      <c r="L679" s="117" t="n">
        <v>0</v>
      </c>
      <c r="M679" s="117" t="n">
        <v>0</v>
      </c>
      <c r="N679" s="116" t="n"/>
      <c r="O679" s="117" t="n">
        <v>0</v>
      </c>
      <c r="P679" s="117" t="n">
        <v>0</v>
      </c>
      <c r="Q679" s="117" t="n">
        <v>470329.67307</v>
      </c>
      <c r="R679" s="117" t="n">
        <v>470329.67307</v>
      </c>
      <c r="S679" s="118" t="n">
        <v>0</v>
      </c>
      <c r="T679" s="110" t="n"/>
    </row>
    <row r="680" ht="13.5" customHeight="1" s="52">
      <c r="A680" s="104" t="n">
        <v>673</v>
      </c>
      <c r="B680" s="119" t="n"/>
      <c r="C680" s="119" t="n"/>
      <c r="D680" s="119" t="n"/>
      <c r="F680" s="115" t="inlineStr">
        <is>
          <t>6034</t>
        </is>
      </c>
      <c r="G680" s="116" t="n"/>
      <c r="H680" s="11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80" s="115" t="inlineStr">
        <is>
          <t>А</t>
        </is>
      </c>
      <c r="J680" s="117" t="n">
        <v>0</v>
      </c>
      <c r="K680" s="117" t="n">
        <v>0</v>
      </c>
      <c r="L680" s="117" t="n">
        <v>0</v>
      </c>
      <c r="M680" s="117" t="n">
        <v>0</v>
      </c>
      <c r="N680" s="116" t="n"/>
      <c r="O680" s="117" t="n">
        <v>0</v>
      </c>
      <c r="P680" s="117" t="n">
        <v>0</v>
      </c>
      <c r="Q680" s="117" t="n">
        <v>0</v>
      </c>
      <c r="R680" s="117" t="n">
        <v>0</v>
      </c>
      <c r="S680" s="118" t="n">
        <v>0</v>
      </c>
      <c r="T680" s="110" t="n"/>
    </row>
    <row r="681" ht="13.5" customHeight="1" s="52">
      <c r="A681" s="104" t="n">
        <v>674</v>
      </c>
      <c r="B681" s="119" t="n"/>
      <c r="C681" s="119" t="n"/>
      <c r="D681" s="119" t="n"/>
      <c r="F681" s="119" t="n"/>
      <c r="H681" s="119" t="n"/>
      <c r="I681" s="115" t="inlineStr">
        <is>
          <t>П</t>
        </is>
      </c>
      <c r="J681" s="117" t="n">
        <v>0</v>
      </c>
      <c r="K681" s="117" t="n">
        <v>0</v>
      </c>
      <c r="L681" s="117" t="n">
        <v>0</v>
      </c>
      <c r="M681" s="117" t="n">
        <v>0</v>
      </c>
      <c r="N681" s="116" t="n"/>
      <c r="O681" s="117" t="n">
        <v>0</v>
      </c>
      <c r="P681" s="117" t="n">
        <v>0</v>
      </c>
      <c r="Q681" s="117" t="n">
        <v>0</v>
      </c>
      <c r="R681" s="117" t="n">
        <v>0</v>
      </c>
      <c r="S681" s="118" t="n">
        <v>0</v>
      </c>
      <c r="T681" s="110" t="n"/>
    </row>
    <row r="682" ht="14.25" customHeight="1" s="52">
      <c r="A682" s="104" t="n">
        <v>675</v>
      </c>
      <c r="B682" s="119" t="n"/>
      <c r="C682" s="119" t="n"/>
      <c r="D682" s="119" t="n"/>
      <c r="F682" s="115" t="inlineStr">
        <is>
          <t>6035</t>
        </is>
      </c>
      <c r="G682" s="116" t="n"/>
      <c r="H682" s="115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82" s="115" t="inlineStr">
        <is>
          <t>А</t>
        </is>
      </c>
      <c r="J682" s="117" t="n">
        <v>0</v>
      </c>
      <c r="K682" s="117" t="n">
        <v>0</v>
      </c>
      <c r="L682" s="117" t="n">
        <v>0</v>
      </c>
      <c r="M682" s="117" t="n">
        <v>0</v>
      </c>
      <c r="N682" s="116" t="n"/>
      <c r="O682" s="117" t="n">
        <v>0</v>
      </c>
      <c r="P682" s="117" t="n">
        <v>0</v>
      </c>
      <c r="Q682" s="117" t="n">
        <v>0</v>
      </c>
      <c r="R682" s="117" t="n">
        <v>0</v>
      </c>
      <c r="S682" s="118" t="n">
        <v>0</v>
      </c>
      <c r="T682" s="110" t="n"/>
    </row>
    <row r="683" ht="13.5" customHeight="1" s="52">
      <c r="A683" s="104" t="n">
        <v>676</v>
      </c>
      <c r="B683" s="119" t="n"/>
      <c r="C683" s="119" t="n"/>
      <c r="D683" s="119" t="n"/>
      <c r="F683" s="119" t="n"/>
      <c r="H683" s="119" t="n"/>
      <c r="I683" s="115" t="inlineStr">
        <is>
          <t>П</t>
        </is>
      </c>
      <c r="J683" s="117" t="n">
        <v>0</v>
      </c>
      <c r="K683" s="117" t="n">
        <v>0</v>
      </c>
      <c r="L683" s="117" t="n">
        <v>0</v>
      </c>
      <c r="M683" s="117" t="n">
        <v>0</v>
      </c>
      <c r="N683" s="116" t="n"/>
      <c r="O683" s="117" t="n">
        <v>0</v>
      </c>
      <c r="P683" s="117" t="n">
        <v>0</v>
      </c>
      <c r="Q683" s="117" t="n">
        <v>0</v>
      </c>
      <c r="R683" s="117" t="n">
        <v>0</v>
      </c>
      <c r="S683" s="118" t="n">
        <v>0</v>
      </c>
      <c r="T683" s="110" t="n"/>
    </row>
    <row r="684" ht="13.5" customHeight="1" s="52">
      <c r="A684" s="104" t="n">
        <v>677</v>
      </c>
      <c r="B684" s="119" t="n"/>
      <c r="C684" s="119" t="n"/>
      <c r="D684" s="119" t="n"/>
      <c r="F684" s="120" t="inlineStr">
        <is>
          <t>Група 603 - Усього</t>
        </is>
      </c>
      <c r="G684" s="116" t="n"/>
      <c r="H684" s="116" t="n"/>
      <c r="I684" s="120" t="n"/>
      <c r="J684" s="121" t="n">
        <v>26292.303</v>
      </c>
      <c r="K684" s="121" t="n">
        <v>26292.303</v>
      </c>
      <c r="L684" s="121" t="n">
        <v>0</v>
      </c>
      <c r="M684" s="121" t="n">
        <v>59777.2746</v>
      </c>
      <c r="N684" s="116" t="n"/>
      <c r="O684" s="121" t="n">
        <v>59777.2746</v>
      </c>
      <c r="P684" s="121" t="n">
        <v>0</v>
      </c>
      <c r="Q684" s="121" t="n">
        <v>470329.67307</v>
      </c>
      <c r="R684" s="121" t="n">
        <v>470329.67307</v>
      </c>
      <c r="S684" s="122" t="n">
        <v>0</v>
      </c>
      <c r="T684" s="110" t="n"/>
    </row>
    <row r="685" ht="13.5" customHeight="1" s="52">
      <c r="A685" s="104" t="n">
        <v>678</v>
      </c>
      <c r="B685" s="119" t="n"/>
      <c r="C685" s="119" t="n"/>
      <c r="D685" s="115" t="inlineStr">
        <is>
          <t>604</t>
        </is>
      </c>
      <c r="E685" s="116" t="n"/>
      <c r="F685" s="115" t="inlineStr">
        <is>
          <t>6040</t>
        </is>
      </c>
      <c r="G685" s="116" t="n"/>
      <c r="H685" s="11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5" s="115" t="inlineStr">
        <is>
          <t>А</t>
        </is>
      </c>
      <c r="J685" s="117" t="n">
        <v>0.91211</v>
      </c>
      <c r="K685" s="117" t="n">
        <v>0.91211</v>
      </c>
      <c r="L685" s="117" t="n">
        <v>0</v>
      </c>
      <c r="M685" s="117" t="n">
        <v>8869.29038</v>
      </c>
      <c r="N685" s="116" t="n"/>
      <c r="O685" s="117" t="n">
        <v>8869.29038</v>
      </c>
      <c r="P685" s="117" t="n">
        <v>0</v>
      </c>
      <c r="Q685" s="117" t="n">
        <v>0</v>
      </c>
      <c r="R685" s="117" t="n">
        <v>0</v>
      </c>
      <c r="S685" s="118" t="n">
        <v>0</v>
      </c>
      <c r="T685" s="110" t="n"/>
    </row>
    <row r="686" ht="13.5" customHeight="1" s="52">
      <c r="A686" s="104" t="n">
        <v>679</v>
      </c>
      <c r="B686" s="119" t="n"/>
      <c r="C686" s="119" t="n"/>
      <c r="D686" s="119" t="n"/>
      <c r="F686" s="119" t="n"/>
      <c r="H686" s="119" t="n"/>
      <c r="I686" s="115" t="inlineStr">
        <is>
          <t>П</t>
        </is>
      </c>
      <c r="J686" s="117" t="n">
        <v>0</v>
      </c>
      <c r="K686" s="117" t="n">
        <v>0</v>
      </c>
      <c r="L686" s="117" t="n">
        <v>0</v>
      </c>
      <c r="M686" s="117" t="n">
        <v>0</v>
      </c>
      <c r="N686" s="116" t="n"/>
      <c r="O686" s="117" t="n">
        <v>0</v>
      </c>
      <c r="P686" s="117" t="n">
        <v>0</v>
      </c>
      <c r="Q686" s="117" t="n">
        <v>170885.72993</v>
      </c>
      <c r="R686" s="117" t="n">
        <v>170885.72993</v>
      </c>
      <c r="S686" s="118" t="n">
        <v>0</v>
      </c>
      <c r="T686" s="110" t="n"/>
    </row>
    <row r="687" ht="14.25" customHeight="1" s="52">
      <c r="A687" s="104" t="n">
        <v>680</v>
      </c>
      <c r="B687" s="119" t="n"/>
      <c r="C687" s="119" t="n"/>
      <c r="D687" s="119" t="n"/>
      <c r="F687" s="115" t="inlineStr">
        <is>
          <t>6041</t>
        </is>
      </c>
      <c r="G687" s="116" t="n"/>
      <c r="H687" s="11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7" s="115" t="inlineStr">
        <is>
          <t>А</t>
        </is>
      </c>
      <c r="J687" s="117" t="n">
        <v>92.74641</v>
      </c>
      <c r="K687" s="117" t="n">
        <v>92.74641</v>
      </c>
      <c r="L687" s="117" t="n">
        <v>0</v>
      </c>
      <c r="M687" s="117" t="n">
        <v>6659.16726</v>
      </c>
      <c r="N687" s="116" t="n"/>
      <c r="O687" s="117" t="n">
        <v>6659.16726</v>
      </c>
      <c r="P687" s="117" t="n">
        <v>0</v>
      </c>
      <c r="Q687" s="117" t="n">
        <v>0</v>
      </c>
      <c r="R687" s="117" t="n">
        <v>0</v>
      </c>
      <c r="S687" s="118" t="n">
        <v>0</v>
      </c>
      <c r="T687" s="110" t="n"/>
    </row>
    <row r="688" ht="13.5" customHeight="1" s="52">
      <c r="A688" s="104" t="n">
        <v>681</v>
      </c>
      <c r="B688" s="119" t="n"/>
      <c r="C688" s="119" t="n"/>
      <c r="D688" s="119" t="n"/>
      <c r="F688" s="119" t="n"/>
      <c r="H688" s="119" t="n"/>
      <c r="I688" s="115" t="inlineStr">
        <is>
          <t>П</t>
        </is>
      </c>
      <c r="J688" s="117" t="n">
        <v>0</v>
      </c>
      <c r="K688" s="117" t="n">
        <v>0</v>
      </c>
      <c r="L688" s="117" t="n">
        <v>0</v>
      </c>
      <c r="M688" s="117" t="n">
        <v>0</v>
      </c>
      <c r="N688" s="116" t="n"/>
      <c r="O688" s="117" t="n">
        <v>0</v>
      </c>
      <c r="P688" s="117" t="n">
        <v>0</v>
      </c>
      <c r="Q688" s="117" t="n">
        <v>56972.14999</v>
      </c>
      <c r="R688" s="117" t="n">
        <v>56972.14999</v>
      </c>
      <c r="S688" s="118" t="n">
        <v>0</v>
      </c>
      <c r="T688" s="110" t="n"/>
    </row>
    <row r="689" ht="13.5" customHeight="1" s="52">
      <c r="A689" s="104" t="n">
        <v>682</v>
      </c>
      <c r="B689" s="119" t="n"/>
      <c r="C689" s="119" t="n"/>
      <c r="D689" s="119" t="n"/>
      <c r="F689" s="120" t="inlineStr">
        <is>
          <t>Група 604 - Усього</t>
        </is>
      </c>
      <c r="G689" s="116" t="n"/>
      <c r="H689" s="116" t="n"/>
      <c r="I689" s="120" t="n"/>
      <c r="J689" s="121" t="n">
        <v>93.65852</v>
      </c>
      <c r="K689" s="121" t="n">
        <v>93.65852</v>
      </c>
      <c r="L689" s="121" t="n">
        <v>0</v>
      </c>
      <c r="M689" s="121" t="n">
        <v>15528.45764</v>
      </c>
      <c r="N689" s="116" t="n"/>
      <c r="O689" s="121" t="n">
        <v>15528.45764</v>
      </c>
      <c r="P689" s="121" t="n">
        <v>0</v>
      </c>
      <c r="Q689" s="121" t="n">
        <v>227857.87992</v>
      </c>
      <c r="R689" s="121" t="n">
        <v>227857.87992</v>
      </c>
      <c r="S689" s="122" t="n">
        <v>0</v>
      </c>
      <c r="T689" s="110" t="n"/>
    </row>
    <row r="690" ht="13.5" customHeight="1" s="52">
      <c r="A690" s="104" t="n">
        <v>683</v>
      </c>
      <c r="B690" s="119" t="n"/>
      <c r="C690" s="119" t="n"/>
      <c r="D690" s="115" t="inlineStr">
        <is>
          <t>605</t>
        </is>
      </c>
      <c r="E690" s="116" t="n"/>
      <c r="F690" s="115" t="inlineStr">
        <is>
          <t>6050</t>
        </is>
      </c>
      <c r="G690" s="116" t="n"/>
      <c r="H690" s="11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90" s="115" t="inlineStr">
        <is>
          <t>А</t>
        </is>
      </c>
      <c r="J690" s="117" t="n">
        <v>0</v>
      </c>
      <c r="K690" s="117" t="n">
        <v>0</v>
      </c>
      <c r="L690" s="117" t="n">
        <v>0</v>
      </c>
      <c r="M690" s="117" t="n">
        <v>0</v>
      </c>
      <c r="N690" s="116" t="n"/>
      <c r="O690" s="117" t="n">
        <v>0</v>
      </c>
      <c r="P690" s="117" t="n">
        <v>0</v>
      </c>
      <c r="Q690" s="117" t="n">
        <v>0</v>
      </c>
      <c r="R690" s="117" t="n">
        <v>0</v>
      </c>
      <c r="S690" s="118" t="n">
        <v>0</v>
      </c>
      <c r="T690" s="110" t="n"/>
    </row>
    <row r="691" ht="13.5" customHeight="1" s="52">
      <c r="A691" s="104" t="n">
        <v>684</v>
      </c>
      <c r="B691" s="119" t="n"/>
      <c r="C691" s="119" t="n"/>
      <c r="D691" s="119" t="n"/>
      <c r="F691" s="119" t="n"/>
      <c r="H691" s="119" t="n"/>
      <c r="I691" s="115" t="inlineStr">
        <is>
          <t>П</t>
        </is>
      </c>
      <c r="J691" s="117" t="n">
        <v>0</v>
      </c>
      <c r="K691" s="117" t="n">
        <v>0</v>
      </c>
      <c r="L691" s="117" t="n">
        <v>0</v>
      </c>
      <c r="M691" s="117" t="n">
        <v>0</v>
      </c>
      <c r="N691" s="116" t="n"/>
      <c r="O691" s="117" t="n">
        <v>0</v>
      </c>
      <c r="P691" s="117" t="n">
        <v>0</v>
      </c>
      <c r="Q691" s="117" t="n">
        <v>0</v>
      </c>
      <c r="R691" s="117" t="n">
        <v>0</v>
      </c>
      <c r="S691" s="118" t="n">
        <v>0</v>
      </c>
      <c r="T691" s="110" t="n"/>
    </row>
    <row r="692" ht="14.25" customHeight="1" s="52">
      <c r="A692" s="104" t="n">
        <v>685</v>
      </c>
      <c r="B692" s="119" t="n"/>
      <c r="C692" s="119" t="n"/>
      <c r="D692" s="119" t="n"/>
      <c r="F692" s="115" t="inlineStr">
        <is>
          <t>6052</t>
        </is>
      </c>
      <c r="G692" s="116" t="n"/>
      <c r="H692" s="11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92" s="115" t="inlineStr">
        <is>
          <t>А</t>
        </is>
      </c>
      <c r="J692" s="117" t="n">
        <v>1.33993</v>
      </c>
      <c r="K692" s="117" t="n">
        <v>1.33993</v>
      </c>
      <c r="L692" s="117" t="n">
        <v>0</v>
      </c>
      <c r="M692" s="117" t="n">
        <v>831.36726</v>
      </c>
      <c r="N692" s="116" t="n"/>
      <c r="O692" s="117" t="n">
        <v>831.36726</v>
      </c>
      <c r="P692" s="117" t="n">
        <v>0</v>
      </c>
      <c r="Q692" s="117" t="n">
        <v>-1.12511</v>
      </c>
      <c r="R692" s="117" t="n">
        <v>-1.12511</v>
      </c>
      <c r="S692" s="118" t="n">
        <v>0</v>
      </c>
      <c r="T692" s="110" t="n"/>
    </row>
    <row r="693" ht="13.5" customHeight="1" s="52">
      <c r="A693" s="104" t="n">
        <v>686</v>
      </c>
      <c r="B693" s="119" t="n"/>
      <c r="C693" s="119" t="n"/>
      <c r="D693" s="119" t="n"/>
      <c r="F693" s="119" t="n"/>
      <c r="H693" s="119" t="n"/>
      <c r="I693" s="115" t="inlineStr">
        <is>
          <t>П</t>
        </is>
      </c>
      <c r="J693" s="117" t="n">
        <v>0</v>
      </c>
      <c r="K693" s="117" t="n">
        <v>0</v>
      </c>
      <c r="L693" s="117" t="n">
        <v>0</v>
      </c>
      <c r="M693" s="117" t="n">
        <v>0</v>
      </c>
      <c r="N693" s="116" t="n"/>
      <c r="O693" s="117" t="n">
        <v>0</v>
      </c>
      <c r="P693" s="117" t="n">
        <v>0</v>
      </c>
      <c r="Q693" s="117" t="n">
        <v>14976.39696</v>
      </c>
      <c r="R693" s="117" t="n">
        <v>14976.39696</v>
      </c>
      <c r="S693" s="118" t="n">
        <v>0</v>
      </c>
      <c r="T693" s="110" t="n"/>
    </row>
    <row r="694" ht="13.5" customHeight="1" s="52">
      <c r="A694" s="104" t="n">
        <v>687</v>
      </c>
      <c r="B694" s="119" t="n"/>
      <c r="C694" s="119" t="n"/>
      <c r="D694" s="119" t="n"/>
      <c r="F694" s="115" t="inlineStr">
        <is>
          <t>6053</t>
        </is>
      </c>
      <c r="G694" s="116" t="n"/>
      <c r="H694" s="115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4" s="115" t="inlineStr">
        <is>
          <t>А</t>
        </is>
      </c>
      <c r="J694" s="117" t="n">
        <v>0.06532</v>
      </c>
      <c r="K694" s="117" t="n">
        <v>0.06532</v>
      </c>
      <c r="L694" s="117" t="n">
        <v>0</v>
      </c>
      <c r="M694" s="117" t="n">
        <v>65.75705000000001</v>
      </c>
      <c r="N694" s="116" t="n"/>
      <c r="O694" s="117" t="n">
        <v>65.75705000000001</v>
      </c>
      <c r="P694" s="117" t="n">
        <v>0</v>
      </c>
      <c r="Q694" s="117" t="n">
        <v>0</v>
      </c>
      <c r="R694" s="117" t="n">
        <v>0</v>
      </c>
      <c r="S694" s="118" t="n">
        <v>0</v>
      </c>
      <c r="T694" s="110" t="n"/>
    </row>
    <row r="695" ht="13.5" customHeight="1" s="52">
      <c r="A695" s="104" t="n">
        <v>688</v>
      </c>
      <c r="B695" s="119" t="n"/>
      <c r="C695" s="119" t="n"/>
      <c r="D695" s="119" t="n"/>
      <c r="F695" s="119" t="n"/>
      <c r="H695" s="119" t="n"/>
      <c r="I695" s="115" t="inlineStr">
        <is>
          <t>П</t>
        </is>
      </c>
      <c r="J695" s="117" t="n">
        <v>0</v>
      </c>
      <c r="K695" s="117" t="n">
        <v>0</v>
      </c>
      <c r="L695" s="117" t="n">
        <v>0</v>
      </c>
      <c r="M695" s="117" t="n">
        <v>0</v>
      </c>
      <c r="N695" s="116" t="n"/>
      <c r="O695" s="117" t="n">
        <v>0</v>
      </c>
      <c r="P695" s="117" t="n">
        <v>0</v>
      </c>
      <c r="Q695" s="117" t="n">
        <v>647.0522099999999</v>
      </c>
      <c r="R695" s="117" t="n">
        <v>647.0522099999999</v>
      </c>
      <c r="S695" s="118" t="n">
        <v>0</v>
      </c>
      <c r="T695" s="110" t="n"/>
    </row>
    <row r="696" ht="13.5" customHeight="1" s="52">
      <c r="A696" s="104" t="n">
        <v>689</v>
      </c>
      <c r="B696" s="119" t="n"/>
      <c r="C696" s="119" t="n"/>
      <c r="D696" s="119" t="n"/>
      <c r="F696" s="115" t="inlineStr">
        <is>
          <t>6055</t>
        </is>
      </c>
      <c r="G696" s="116" t="n"/>
      <c r="H696" s="11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6" s="115" t="inlineStr">
        <is>
          <t>А</t>
        </is>
      </c>
      <c r="J696" s="117" t="n">
        <v>39.14917</v>
      </c>
      <c r="K696" s="117" t="n">
        <v>39.14917</v>
      </c>
      <c r="L696" s="117" t="n">
        <v>0</v>
      </c>
      <c r="M696" s="117" t="n">
        <v>856.80144</v>
      </c>
      <c r="N696" s="116" t="n"/>
      <c r="O696" s="117" t="n">
        <v>856.80144</v>
      </c>
      <c r="P696" s="117" t="n">
        <v>0</v>
      </c>
      <c r="Q696" s="117" t="n">
        <v>0</v>
      </c>
      <c r="R696" s="117" t="n">
        <v>0</v>
      </c>
      <c r="S696" s="118" t="n">
        <v>0</v>
      </c>
      <c r="T696" s="110" t="n"/>
    </row>
    <row r="697" ht="14.25" customHeight="1" s="52">
      <c r="A697" s="104" t="n">
        <v>690</v>
      </c>
      <c r="B697" s="119" t="n"/>
      <c r="C697" s="119" t="n"/>
      <c r="D697" s="119" t="n"/>
      <c r="F697" s="119" t="n"/>
      <c r="H697" s="119" t="n"/>
      <c r="I697" s="115" t="inlineStr">
        <is>
          <t>П</t>
        </is>
      </c>
      <c r="J697" s="117" t="n">
        <v>0</v>
      </c>
      <c r="K697" s="117" t="n">
        <v>0</v>
      </c>
      <c r="L697" s="117" t="n">
        <v>0</v>
      </c>
      <c r="M697" s="117" t="n">
        <v>0</v>
      </c>
      <c r="N697" s="116" t="n"/>
      <c r="O697" s="117" t="n">
        <v>0</v>
      </c>
      <c r="P697" s="117" t="n">
        <v>0</v>
      </c>
      <c r="Q697" s="117" t="n">
        <v>8881.57998</v>
      </c>
      <c r="R697" s="117" t="n">
        <v>8881.57998</v>
      </c>
      <c r="S697" s="118" t="n">
        <v>0</v>
      </c>
      <c r="T697" s="110" t="n"/>
    </row>
    <row r="698" ht="13.5" customHeight="1" s="52">
      <c r="A698" s="104" t="n">
        <v>691</v>
      </c>
      <c r="B698" s="119" t="n"/>
      <c r="C698" s="119" t="n"/>
      <c r="D698" s="119" t="n"/>
      <c r="F698" s="120" t="inlineStr">
        <is>
          <t>Група 605 - Усього</t>
        </is>
      </c>
      <c r="G698" s="116" t="n"/>
      <c r="H698" s="116" t="n"/>
      <c r="I698" s="120" t="n"/>
      <c r="J698" s="121" t="n">
        <v>40.55442</v>
      </c>
      <c r="K698" s="121" t="n">
        <v>40.55442</v>
      </c>
      <c r="L698" s="121" t="n">
        <v>0</v>
      </c>
      <c r="M698" s="121" t="n">
        <v>1753.92575</v>
      </c>
      <c r="N698" s="116" t="n"/>
      <c r="O698" s="121" t="n">
        <v>1753.92575</v>
      </c>
      <c r="P698" s="121" t="n">
        <v>0</v>
      </c>
      <c r="Q698" s="121" t="n">
        <v>24503.90404</v>
      </c>
      <c r="R698" s="121" t="n">
        <v>24503.90404</v>
      </c>
      <c r="S698" s="122" t="n">
        <v>0</v>
      </c>
      <c r="T698" s="110" t="n"/>
    </row>
    <row r="699" ht="13.5" customHeight="1" s="52">
      <c r="A699" s="104" t="n">
        <v>692</v>
      </c>
      <c r="B699" s="119" t="n"/>
      <c r="C699" s="119" t="n"/>
      <c r="D699" s="115" t="inlineStr">
        <is>
          <t>606</t>
        </is>
      </c>
      <c r="E699" s="116" t="n"/>
      <c r="F699" s="115" t="inlineStr">
        <is>
          <t>6060</t>
        </is>
      </c>
      <c r="G699" s="116" t="n"/>
      <c r="H699" s="11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9" s="115" t="inlineStr">
        <is>
          <t>А</t>
        </is>
      </c>
      <c r="J699" s="117" t="n">
        <v>0</v>
      </c>
      <c r="K699" s="117" t="n">
        <v>0</v>
      </c>
      <c r="L699" s="117" t="n">
        <v>0</v>
      </c>
      <c r="M699" s="117" t="n">
        <v>0</v>
      </c>
      <c r="N699" s="116" t="n"/>
      <c r="O699" s="117" t="n">
        <v>0</v>
      </c>
      <c r="P699" s="117" t="n">
        <v>0</v>
      </c>
      <c r="Q699" s="117" t="n">
        <v>-18.61046</v>
      </c>
      <c r="R699" s="117" t="n">
        <v>-18.61046</v>
      </c>
      <c r="S699" s="118" t="n">
        <v>0</v>
      </c>
      <c r="T699" s="110" t="n"/>
    </row>
    <row r="700" ht="13.5" customHeight="1" s="52">
      <c r="A700" s="104" t="n">
        <v>693</v>
      </c>
      <c r="B700" s="119" t="n"/>
      <c r="C700" s="119" t="n"/>
      <c r="D700" s="119" t="n"/>
      <c r="F700" s="119" t="n"/>
      <c r="H700" s="119" t="n"/>
      <c r="I700" s="115" t="inlineStr">
        <is>
          <t>П</t>
        </is>
      </c>
      <c r="J700" s="117" t="n">
        <v>0</v>
      </c>
      <c r="K700" s="117" t="n">
        <v>0</v>
      </c>
      <c r="L700" s="117" t="n">
        <v>0</v>
      </c>
      <c r="M700" s="117" t="n">
        <v>0</v>
      </c>
      <c r="N700" s="116" t="n"/>
      <c r="O700" s="117" t="n">
        <v>0</v>
      </c>
      <c r="P700" s="117" t="n">
        <v>0</v>
      </c>
      <c r="Q700" s="117" t="n">
        <v>0</v>
      </c>
      <c r="R700" s="117" t="n">
        <v>0</v>
      </c>
      <c r="S700" s="118" t="n">
        <v>0</v>
      </c>
      <c r="T700" s="110" t="n"/>
    </row>
    <row r="701" ht="13.5" customHeight="1" s="52">
      <c r="A701" s="104" t="n">
        <v>694</v>
      </c>
      <c r="B701" s="119" t="n"/>
      <c r="C701" s="119" t="n"/>
      <c r="D701" s="119" t="n"/>
      <c r="F701" s="115" t="inlineStr">
        <is>
          <t>6061</t>
        </is>
      </c>
      <c r="G701" s="116" t="n"/>
      <c r="H701" s="11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701" s="115" t="inlineStr">
        <is>
          <t>А</t>
        </is>
      </c>
      <c r="J701" s="117" t="n">
        <v>0</v>
      </c>
      <c r="K701" s="117" t="n">
        <v>0</v>
      </c>
      <c r="L701" s="117" t="n">
        <v>0</v>
      </c>
      <c r="M701" s="117" t="n">
        <v>0</v>
      </c>
      <c r="N701" s="116" t="n"/>
      <c r="O701" s="117" t="n">
        <v>0</v>
      </c>
      <c r="P701" s="117" t="n">
        <v>0</v>
      </c>
      <c r="Q701" s="117" t="n">
        <v>0</v>
      </c>
      <c r="R701" s="117" t="n">
        <v>0</v>
      </c>
      <c r="S701" s="118" t="n">
        <v>0</v>
      </c>
      <c r="T701" s="110" t="n"/>
    </row>
    <row r="702" ht="14.25" customHeight="1" s="52">
      <c r="A702" s="104" t="n">
        <v>695</v>
      </c>
      <c r="B702" s="119" t="n"/>
      <c r="C702" s="119" t="n"/>
      <c r="D702" s="119" t="n"/>
      <c r="F702" s="119" t="n"/>
      <c r="H702" s="119" t="n"/>
      <c r="I702" s="115" t="inlineStr">
        <is>
          <t>П</t>
        </is>
      </c>
      <c r="J702" s="117" t="n">
        <v>0</v>
      </c>
      <c r="K702" s="117" t="n">
        <v>0</v>
      </c>
      <c r="L702" s="117" t="n">
        <v>0</v>
      </c>
      <c r="M702" s="117" t="n">
        <v>0</v>
      </c>
      <c r="N702" s="116" t="n"/>
      <c r="O702" s="117" t="n">
        <v>0</v>
      </c>
      <c r="P702" s="117" t="n">
        <v>0</v>
      </c>
      <c r="Q702" s="117" t="n">
        <v>0</v>
      </c>
      <c r="R702" s="117" t="n">
        <v>0</v>
      </c>
      <c r="S702" s="118" t="n">
        <v>0</v>
      </c>
      <c r="T702" s="110" t="n"/>
    </row>
    <row r="703" ht="13.5" customHeight="1" s="52">
      <c r="A703" s="104" t="n">
        <v>696</v>
      </c>
      <c r="B703" s="119" t="n"/>
      <c r="C703" s="119" t="n"/>
      <c r="D703" s="119" t="n"/>
      <c r="F703" s="115" t="inlineStr">
        <is>
          <t>6063</t>
        </is>
      </c>
      <c r="G703" s="116" t="n"/>
      <c r="H703" s="11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3" s="115" t="inlineStr">
        <is>
          <t>А</t>
        </is>
      </c>
      <c r="J703" s="117" t="n">
        <v>4.13865</v>
      </c>
      <c r="K703" s="117" t="n">
        <v>4.13865</v>
      </c>
      <c r="L703" s="117" t="n">
        <v>0</v>
      </c>
      <c r="M703" s="117" t="n">
        <v>4.66325</v>
      </c>
      <c r="N703" s="116" t="n"/>
      <c r="O703" s="117" t="n">
        <v>4.66325</v>
      </c>
      <c r="P703" s="117" t="n">
        <v>0</v>
      </c>
      <c r="Q703" s="117" t="n">
        <v>0</v>
      </c>
      <c r="R703" s="117" t="n">
        <v>0</v>
      </c>
      <c r="S703" s="118" t="n">
        <v>0</v>
      </c>
      <c r="T703" s="110" t="n"/>
    </row>
    <row r="704" ht="13.5" customHeight="1" s="52">
      <c r="A704" s="104" t="n">
        <v>697</v>
      </c>
      <c r="B704" s="119" t="n"/>
      <c r="C704" s="119" t="n"/>
      <c r="D704" s="119" t="n"/>
      <c r="F704" s="119" t="n"/>
      <c r="H704" s="119" t="n"/>
      <c r="I704" s="115" t="inlineStr">
        <is>
          <t>П</t>
        </is>
      </c>
      <c r="J704" s="117" t="n">
        <v>0</v>
      </c>
      <c r="K704" s="117" t="n">
        <v>0</v>
      </c>
      <c r="L704" s="117" t="n">
        <v>0</v>
      </c>
      <c r="M704" s="117" t="n">
        <v>0</v>
      </c>
      <c r="N704" s="116" t="n"/>
      <c r="O704" s="117" t="n">
        <v>0</v>
      </c>
      <c r="P704" s="117" t="n">
        <v>0</v>
      </c>
      <c r="Q704" s="117" t="n">
        <v>4.10915</v>
      </c>
      <c r="R704" s="117" t="n">
        <v>4.10915</v>
      </c>
      <c r="S704" s="118" t="n">
        <v>0</v>
      </c>
      <c r="T704" s="110" t="n"/>
    </row>
    <row r="705" ht="13.5" customHeight="1" s="52">
      <c r="A705" s="104" t="n">
        <v>698</v>
      </c>
      <c r="B705" s="119" t="n"/>
      <c r="C705" s="119" t="n"/>
      <c r="D705" s="119" t="n"/>
      <c r="F705" s="120" t="inlineStr">
        <is>
          <t>Група 606 - Усього</t>
        </is>
      </c>
      <c r="G705" s="116" t="n"/>
      <c r="H705" s="116" t="n"/>
      <c r="I705" s="120" t="n"/>
      <c r="J705" s="121" t="n">
        <v>4.13865</v>
      </c>
      <c r="K705" s="121" t="n">
        <v>4.13865</v>
      </c>
      <c r="L705" s="121" t="n">
        <v>0</v>
      </c>
      <c r="M705" s="121" t="n">
        <v>4.66325</v>
      </c>
      <c r="N705" s="116" t="n"/>
      <c r="O705" s="121" t="n">
        <v>4.66325</v>
      </c>
      <c r="P705" s="121" t="n">
        <v>0</v>
      </c>
      <c r="Q705" s="121" t="n">
        <v>-14.50131</v>
      </c>
      <c r="R705" s="121" t="n">
        <v>-14.50131</v>
      </c>
      <c r="S705" s="122" t="n">
        <v>0</v>
      </c>
      <c r="T705" s="110" t="n"/>
    </row>
    <row r="706" ht="13.5" customHeight="1" s="52">
      <c r="A706" s="104" t="n">
        <v>699</v>
      </c>
      <c r="B706" s="119" t="n"/>
      <c r="C706" s="119" t="n"/>
      <c r="D706" s="115" t="inlineStr">
        <is>
          <t>609</t>
        </is>
      </c>
      <c r="E706" s="116" t="n"/>
      <c r="F706" s="115" t="inlineStr">
        <is>
          <t>6090</t>
        </is>
      </c>
      <c r="G706" s="116" t="n"/>
      <c r="H706" s="115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6" s="115" t="inlineStr">
        <is>
          <t>П</t>
        </is>
      </c>
      <c r="J706" s="117" t="n">
        <v>0</v>
      </c>
      <c r="K706" s="117" t="n">
        <v>0</v>
      </c>
      <c r="L706" s="117" t="n">
        <v>0</v>
      </c>
      <c r="M706" s="117" t="n">
        <v>0</v>
      </c>
      <c r="N706" s="116" t="n"/>
      <c r="O706" s="117" t="n">
        <v>0</v>
      </c>
      <c r="P706" s="117" t="n">
        <v>0</v>
      </c>
      <c r="Q706" s="117" t="n">
        <v>0</v>
      </c>
      <c r="R706" s="117" t="n">
        <v>0</v>
      </c>
      <c r="S706" s="118" t="n">
        <v>0</v>
      </c>
      <c r="T706" s="110" t="n"/>
    </row>
    <row r="707" ht="14.25" customHeight="1" s="52">
      <c r="A707" s="104" t="n">
        <v>700</v>
      </c>
      <c r="B707" s="119" t="n"/>
      <c r="C707" s="119" t="n"/>
      <c r="D707" s="119" t="n"/>
      <c r="F707" s="115" t="inlineStr">
        <is>
          <t>6094</t>
        </is>
      </c>
      <c r="G707" s="116" t="n"/>
      <c r="H707" s="115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7" s="115" t="inlineStr">
        <is>
          <t>П</t>
        </is>
      </c>
      <c r="J707" s="117" t="n">
        <v>0</v>
      </c>
      <c r="K707" s="117" t="n">
        <v>0</v>
      </c>
      <c r="L707" s="117" t="n">
        <v>0</v>
      </c>
      <c r="M707" s="117" t="n">
        <v>0</v>
      </c>
      <c r="N707" s="116" t="n"/>
      <c r="O707" s="117" t="n">
        <v>0</v>
      </c>
      <c r="P707" s="117" t="n">
        <v>0</v>
      </c>
      <c r="Q707" s="117" t="n">
        <v>0</v>
      </c>
      <c r="R707" s="117" t="n">
        <v>0</v>
      </c>
      <c r="S707" s="118" t="n">
        <v>0</v>
      </c>
      <c r="T707" s="110" t="n"/>
    </row>
    <row r="708" ht="13.5" customHeight="1" s="52">
      <c r="A708" s="104" t="n">
        <v>701</v>
      </c>
      <c r="B708" s="119" t="n"/>
      <c r="C708" s="119" t="n"/>
      <c r="D708" s="119" t="n"/>
      <c r="F708" s="120" t="inlineStr">
        <is>
          <t>Група 609 - Усього</t>
        </is>
      </c>
      <c r="G708" s="116" t="n"/>
      <c r="H708" s="116" t="n"/>
      <c r="I708" s="120" t="n"/>
      <c r="J708" s="121" t="n">
        <v>0</v>
      </c>
      <c r="K708" s="121" t="n">
        <v>0</v>
      </c>
      <c r="L708" s="121" t="n">
        <v>0</v>
      </c>
      <c r="M708" s="121" t="n">
        <v>0</v>
      </c>
      <c r="N708" s="116" t="n"/>
      <c r="O708" s="121" t="n">
        <v>0</v>
      </c>
      <c r="P708" s="121" t="n">
        <v>0</v>
      </c>
      <c r="Q708" s="121" t="n">
        <v>0</v>
      </c>
      <c r="R708" s="121" t="n">
        <v>0</v>
      </c>
      <c r="S708" s="122" t="n">
        <v>0</v>
      </c>
      <c r="T708" s="110" t="n"/>
    </row>
    <row r="709" ht="18.75" customHeight="1" s="52">
      <c r="A709" s="104" t="n">
        <v>702</v>
      </c>
      <c r="B709" s="119" t="n"/>
      <c r="C709" s="119" t="n"/>
      <c r="D709" s="120" t="inlineStr">
        <is>
          <t>Розділ 60 - Усього</t>
        </is>
      </c>
      <c r="E709" s="116" t="n"/>
      <c r="F709" s="120" t="n"/>
      <c r="G709" s="116" t="n"/>
      <c r="H709" s="116" t="n"/>
      <c r="I709" s="120" t="n"/>
      <c r="J709" s="121" t="n">
        <v>87242.34974000001</v>
      </c>
      <c r="K709" s="121" t="n">
        <v>87242.34974000001</v>
      </c>
      <c r="L709" s="121" t="n">
        <v>0</v>
      </c>
      <c r="M709" s="121" t="n">
        <v>1109968.69249</v>
      </c>
      <c r="N709" s="116" t="n"/>
      <c r="O709" s="121" t="n">
        <v>1109968.69249</v>
      </c>
      <c r="P709" s="121" t="n">
        <v>0</v>
      </c>
      <c r="Q709" s="121" t="n">
        <v>10531728.08383</v>
      </c>
      <c r="R709" s="121" t="n">
        <v>10531728.08383</v>
      </c>
      <c r="S709" s="122" t="n">
        <v>0</v>
      </c>
      <c r="T709" s="110" t="n"/>
    </row>
    <row r="710" ht="13.5" customHeight="1" s="52">
      <c r="A710" s="104" t="n">
        <v>703</v>
      </c>
      <c r="B710" s="119" t="n"/>
      <c r="C710" s="115" t="inlineStr">
        <is>
          <t>61</t>
        </is>
      </c>
      <c r="D710" s="115" t="inlineStr">
        <is>
          <t>611</t>
        </is>
      </c>
      <c r="E710" s="116" t="n"/>
      <c r="F710" s="115" t="inlineStr">
        <is>
          <t>6110</t>
        </is>
      </c>
      <c r="G710" s="116" t="n"/>
      <c r="H710" s="115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I710" s="115" t="inlineStr">
        <is>
          <t>П</t>
        </is>
      </c>
      <c r="J710" s="117" t="n">
        <v>0</v>
      </c>
      <c r="K710" s="117" t="n">
        <v>0</v>
      </c>
      <c r="L710" s="117" t="n">
        <v>0</v>
      </c>
      <c r="M710" s="117" t="n">
        <v>0</v>
      </c>
      <c r="N710" s="116" t="n"/>
      <c r="O710" s="117" t="n">
        <v>0</v>
      </c>
      <c r="P710" s="117" t="n">
        <v>0</v>
      </c>
      <c r="Q710" s="117" t="n">
        <v>0</v>
      </c>
      <c r="R710" s="117" t="n">
        <v>0</v>
      </c>
      <c r="S710" s="118" t="n">
        <v>0</v>
      </c>
      <c r="T710" s="110" t="n"/>
    </row>
    <row r="711" ht="13.5" customHeight="1" s="52">
      <c r="A711" s="104" t="n">
        <v>704</v>
      </c>
      <c r="B711" s="119" t="n"/>
      <c r="C711" s="119" t="n"/>
      <c r="D711" s="119" t="n"/>
      <c r="F711" s="115" t="inlineStr">
        <is>
          <t>6113</t>
        </is>
      </c>
      <c r="G711" s="116" t="n"/>
      <c r="H711" s="115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11" s="115" t="inlineStr">
        <is>
          <t>П</t>
        </is>
      </c>
      <c r="J711" s="117" t="n">
        <v>0</v>
      </c>
      <c r="K711" s="117" t="n">
        <v>0</v>
      </c>
      <c r="L711" s="117" t="n">
        <v>0</v>
      </c>
      <c r="M711" s="117" t="n">
        <v>0</v>
      </c>
      <c r="N711" s="116" t="n"/>
      <c r="O711" s="117" t="n">
        <v>0</v>
      </c>
      <c r="P711" s="117" t="n">
        <v>0</v>
      </c>
      <c r="Q711" s="117" t="n">
        <v>0</v>
      </c>
      <c r="R711" s="117" t="n">
        <v>0</v>
      </c>
      <c r="S711" s="118" t="n">
        <v>0</v>
      </c>
      <c r="T711" s="110" t="n"/>
    </row>
    <row r="712" ht="14.25" customHeight="1" s="52">
      <c r="A712" s="104" t="n">
        <v>705</v>
      </c>
      <c r="B712" s="119" t="n"/>
      <c r="C712" s="119" t="n"/>
      <c r="D712" s="119" t="n"/>
      <c r="F712" s="120" t="inlineStr">
        <is>
          <t>Група 611 - Усього</t>
        </is>
      </c>
      <c r="G712" s="116" t="n"/>
      <c r="H712" s="116" t="n"/>
      <c r="I712" s="120" t="n"/>
      <c r="J712" s="121" t="n">
        <v>0</v>
      </c>
      <c r="K712" s="121" t="n">
        <v>0</v>
      </c>
      <c r="L712" s="121" t="n">
        <v>0</v>
      </c>
      <c r="M712" s="121" t="n">
        <v>0</v>
      </c>
      <c r="N712" s="116" t="n"/>
      <c r="O712" s="121" t="n">
        <v>0</v>
      </c>
      <c r="P712" s="121" t="n">
        <v>0</v>
      </c>
      <c r="Q712" s="121" t="n">
        <v>0</v>
      </c>
      <c r="R712" s="121" t="n">
        <v>0</v>
      </c>
      <c r="S712" s="122" t="n">
        <v>0</v>
      </c>
      <c r="T712" s="110" t="n"/>
    </row>
    <row r="713" ht="13.5" customHeight="1" s="52">
      <c r="A713" s="104" t="n">
        <v>706</v>
      </c>
      <c r="B713" s="119" t="n"/>
      <c r="C713" s="119" t="n"/>
      <c r="D713" s="115" t="inlineStr">
        <is>
          <t>612</t>
        </is>
      </c>
      <c r="E713" s="116" t="n"/>
      <c r="F713" s="115" t="inlineStr">
        <is>
          <t>6120</t>
        </is>
      </c>
      <c r="G713" s="116" t="n"/>
      <c r="H713" s="11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13" s="115" t="inlineStr">
        <is>
          <t>П</t>
        </is>
      </c>
      <c r="J713" s="117" t="n">
        <v>371.81369</v>
      </c>
      <c r="K713" s="117" t="n">
        <v>371.81369</v>
      </c>
      <c r="L713" s="117" t="n">
        <v>0</v>
      </c>
      <c r="M713" s="117" t="n">
        <v>110826.9777</v>
      </c>
      <c r="N713" s="116" t="n"/>
      <c r="O713" s="117" t="n">
        <v>110826.9777</v>
      </c>
      <c r="P713" s="117" t="n">
        <v>0</v>
      </c>
      <c r="Q713" s="117" t="n">
        <v>1184071.06761</v>
      </c>
      <c r="R713" s="117" t="n">
        <v>1184071.06761</v>
      </c>
      <c r="S713" s="118" t="n">
        <v>0</v>
      </c>
      <c r="T713" s="110" t="n"/>
    </row>
    <row r="714" ht="13.5" customHeight="1" s="52">
      <c r="A714" s="104" t="n">
        <v>707</v>
      </c>
      <c r="B714" s="119" t="n"/>
      <c r="C714" s="119" t="n"/>
      <c r="D714" s="119" t="n"/>
      <c r="F714" s="115" t="inlineStr">
        <is>
          <t>6121</t>
        </is>
      </c>
      <c r="G714" s="116" t="n"/>
      <c r="H714" s="11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4" s="115" t="inlineStr">
        <is>
          <t>А</t>
        </is>
      </c>
      <c r="J714" s="117" t="n">
        <v>7620.90615</v>
      </c>
      <c r="K714" s="117" t="n">
        <v>7620.90615</v>
      </c>
      <c r="L714" s="117" t="n">
        <v>0</v>
      </c>
      <c r="M714" s="117" t="n">
        <v>252802.83247</v>
      </c>
      <c r="N714" s="116" t="n"/>
      <c r="O714" s="117" t="n">
        <v>252802.83247</v>
      </c>
      <c r="P714" s="117" t="n">
        <v>0</v>
      </c>
      <c r="Q714" s="117" t="n">
        <v>0</v>
      </c>
      <c r="R714" s="117" t="n">
        <v>0</v>
      </c>
      <c r="S714" s="118" t="n">
        <v>0</v>
      </c>
      <c r="T714" s="110" t="n"/>
    </row>
    <row r="715" ht="13.5" customHeight="1" s="52">
      <c r="A715" s="104" t="n">
        <v>708</v>
      </c>
      <c r="B715" s="119" t="n"/>
      <c r="C715" s="119" t="n"/>
      <c r="D715" s="119" t="n"/>
      <c r="F715" s="119" t="n"/>
      <c r="H715" s="119" t="n"/>
      <c r="I715" s="115" t="inlineStr">
        <is>
          <t>П</t>
        </is>
      </c>
      <c r="J715" s="117" t="n">
        <v>0</v>
      </c>
      <c r="K715" s="117" t="n">
        <v>0</v>
      </c>
      <c r="L715" s="117" t="n">
        <v>0</v>
      </c>
      <c r="M715" s="117" t="n">
        <v>0</v>
      </c>
      <c r="N715" s="116" t="n"/>
      <c r="O715" s="117" t="n">
        <v>0</v>
      </c>
      <c r="P715" s="117" t="n">
        <v>0</v>
      </c>
      <c r="Q715" s="117" t="n">
        <v>3387939.91017</v>
      </c>
      <c r="R715" s="117" t="n">
        <v>3387939.91017</v>
      </c>
      <c r="S715" s="118" t="n">
        <v>0</v>
      </c>
      <c r="T715" s="110" t="n"/>
    </row>
    <row r="716" ht="13.5" customHeight="1" s="52">
      <c r="A716" s="104" t="n">
        <v>709</v>
      </c>
      <c r="B716" s="119" t="n"/>
      <c r="C716" s="119" t="n"/>
      <c r="D716" s="119" t="n"/>
      <c r="F716" s="115" t="inlineStr">
        <is>
          <t>6122</t>
        </is>
      </c>
      <c r="G716" s="116" t="n"/>
      <c r="H716" s="115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6" s="115" t="inlineStr">
        <is>
          <t>А</t>
        </is>
      </c>
      <c r="J716" s="117" t="n">
        <v>6213.55395</v>
      </c>
      <c r="K716" s="117" t="n">
        <v>6213.55395</v>
      </c>
      <c r="L716" s="117" t="n">
        <v>0</v>
      </c>
      <c r="M716" s="117" t="n">
        <v>305992.82536</v>
      </c>
      <c r="N716" s="116" t="n"/>
      <c r="O716" s="117" t="n">
        <v>305992.82536</v>
      </c>
      <c r="P716" s="117" t="n">
        <v>0</v>
      </c>
      <c r="Q716" s="117" t="n">
        <v>0</v>
      </c>
      <c r="R716" s="117" t="n">
        <v>0</v>
      </c>
      <c r="S716" s="118" t="n">
        <v>0</v>
      </c>
      <c r="T716" s="110" t="n"/>
    </row>
    <row r="717" ht="14.25" customHeight="1" s="52">
      <c r="A717" s="104" t="n">
        <v>710</v>
      </c>
      <c r="B717" s="119" t="n"/>
      <c r="C717" s="119" t="n"/>
      <c r="D717" s="119" t="n"/>
      <c r="F717" s="119" t="n"/>
      <c r="H717" s="119" t="n"/>
      <c r="I717" s="115" t="inlineStr">
        <is>
          <t>П</t>
        </is>
      </c>
      <c r="J717" s="117" t="n">
        <v>0</v>
      </c>
      <c r="K717" s="117" t="n">
        <v>0</v>
      </c>
      <c r="L717" s="117" t="n">
        <v>0</v>
      </c>
      <c r="M717" s="117" t="n">
        <v>0</v>
      </c>
      <c r="N717" s="116" t="n"/>
      <c r="O717" s="117" t="n">
        <v>0</v>
      </c>
      <c r="P717" s="117" t="n">
        <v>0</v>
      </c>
      <c r="Q717" s="117" t="n">
        <v>3125405.41233</v>
      </c>
      <c r="R717" s="117" t="n">
        <v>3125405.41233</v>
      </c>
      <c r="S717" s="118" t="n">
        <v>0</v>
      </c>
      <c r="T717" s="110" t="n"/>
    </row>
    <row r="718" ht="13.5" customHeight="1" s="52">
      <c r="A718" s="104" t="n">
        <v>711</v>
      </c>
      <c r="B718" s="119" t="n"/>
      <c r="C718" s="119" t="n"/>
      <c r="D718" s="119" t="n"/>
      <c r="F718" s="115" t="inlineStr">
        <is>
          <t>6123</t>
        </is>
      </c>
      <c r="G718" s="116" t="n"/>
      <c r="H718" s="115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8" s="115" t="inlineStr">
        <is>
          <t>П</t>
        </is>
      </c>
      <c r="J718" s="117" t="n">
        <v>0</v>
      </c>
      <c r="K718" s="117" t="n">
        <v>0</v>
      </c>
      <c r="L718" s="117" t="n">
        <v>0</v>
      </c>
      <c r="M718" s="117" t="n">
        <v>0</v>
      </c>
      <c r="N718" s="116" t="n"/>
      <c r="O718" s="117" t="n">
        <v>0</v>
      </c>
      <c r="P718" s="117" t="n">
        <v>0</v>
      </c>
      <c r="Q718" s="117" t="n">
        <v>0</v>
      </c>
      <c r="R718" s="117" t="n">
        <v>0</v>
      </c>
      <c r="S718" s="118" t="n">
        <v>0</v>
      </c>
      <c r="T718" s="110" t="n"/>
    </row>
    <row r="719" ht="13.5" customHeight="1" s="52">
      <c r="A719" s="104" t="n">
        <v>712</v>
      </c>
      <c r="B719" s="119" t="n"/>
      <c r="C719" s="119" t="n"/>
      <c r="D719" s="119" t="n"/>
      <c r="F719" s="115" t="inlineStr">
        <is>
          <t>6124</t>
        </is>
      </c>
      <c r="G719" s="116" t="n"/>
      <c r="H719" s="11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9" s="115" t="inlineStr">
        <is>
          <t>А</t>
        </is>
      </c>
      <c r="J719" s="117" t="n">
        <v>0</v>
      </c>
      <c r="K719" s="117" t="n">
        <v>0</v>
      </c>
      <c r="L719" s="117" t="n">
        <v>0</v>
      </c>
      <c r="M719" s="117" t="n">
        <v>0</v>
      </c>
      <c r="N719" s="116" t="n"/>
      <c r="O719" s="117" t="n">
        <v>0</v>
      </c>
      <c r="P719" s="117" t="n">
        <v>0</v>
      </c>
      <c r="Q719" s="117" t="n">
        <v>0</v>
      </c>
      <c r="R719" s="117" t="n">
        <v>0</v>
      </c>
      <c r="S719" s="118" t="n">
        <v>0</v>
      </c>
      <c r="T719" s="110" t="n"/>
    </row>
    <row r="720" ht="13.5" customHeight="1" s="52">
      <c r="A720" s="104" t="n">
        <v>713</v>
      </c>
      <c r="B720" s="119" t="n"/>
      <c r="C720" s="119" t="n"/>
      <c r="D720" s="119" t="n"/>
      <c r="F720" s="119" t="n"/>
      <c r="H720" s="119" t="n"/>
      <c r="I720" s="115" t="inlineStr">
        <is>
          <t>П</t>
        </is>
      </c>
      <c r="J720" s="117" t="n">
        <v>0</v>
      </c>
      <c r="K720" s="117" t="n">
        <v>0</v>
      </c>
      <c r="L720" s="117" t="n">
        <v>0</v>
      </c>
      <c r="M720" s="117" t="n">
        <v>0</v>
      </c>
      <c r="N720" s="116" t="n"/>
      <c r="O720" s="117" t="n">
        <v>0</v>
      </c>
      <c r="P720" s="117" t="n">
        <v>0</v>
      </c>
      <c r="Q720" s="117" t="n">
        <v>0</v>
      </c>
      <c r="R720" s="117" t="n">
        <v>0</v>
      </c>
      <c r="S720" s="118" t="n">
        <v>0</v>
      </c>
      <c r="T720" s="110" t="n"/>
    </row>
    <row r="721" ht="13.5" customHeight="1" s="52">
      <c r="A721" s="104" t="n">
        <v>714</v>
      </c>
      <c r="B721" s="119" t="n"/>
      <c r="C721" s="119" t="n"/>
      <c r="D721" s="119" t="n"/>
      <c r="F721" s="115" t="inlineStr">
        <is>
          <t>6125</t>
        </is>
      </c>
      <c r="G721" s="116" t="n"/>
      <c r="H721" s="115" t="inlineStr">
        <is>
          <t>Процентні доходи за іншими борговими цінними паперами, які обліковуються за амортизованою собівартістю</t>
        </is>
      </c>
      <c r="I721" s="115" t="inlineStr">
        <is>
          <t>А</t>
        </is>
      </c>
      <c r="J721" s="117" t="n">
        <v>40.39156</v>
      </c>
      <c r="K721" s="117" t="n">
        <v>40.39156</v>
      </c>
      <c r="L721" s="117" t="n">
        <v>0</v>
      </c>
      <c r="M721" s="117" t="n">
        <v>72684.15115999999</v>
      </c>
      <c r="N721" s="116" t="n"/>
      <c r="O721" s="117" t="n">
        <v>72684.15115999999</v>
      </c>
      <c r="P721" s="117" t="n">
        <v>0</v>
      </c>
      <c r="Q721" s="117" t="n">
        <v>0</v>
      </c>
      <c r="R721" s="117" t="n">
        <v>0</v>
      </c>
      <c r="S721" s="118" t="n">
        <v>0</v>
      </c>
      <c r="T721" s="110" t="n"/>
    </row>
    <row r="722" ht="14.25" customHeight="1" s="52">
      <c r="A722" s="104" t="n">
        <v>715</v>
      </c>
      <c r="B722" s="119" t="n"/>
      <c r="C722" s="119" t="n"/>
      <c r="D722" s="119" t="n"/>
      <c r="F722" s="119" t="n"/>
      <c r="H722" s="119" t="n"/>
      <c r="I722" s="115" t="inlineStr">
        <is>
          <t>П</t>
        </is>
      </c>
      <c r="J722" s="117" t="n">
        <v>0</v>
      </c>
      <c r="K722" s="117" t="n">
        <v>0</v>
      </c>
      <c r="L722" s="117" t="n">
        <v>0</v>
      </c>
      <c r="M722" s="117" t="n">
        <v>0</v>
      </c>
      <c r="N722" s="116" t="n"/>
      <c r="O722" s="117" t="n">
        <v>0</v>
      </c>
      <c r="P722" s="117" t="n">
        <v>0</v>
      </c>
      <c r="Q722" s="117" t="n">
        <v>781234.545</v>
      </c>
      <c r="R722" s="117" t="n">
        <v>781234.545</v>
      </c>
      <c r="S722" s="118" t="n">
        <v>0</v>
      </c>
      <c r="T722" s="110" t="n"/>
    </row>
    <row r="723" ht="13.5" customHeight="1" s="52">
      <c r="A723" s="104" t="n">
        <v>716</v>
      </c>
      <c r="B723" s="119" t="n"/>
      <c r="C723" s="119" t="n"/>
      <c r="D723" s="119" t="n"/>
      <c r="F723" s="115" t="inlineStr">
        <is>
          <t>6127</t>
        </is>
      </c>
      <c r="G723" s="116" t="n"/>
      <c r="H723" s="115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23" s="115" t="inlineStr">
        <is>
          <t>А</t>
        </is>
      </c>
      <c r="J723" s="117" t="n">
        <v>0</v>
      </c>
      <c r="K723" s="117" t="n">
        <v>0</v>
      </c>
      <c r="L723" s="117" t="n">
        <v>0</v>
      </c>
      <c r="M723" s="117" t="n">
        <v>0</v>
      </c>
      <c r="N723" s="116" t="n"/>
      <c r="O723" s="117" t="n">
        <v>0</v>
      </c>
      <c r="P723" s="117" t="n">
        <v>0</v>
      </c>
      <c r="Q723" s="117" t="n">
        <v>0</v>
      </c>
      <c r="R723" s="117" t="n">
        <v>0</v>
      </c>
      <c r="S723" s="118" t="n">
        <v>0</v>
      </c>
      <c r="T723" s="110" t="n"/>
    </row>
    <row r="724" ht="13.5" customHeight="1" s="52">
      <c r="A724" s="104" t="n">
        <v>717</v>
      </c>
      <c r="B724" s="119" t="n"/>
      <c r="C724" s="119" t="n"/>
      <c r="D724" s="119" t="n"/>
      <c r="F724" s="119" t="n"/>
      <c r="H724" s="119" t="n"/>
      <c r="I724" s="115" t="inlineStr">
        <is>
          <t>П</t>
        </is>
      </c>
      <c r="J724" s="117" t="n">
        <v>0</v>
      </c>
      <c r="K724" s="117" t="n">
        <v>0</v>
      </c>
      <c r="L724" s="117" t="n">
        <v>0</v>
      </c>
      <c r="M724" s="117" t="n">
        <v>0</v>
      </c>
      <c r="N724" s="116" t="n"/>
      <c r="O724" s="117" t="n">
        <v>0</v>
      </c>
      <c r="P724" s="117" t="n">
        <v>0</v>
      </c>
      <c r="Q724" s="117" t="n">
        <v>0</v>
      </c>
      <c r="R724" s="117" t="n">
        <v>0</v>
      </c>
      <c r="S724" s="118" t="n">
        <v>0</v>
      </c>
      <c r="T724" s="110" t="n"/>
    </row>
    <row r="725" ht="13.5" customHeight="1" s="52">
      <c r="A725" s="104" t="n">
        <v>718</v>
      </c>
      <c r="B725" s="119" t="n"/>
      <c r="C725" s="119" t="n"/>
      <c r="D725" s="119" t="n"/>
      <c r="F725" s="115" t="inlineStr">
        <is>
          <t>6128</t>
        </is>
      </c>
      <c r="G725" s="116" t="n"/>
      <c r="H725" s="11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5" s="115" t="inlineStr">
        <is>
          <t>А</t>
        </is>
      </c>
      <c r="J725" s="117" t="n">
        <v>13.785</v>
      </c>
      <c r="K725" s="117" t="n">
        <v>13.785</v>
      </c>
      <c r="L725" s="117" t="n">
        <v>0</v>
      </c>
      <c r="M725" s="117" t="n">
        <v>206825.89</v>
      </c>
      <c r="N725" s="116" t="n"/>
      <c r="O725" s="117" t="n">
        <v>206825.89</v>
      </c>
      <c r="P725" s="117" t="n">
        <v>0</v>
      </c>
      <c r="Q725" s="117" t="n">
        <v>0</v>
      </c>
      <c r="R725" s="117" t="n">
        <v>0</v>
      </c>
      <c r="S725" s="118" t="n">
        <v>0</v>
      </c>
      <c r="T725" s="110" t="n"/>
    </row>
    <row r="726" ht="13.5" customHeight="1" s="52">
      <c r="A726" s="104" t="n">
        <v>719</v>
      </c>
      <c r="B726" s="119" t="n"/>
      <c r="C726" s="119" t="n"/>
      <c r="D726" s="119" t="n"/>
      <c r="F726" s="119" t="n"/>
      <c r="H726" s="119" t="n"/>
      <c r="I726" s="115" t="inlineStr">
        <is>
          <t>П</t>
        </is>
      </c>
      <c r="J726" s="117" t="n">
        <v>0</v>
      </c>
      <c r="K726" s="117" t="n">
        <v>0</v>
      </c>
      <c r="L726" s="117" t="n">
        <v>0</v>
      </c>
      <c r="M726" s="117" t="n">
        <v>0</v>
      </c>
      <c r="N726" s="116" t="n"/>
      <c r="O726" s="117" t="n">
        <v>0</v>
      </c>
      <c r="P726" s="117" t="n">
        <v>0</v>
      </c>
      <c r="Q726" s="117" t="n">
        <v>3962851.0781</v>
      </c>
      <c r="R726" s="117" t="n">
        <v>3962851.0781</v>
      </c>
      <c r="S726" s="118" t="n">
        <v>0</v>
      </c>
      <c r="T726" s="110" t="n"/>
    </row>
    <row r="727" ht="14.25" customHeight="1" s="52">
      <c r="A727" s="104" t="n">
        <v>720</v>
      </c>
      <c r="B727" s="119" t="n"/>
      <c r="C727" s="119" t="n"/>
      <c r="D727" s="119" t="n"/>
      <c r="F727" s="120" t="inlineStr">
        <is>
          <t>Група 612 - Усього</t>
        </is>
      </c>
      <c r="G727" s="116" t="n"/>
      <c r="H727" s="116" t="n"/>
      <c r="I727" s="120" t="n"/>
      <c r="J727" s="121" t="n">
        <v>14260.45035</v>
      </c>
      <c r="K727" s="121" t="n">
        <v>14260.45035</v>
      </c>
      <c r="L727" s="121" t="n">
        <v>0</v>
      </c>
      <c r="M727" s="121" t="n">
        <v>949132.67669</v>
      </c>
      <c r="N727" s="116" t="n"/>
      <c r="O727" s="121" t="n">
        <v>949132.67669</v>
      </c>
      <c r="P727" s="121" t="n">
        <v>0</v>
      </c>
      <c r="Q727" s="121" t="n">
        <v>12441502.01321</v>
      </c>
      <c r="R727" s="121" t="n">
        <v>12441502.01321</v>
      </c>
      <c r="S727" s="122" t="n">
        <v>0</v>
      </c>
      <c r="T727" s="110" t="n"/>
    </row>
    <row r="728" ht="13.5" customHeight="1" s="52">
      <c r="A728" s="104" t="n">
        <v>721</v>
      </c>
      <c r="B728" s="119" t="n"/>
      <c r="C728" s="119" t="n"/>
      <c r="D728" s="115" t="inlineStr">
        <is>
          <t>614</t>
        </is>
      </c>
      <c r="E728" s="116" t="n"/>
      <c r="F728" s="115" t="inlineStr">
        <is>
          <t>6141</t>
        </is>
      </c>
      <c r="G728" s="116" t="n"/>
      <c r="H728" s="115" t="inlineStr">
        <is>
          <t>Інші процентні доходи</t>
        </is>
      </c>
      <c r="I728" s="115" t="inlineStr">
        <is>
          <t>А</t>
        </is>
      </c>
      <c r="J728" s="117" t="n">
        <v>0</v>
      </c>
      <c r="K728" s="117" t="n">
        <v>0</v>
      </c>
      <c r="L728" s="117" t="n">
        <v>0</v>
      </c>
      <c r="M728" s="117" t="n">
        <v>0</v>
      </c>
      <c r="N728" s="116" t="n"/>
      <c r="O728" s="117" t="n">
        <v>0</v>
      </c>
      <c r="P728" s="117" t="n">
        <v>0</v>
      </c>
      <c r="Q728" s="117" t="n">
        <v>0</v>
      </c>
      <c r="R728" s="117" t="n">
        <v>0</v>
      </c>
      <c r="S728" s="118" t="n">
        <v>0</v>
      </c>
      <c r="T728" s="110" t="n"/>
    </row>
    <row r="729" ht="13.5" customHeight="1" s="52">
      <c r="A729" s="104" t="n">
        <v>722</v>
      </c>
      <c r="B729" s="119" t="n"/>
      <c r="C729" s="119" t="n"/>
      <c r="D729" s="119" t="n"/>
      <c r="F729" s="119" t="n"/>
      <c r="H729" s="119" t="n"/>
      <c r="I729" s="115" t="inlineStr">
        <is>
          <t>П</t>
        </is>
      </c>
      <c r="J729" s="117" t="n">
        <v>0</v>
      </c>
      <c r="K729" s="117" t="n">
        <v>0</v>
      </c>
      <c r="L729" s="117" t="n">
        <v>0</v>
      </c>
      <c r="M729" s="117" t="n">
        <v>0</v>
      </c>
      <c r="N729" s="116" t="n"/>
      <c r="O729" s="117" t="n">
        <v>0</v>
      </c>
      <c r="P729" s="117" t="n">
        <v>0</v>
      </c>
      <c r="Q729" s="117" t="n">
        <v>6521.16788</v>
      </c>
      <c r="R729" s="117" t="n">
        <v>6521.16788</v>
      </c>
      <c r="S729" s="118" t="n">
        <v>0</v>
      </c>
      <c r="T729" s="110" t="n"/>
    </row>
    <row r="730" ht="13.5" customHeight="1" s="52">
      <c r="A730" s="104" t="n">
        <v>723</v>
      </c>
      <c r="B730" s="119" t="n"/>
      <c r="C730" s="119" t="n"/>
      <c r="D730" s="119" t="n"/>
      <c r="F730" s="120" t="inlineStr">
        <is>
          <t>Група 614 - Усього</t>
        </is>
      </c>
      <c r="G730" s="116" t="n"/>
      <c r="H730" s="116" t="n"/>
      <c r="I730" s="120" t="n"/>
      <c r="J730" s="121" t="n">
        <v>0</v>
      </c>
      <c r="K730" s="121" t="n">
        <v>0</v>
      </c>
      <c r="L730" s="121" t="n">
        <v>0</v>
      </c>
      <c r="M730" s="121" t="n">
        <v>0</v>
      </c>
      <c r="N730" s="116" t="n"/>
      <c r="O730" s="121" t="n">
        <v>0</v>
      </c>
      <c r="P730" s="121" t="n">
        <v>0</v>
      </c>
      <c r="Q730" s="121" t="n">
        <v>6521.16788</v>
      </c>
      <c r="R730" s="121" t="n">
        <v>6521.16788</v>
      </c>
      <c r="S730" s="122" t="n">
        <v>0</v>
      </c>
      <c r="T730" s="110" t="n"/>
    </row>
    <row r="731" ht="21" customHeight="1" s="52">
      <c r="A731" s="104" t="n">
        <v>724</v>
      </c>
      <c r="B731" s="119" t="n"/>
      <c r="C731" s="119" t="n"/>
      <c r="D731" s="120" t="inlineStr">
        <is>
          <t>Розділ 61 - Усього</t>
        </is>
      </c>
      <c r="E731" s="116" t="n"/>
      <c r="F731" s="120" t="n"/>
      <c r="G731" s="116" t="n"/>
      <c r="H731" s="116" t="n"/>
      <c r="I731" s="120" t="n"/>
      <c r="J731" s="121" t="n">
        <v>14260.45035</v>
      </c>
      <c r="K731" s="121" t="n">
        <v>14260.45035</v>
      </c>
      <c r="L731" s="121" t="n">
        <v>0</v>
      </c>
      <c r="M731" s="121" t="n">
        <v>949132.67669</v>
      </c>
      <c r="N731" s="116" t="n"/>
      <c r="O731" s="121" t="n">
        <v>949132.67669</v>
      </c>
      <c r="P731" s="121" t="n">
        <v>0</v>
      </c>
      <c r="Q731" s="121" t="n">
        <v>12448023.18109</v>
      </c>
      <c r="R731" s="121" t="n">
        <v>12448023.18109</v>
      </c>
      <c r="S731" s="122" t="n">
        <v>0</v>
      </c>
      <c r="T731" s="110" t="n"/>
    </row>
    <row r="732" ht="14.25" customHeight="1" s="52">
      <c r="A732" s="104" t="n">
        <v>725</v>
      </c>
      <c r="B732" s="119" t="n"/>
      <c r="C732" s="115" t="inlineStr">
        <is>
          <t>62</t>
        </is>
      </c>
      <c r="D732" s="115" t="inlineStr">
        <is>
          <t>620</t>
        </is>
      </c>
      <c r="E732" s="116" t="n"/>
      <c r="F732" s="115" t="inlineStr">
        <is>
          <t>6201</t>
        </is>
      </c>
      <c r="G732" s="116" t="n"/>
      <c r="H732" s="115" t="inlineStr">
        <is>
          <t>Результат від переоцінки інших похідних фінансових інструментів</t>
        </is>
      </c>
      <c r="I732" s="115" t="inlineStr">
        <is>
          <t>А</t>
        </is>
      </c>
      <c r="J732" s="117" t="n">
        <v>0</v>
      </c>
      <c r="K732" s="117" t="n">
        <v>0</v>
      </c>
      <c r="L732" s="117" t="n">
        <v>0</v>
      </c>
      <c r="M732" s="117" t="n">
        <v>0</v>
      </c>
      <c r="N732" s="116" t="n"/>
      <c r="O732" s="117" t="n">
        <v>0</v>
      </c>
      <c r="P732" s="117" t="n">
        <v>0</v>
      </c>
      <c r="Q732" s="117" t="n">
        <v>0</v>
      </c>
      <c r="R732" s="117" t="n">
        <v>0</v>
      </c>
      <c r="S732" s="118" t="n">
        <v>0</v>
      </c>
      <c r="T732" s="110" t="n"/>
    </row>
    <row r="733" ht="13.5" customHeight="1" s="52">
      <c r="A733" s="104" t="n">
        <v>726</v>
      </c>
      <c r="B733" s="119" t="n"/>
      <c r="C733" s="119" t="n"/>
      <c r="D733" s="119" t="n"/>
      <c r="F733" s="119" t="n"/>
      <c r="H733" s="119" t="n"/>
      <c r="I733" s="115" t="inlineStr">
        <is>
          <t>П</t>
        </is>
      </c>
      <c r="J733" s="117" t="n">
        <v>0</v>
      </c>
      <c r="K733" s="117" t="n">
        <v>0</v>
      </c>
      <c r="L733" s="117" t="n">
        <v>0</v>
      </c>
      <c r="M733" s="117" t="n">
        <v>0</v>
      </c>
      <c r="N733" s="116" t="n"/>
      <c r="O733" s="117" t="n">
        <v>0</v>
      </c>
      <c r="P733" s="117" t="n">
        <v>0</v>
      </c>
      <c r="Q733" s="117" t="n">
        <v>0</v>
      </c>
      <c r="R733" s="117" t="n">
        <v>0</v>
      </c>
      <c r="S733" s="118" t="n">
        <v>0</v>
      </c>
      <c r="T733" s="110" t="n"/>
    </row>
    <row r="734" ht="13.5" customHeight="1" s="52">
      <c r="A734" s="104" t="n">
        <v>727</v>
      </c>
      <c r="B734" s="119" t="n"/>
      <c r="C734" s="119" t="n"/>
      <c r="D734" s="119" t="n"/>
      <c r="F734" s="115" t="inlineStr">
        <is>
          <t>6204</t>
        </is>
      </c>
      <c r="G734" s="116" t="n"/>
      <c r="H734" s="115" t="inlineStr">
        <is>
          <t>Результат від переоцінки іноземної валюти та банківських металів</t>
        </is>
      </c>
      <c r="I734" s="115" t="inlineStr">
        <is>
          <t>А</t>
        </is>
      </c>
      <c r="J734" s="117" t="n">
        <v>5704492.61381</v>
      </c>
      <c r="K734" s="117" t="n">
        <v>5704492.61381</v>
      </c>
      <c r="L734" s="117" t="n">
        <v>0</v>
      </c>
      <c r="M734" s="117" t="n">
        <v>5643624.02471</v>
      </c>
      <c r="N734" s="116" t="n"/>
      <c r="O734" s="117" t="n">
        <v>5643624.02471</v>
      </c>
      <c r="P734" s="117" t="n">
        <v>0</v>
      </c>
      <c r="Q734" s="117" t="n">
        <v>-304822.4764</v>
      </c>
      <c r="R734" s="117" t="n">
        <v>-304822.4764</v>
      </c>
      <c r="S734" s="118" t="n">
        <v>0</v>
      </c>
      <c r="T734" s="110" t="n"/>
    </row>
    <row r="735" ht="13.5" customHeight="1" s="52">
      <c r="A735" s="104" t="n">
        <v>728</v>
      </c>
      <c r="B735" s="119" t="n"/>
      <c r="C735" s="119" t="n"/>
      <c r="D735" s="119" t="n"/>
      <c r="F735" s="119" t="n"/>
      <c r="H735" s="119" t="n"/>
      <c r="I735" s="115" t="inlineStr">
        <is>
          <t>П</t>
        </is>
      </c>
      <c r="J735" s="117" t="n">
        <v>0</v>
      </c>
      <c r="K735" s="117" t="n">
        <v>0</v>
      </c>
      <c r="L735" s="117" t="n">
        <v>0</v>
      </c>
      <c r="M735" s="117" t="n">
        <v>0</v>
      </c>
      <c r="N735" s="116" t="n"/>
      <c r="O735" s="117" t="n">
        <v>0</v>
      </c>
      <c r="P735" s="117" t="n">
        <v>0</v>
      </c>
      <c r="Q735" s="117" t="n">
        <v>224700.92994</v>
      </c>
      <c r="R735" s="117" t="n">
        <v>224700.92994</v>
      </c>
      <c r="S735" s="118" t="n">
        <v>0</v>
      </c>
      <c r="T735" s="110" t="n"/>
    </row>
    <row r="736" ht="13.5" customHeight="1" s="52">
      <c r="A736" s="104" t="n">
        <v>729</v>
      </c>
      <c r="B736" s="119" t="n"/>
      <c r="C736" s="119" t="n"/>
      <c r="D736" s="119" t="n"/>
      <c r="F736" s="115" t="inlineStr">
        <is>
          <t>6206</t>
        </is>
      </c>
      <c r="G736" s="116" t="n"/>
      <c r="H736" s="115" t="inlineStr">
        <is>
          <t>Результат від переоцінки форвардних контрактів</t>
        </is>
      </c>
      <c r="I736" s="115" t="inlineStr">
        <is>
          <t>А</t>
        </is>
      </c>
      <c r="J736" s="117" t="n">
        <v>0</v>
      </c>
      <c r="K736" s="117" t="n">
        <v>0</v>
      </c>
      <c r="L736" s="117" t="n">
        <v>0</v>
      </c>
      <c r="M736" s="117" t="n">
        <v>0</v>
      </c>
      <c r="N736" s="116" t="n"/>
      <c r="O736" s="117" t="n">
        <v>0</v>
      </c>
      <c r="P736" s="117" t="n">
        <v>0</v>
      </c>
      <c r="Q736" s="117" t="n">
        <v>0</v>
      </c>
      <c r="R736" s="117" t="n">
        <v>0</v>
      </c>
      <c r="S736" s="118" t="n">
        <v>0</v>
      </c>
      <c r="T736" s="110" t="n"/>
    </row>
    <row r="737" ht="14.25" customHeight="1" s="52">
      <c r="A737" s="104" t="n">
        <v>730</v>
      </c>
      <c r="B737" s="119" t="n"/>
      <c r="C737" s="119" t="n"/>
      <c r="D737" s="119" t="n"/>
      <c r="F737" s="119" t="n"/>
      <c r="H737" s="119" t="n"/>
      <c r="I737" s="115" t="inlineStr">
        <is>
          <t>П</t>
        </is>
      </c>
      <c r="J737" s="117" t="n">
        <v>0</v>
      </c>
      <c r="K737" s="117" t="n">
        <v>0</v>
      </c>
      <c r="L737" s="117" t="n">
        <v>0</v>
      </c>
      <c r="M737" s="117" t="n">
        <v>0</v>
      </c>
      <c r="N737" s="116" t="n"/>
      <c r="O737" s="117" t="n">
        <v>0</v>
      </c>
      <c r="P737" s="117" t="n">
        <v>0</v>
      </c>
      <c r="Q737" s="117" t="n">
        <v>0</v>
      </c>
      <c r="R737" s="117" t="n">
        <v>0</v>
      </c>
      <c r="S737" s="118" t="n">
        <v>0</v>
      </c>
      <c r="T737" s="110" t="n"/>
    </row>
    <row r="738" ht="13.5" customHeight="1" s="52">
      <c r="A738" s="104" t="n">
        <v>731</v>
      </c>
      <c r="B738" s="119" t="n"/>
      <c r="C738" s="119" t="n"/>
      <c r="D738" s="119" t="n"/>
      <c r="F738" s="115" t="inlineStr">
        <is>
          <t>6208</t>
        </is>
      </c>
      <c r="G738" s="116" t="n"/>
      <c r="H738" s="115" t="inlineStr">
        <is>
          <t>Результат від переоцінки валютних своп-контрактів</t>
        </is>
      </c>
      <c r="I738" s="115" t="inlineStr">
        <is>
          <t>А</t>
        </is>
      </c>
      <c r="J738" s="117" t="n">
        <v>46263.82305</v>
      </c>
      <c r="K738" s="117" t="n">
        <v>46263.82305</v>
      </c>
      <c r="L738" s="117" t="n">
        <v>0</v>
      </c>
      <c r="M738" s="117" t="n">
        <v>48088.16005</v>
      </c>
      <c r="N738" s="116" t="n"/>
      <c r="O738" s="117" t="n">
        <v>48088.16005</v>
      </c>
      <c r="P738" s="117" t="n">
        <v>0</v>
      </c>
      <c r="Q738" s="117" t="n">
        <v>-190.77314</v>
      </c>
      <c r="R738" s="117" t="n">
        <v>-190.77314</v>
      </c>
      <c r="S738" s="118" t="n">
        <v>0</v>
      </c>
      <c r="T738" s="110" t="n"/>
    </row>
    <row r="739" ht="13.5" customHeight="1" s="52">
      <c r="A739" s="104" t="n">
        <v>732</v>
      </c>
      <c r="B739" s="119" t="n"/>
      <c r="C739" s="119" t="n"/>
      <c r="D739" s="119" t="n"/>
      <c r="F739" s="119" t="n"/>
      <c r="H739" s="119" t="n"/>
      <c r="I739" s="115" t="inlineStr">
        <is>
          <t>П</t>
        </is>
      </c>
      <c r="J739" s="117" t="n">
        <v>0</v>
      </c>
      <c r="K739" s="117" t="n">
        <v>0</v>
      </c>
      <c r="L739" s="117" t="n">
        <v>0</v>
      </c>
      <c r="M739" s="117" t="n">
        <v>0</v>
      </c>
      <c r="N739" s="116" t="n"/>
      <c r="O739" s="117" t="n">
        <v>0</v>
      </c>
      <c r="P739" s="117" t="n">
        <v>0</v>
      </c>
      <c r="Q739" s="117" t="n">
        <v>0</v>
      </c>
      <c r="R739" s="117" t="n">
        <v>0</v>
      </c>
      <c r="S739" s="118" t="n">
        <v>0</v>
      </c>
      <c r="T739" s="110" t="n"/>
    </row>
    <row r="740" ht="13.5" customHeight="1" s="52">
      <c r="A740" s="104" t="n">
        <v>733</v>
      </c>
      <c r="B740" s="119" t="n"/>
      <c r="C740" s="119" t="n"/>
      <c r="D740" s="119" t="n"/>
      <c r="F740" s="115" t="inlineStr">
        <is>
          <t>6209</t>
        </is>
      </c>
      <c r="G740" s="116" t="n"/>
      <c r="H740" s="115" t="inlineStr">
        <is>
          <t>Результат від переоцінки процентних своп-контрактів</t>
        </is>
      </c>
      <c r="I740" s="115" t="inlineStr">
        <is>
          <t>А</t>
        </is>
      </c>
      <c r="J740" s="117" t="n">
        <v>443380.09676</v>
      </c>
      <c r="K740" s="117" t="n">
        <v>443380.09676</v>
      </c>
      <c r="L740" s="117" t="n">
        <v>0</v>
      </c>
      <c r="M740" s="117" t="n">
        <v>442306.10733</v>
      </c>
      <c r="N740" s="116" t="n"/>
      <c r="O740" s="117" t="n">
        <v>442306.10733</v>
      </c>
      <c r="P740" s="117" t="n">
        <v>0</v>
      </c>
      <c r="Q740" s="117" t="n">
        <v>-37354.36015</v>
      </c>
      <c r="R740" s="117" t="n">
        <v>-37354.36015</v>
      </c>
      <c r="S740" s="118" t="n">
        <v>0</v>
      </c>
      <c r="T740" s="110" t="n"/>
    </row>
    <row r="741" ht="13.5" customHeight="1" s="52">
      <c r="A741" s="104" t="n">
        <v>734</v>
      </c>
      <c r="B741" s="119" t="n"/>
      <c r="C741" s="119" t="n"/>
      <c r="D741" s="119" t="n"/>
      <c r="F741" s="119" t="n"/>
      <c r="H741" s="119" t="n"/>
      <c r="I741" s="115" t="inlineStr">
        <is>
          <t>П</t>
        </is>
      </c>
      <c r="J741" s="117" t="n">
        <v>0</v>
      </c>
      <c r="K741" s="117" t="n">
        <v>0</v>
      </c>
      <c r="L741" s="117" t="n">
        <v>0</v>
      </c>
      <c r="M741" s="117" t="n">
        <v>0</v>
      </c>
      <c r="N741" s="116" t="n"/>
      <c r="O741" s="117" t="n">
        <v>0</v>
      </c>
      <c r="P741" s="117" t="n">
        <v>0</v>
      </c>
      <c r="Q741" s="117" t="n">
        <v>0</v>
      </c>
      <c r="R741" s="117" t="n">
        <v>0</v>
      </c>
      <c r="S741" s="118" t="n">
        <v>0</v>
      </c>
      <c r="T741" s="110" t="n"/>
    </row>
    <row r="742" ht="14.25" customHeight="1" s="52">
      <c r="A742" s="104" t="n">
        <v>735</v>
      </c>
      <c r="B742" s="119" t="n"/>
      <c r="C742" s="119" t="n"/>
      <c r="D742" s="119" t="n"/>
      <c r="F742" s="120" t="inlineStr">
        <is>
          <t>Група 620 - Усього</t>
        </is>
      </c>
      <c r="G742" s="116" t="n"/>
      <c r="H742" s="116" t="n"/>
      <c r="I742" s="120" t="n"/>
      <c r="J742" s="121" t="n">
        <v>6194136.53362</v>
      </c>
      <c r="K742" s="121" t="n">
        <v>6194136.53362</v>
      </c>
      <c r="L742" s="121" t="n">
        <v>0</v>
      </c>
      <c r="M742" s="121" t="n">
        <v>6134018.29209</v>
      </c>
      <c r="N742" s="116" t="n"/>
      <c r="O742" s="121" t="n">
        <v>6134018.29209</v>
      </c>
      <c r="P742" s="121" t="n">
        <v>0</v>
      </c>
      <c r="Q742" s="121" t="n">
        <v>-117666.67975</v>
      </c>
      <c r="R742" s="121" t="n">
        <v>-117666.67975</v>
      </c>
      <c r="S742" s="122" t="n">
        <v>0</v>
      </c>
      <c r="T742" s="110" t="n"/>
    </row>
    <row r="743" ht="13.5" customHeight="1" s="52">
      <c r="A743" s="104" t="n">
        <v>736</v>
      </c>
      <c r="B743" s="119" t="n"/>
      <c r="C743" s="119" t="n"/>
      <c r="D743" s="115" t="inlineStr">
        <is>
          <t>621</t>
        </is>
      </c>
      <c r="E743" s="116" t="n"/>
      <c r="F743" s="115" t="inlineStr">
        <is>
          <t>6214</t>
        </is>
      </c>
      <c r="G743" s="116" t="n"/>
      <c r="H743" s="115" t="inlineStr">
        <is>
          <t>Результат від операцій купівлі-продажу іноземної валюти та банківських металів</t>
        </is>
      </c>
      <c r="I743" s="115" t="inlineStr">
        <is>
          <t>А</t>
        </is>
      </c>
      <c r="J743" s="117" t="n">
        <v>21518642.61807</v>
      </c>
      <c r="K743" s="117" t="n">
        <v>21518642.61807</v>
      </c>
      <c r="L743" s="117" t="n">
        <v>0</v>
      </c>
      <c r="M743" s="117" t="n">
        <v>21576231.10176</v>
      </c>
      <c r="N743" s="116" t="n"/>
      <c r="O743" s="117" t="n">
        <v>21576231.10176</v>
      </c>
      <c r="P743" s="117" t="n">
        <v>0</v>
      </c>
      <c r="Q743" s="117" t="n">
        <v>-1407.47062</v>
      </c>
      <c r="R743" s="117" t="n">
        <v>-1407.47062</v>
      </c>
      <c r="S743" s="118" t="n">
        <v>0</v>
      </c>
      <c r="T743" s="110" t="n"/>
    </row>
    <row r="744" ht="13.5" customHeight="1" s="52">
      <c r="A744" s="104" t="n">
        <v>737</v>
      </c>
      <c r="B744" s="119" t="n"/>
      <c r="C744" s="119" t="n"/>
      <c r="D744" s="119" t="n"/>
      <c r="F744" s="119" t="n"/>
      <c r="H744" s="119" t="n"/>
      <c r="I744" s="115" t="inlineStr">
        <is>
          <t>П</t>
        </is>
      </c>
      <c r="J744" s="117" t="n">
        <v>0</v>
      </c>
      <c r="K744" s="117" t="n">
        <v>0</v>
      </c>
      <c r="L744" s="117" t="n">
        <v>0</v>
      </c>
      <c r="M744" s="117" t="n">
        <v>0</v>
      </c>
      <c r="N744" s="116" t="n"/>
      <c r="O744" s="117" t="n">
        <v>0</v>
      </c>
      <c r="P744" s="117" t="n">
        <v>0</v>
      </c>
      <c r="Q744" s="117" t="n">
        <v>720902.93152</v>
      </c>
      <c r="R744" s="117" t="n">
        <v>720902.93152</v>
      </c>
      <c r="S744" s="118" t="n">
        <v>0</v>
      </c>
      <c r="T744" s="110" t="n"/>
    </row>
    <row r="745" ht="13.5" customHeight="1" s="52">
      <c r="A745" s="104" t="n">
        <v>738</v>
      </c>
      <c r="B745" s="119" t="n"/>
      <c r="C745" s="119" t="n"/>
      <c r="D745" s="119" t="n"/>
      <c r="F745" s="115" t="inlineStr">
        <is>
          <t>6216</t>
        </is>
      </c>
      <c r="G745" s="116" t="n"/>
      <c r="H745" s="115" t="inlineStr">
        <is>
          <t>Результат від операцій купівлі-продажу форвардних контрактів</t>
        </is>
      </c>
      <c r="I745" s="115" t="inlineStr">
        <is>
          <t>А</t>
        </is>
      </c>
      <c r="J745" s="117" t="n">
        <v>0</v>
      </c>
      <c r="K745" s="117" t="n">
        <v>0</v>
      </c>
      <c r="L745" s="117" t="n">
        <v>0</v>
      </c>
      <c r="M745" s="117" t="n">
        <v>0</v>
      </c>
      <c r="N745" s="116" t="n"/>
      <c r="O745" s="117" t="n">
        <v>0</v>
      </c>
      <c r="P745" s="117" t="n">
        <v>0</v>
      </c>
      <c r="Q745" s="117" t="n">
        <v>0</v>
      </c>
      <c r="R745" s="117" t="n">
        <v>0</v>
      </c>
      <c r="S745" s="118" t="n">
        <v>0</v>
      </c>
      <c r="T745" s="110" t="n"/>
    </row>
    <row r="746" ht="13.5" customHeight="1" s="52">
      <c r="A746" s="104" t="n">
        <v>739</v>
      </c>
      <c r="B746" s="119" t="n"/>
      <c r="C746" s="119" t="n"/>
      <c r="D746" s="119" t="n"/>
      <c r="F746" s="119" t="n"/>
      <c r="H746" s="119" t="n"/>
      <c r="I746" s="115" t="inlineStr">
        <is>
          <t>П</t>
        </is>
      </c>
      <c r="J746" s="117" t="n">
        <v>0</v>
      </c>
      <c r="K746" s="117" t="n">
        <v>0</v>
      </c>
      <c r="L746" s="117" t="n">
        <v>0</v>
      </c>
      <c r="M746" s="117" t="n">
        <v>0</v>
      </c>
      <c r="N746" s="116" t="n"/>
      <c r="O746" s="117" t="n">
        <v>0</v>
      </c>
      <c r="P746" s="117" t="n">
        <v>0</v>
      </c>
      <c r="Q746" s="117" t="n">
        <v>0</v>
      </c>
      <c r="R746" s="117" t="n">
        <v>0</v>
      </c>
      <c r="S746" s="118" t="n">
        <v>0</v>
      </c>
      <c r="T746" s="110" t="n"/>
    </row>
    <row r="747" ht="14.25" customHeight="1" s="52">
      <c r="A747" s="104" t="n">
        <v>740</v>
      </c>
      <c r="B747" s="119" t="n"/>
      <c r="C747" s="119" t="n"/>
      <c r="D747" s="119" t="n"/>
      <c r="F747" s="115" t="inlineStr">
        <is>
          <t>6218</t>
        </is>
      </c>
      <c r="G747" s="116" t="n"/>
      <c r="H747" s="115" t="inlineStr">
        <is>
          <t>Результат від операцій купівлі-продажу валютних своп-контрактів</t>
        </is>
      </c>
      <c r="I747" s="115" t="inlineStr">
        <is>
          <t>А</t>
        </is>
      </c>
      <c r="J747" s="117" t="n">
        <v>18047.26254</v>
      </c>
      <c r="K747" s="117" t="n">
        <v>18047.26254</v>
      </c>
      <c r="L747" s="117" t="n">
        <v>0</v>
      </c>
      <c r="M747" s="117" t="n">
        <v>12176.35924</v>
      </c>
      <c r="N747" s="116" t="n"/>
      <c r="O747" s="117" t="n">
        <v>12176.35924</v>
      </c>
      <c r="P747" s="117" t="n">
        <v>0</v>
      </c>
      <c r="Q747" s="117" t="n">
        <v>0</v>
      </c>
      <c r="R747" s="117" t="n">
        <v>0</v>
      </c>
      <c r="S747" s="118" t="n">
        <v>0</v>
      </c>
      <c r="T747" s="110" t="n"/>
    </row>
    <row r="748" ht="13.5" customHeight="1" s="52">
      <c r="A748" s="104" t="n">
        <v>741</v>
      </c>
      <c r="B748" s="119" t="n"/>
      <c r="C748" s="119" t="n"/>
      <c r="D748" s="119" t="n"/>
      <c r="F748" s="119" t="n"/>
      <c r="H748" s="119" t="n"/>
      <c r="I748" s="115" t="inlineStr">
        <is>
          <t>П</t>
        </is>
      </c>
      <c r="J748" s="117" t="n">
        <v>0</v>
      </c>
      <c r="K748" s="117" t="n">
        <v>0</v>
      </c>
      <c r="L748" s="117" t="n">
        <v>0</v>
      </c>
      <c r="M748" s="117" t="n">
        <v>0</v>
      </c>
      <c r="N748" s="116" t="n"/>
      <c r="O748" s="117" t="n">
        <v>0</v>
      </c>
      <c r="P748" s="117" t="n">
        <v>0</v>
      </c>
      <c r="Q748" s="117" t="n">
        <v>15771.99206</v>
      </c>
      <c r="R748" s="117" t="n">
        <v>15771.99206</v>
      </c>
      <c r="S748" s="118" t="n">
        <v>0</v>
      </c>
      <c r="T748" s="110" t="n"/>
    </row>
    <row r="749" ht="13.5" customHeight="1" s="52">
      <c r="A749" s="104" t="n">
        <v>742</v>
      </c>
      <c r="B749" s="119" t="n"/>
      <c r="C749" s="119" t="n"/>
      <c r="D749" s="119" t="n"/>
      <c r="F749" s="115" t="inlineStr">
        <is>
          <t>6219</t>
        </is>
      </c>
      <c r="G749" s="116" t="n"/>
      <c r="H749" s="115" t="inlineStr">
        <is>
          <t>Результат від операцій купівлі-продажу процентних своп-контрактів</t>
        </is>
      </c>
      <c r="I749" s="115" t="inlineStr">
        <is>
          <t>П</t>
        </is>
      </c>
      <c r="J749" s="117" t="n">
        <v>0</v>
      </c>
      <c r="K749" s="117" t="n">
        <v>0</v>
      </c>
      <c r="L749" s="117" t="n">
        <v>0</v>
      </c>
      <c r="M749" s="117" t="n">
        <v>0</v>
      </c>
      <c r="N749" s="116" t="n"/>
      <c r="O749" s="117" t="n">
        <v>0</v>
      </c>
      <c r="P749" s="117" t="n">
        <v>0</v>
      </c>
      <c r="Q749" s="117" t="n">
        <v>51489.37803</v>
      </c>
      <c r="R749" s="117" t="n">
        <v>51489.37803</v>
      </c>
      <c r="S749" s="118" t="n">
        <v>0</v>
      </c>
      <c r="T749" s="110" t="n"/>
    </row>
    <row r="750" ht="13.5" customHeight="1" s="52">
      <c r="A750" s="104" t="n">
        <v>743</v>
      </c>
      <c r="B750" s="119" t="n"/>
      <c r="C750" s="119" t="n"/>
      <c r="D750" s="119" t="n"/>
      <c r="F750" s="120" t="inlineStr">
        <is>
          <t>Група 621 - Усього</t>
        </is>
      </c>
      <c r="G750" s="116" t="n"/>
      <c r="H750" s="116" t="n"/>
      <c r="I750" s="120" t="n"/>
      <c r="J750" s="121" t="n">
        <v>21536689.88061</v>
      </c>
      <c r="K750" s="121" t="n">
        <v>21536689.88061</v>
      </c>
      <c r="L750" s="121" t="n">
        <v>0</v>
      </c>
      <c r="M750" s="121" t="n">
        <v>21588407.461</v>
      </c>
      <c r="N750" s="116" t="n"/>
      <c r="O750" s="121" t="n">
        <v>21588407.461</v>
      </c>
      <c r="P750" s="121" t="n">
        <v>0</v>
      </c>
      <c r="Q750" s="121" t="n">
        <v>786756.83099</v>
      </c>
      <c r="R750" s="121" t="n">
        <v>786756.83099</v>
      </c>
      <c r="S750" s="122" t="n">
        <v>0</v>
      </c>
      <c r="T750" s="110" t="n"/>
    </row>
    <row r="751" ht="13.5" customHeight="1" s="52">
      <c r="A751" s="104" t="n">
        <v>744</v>
      </c>
      <c r="B751" s="119" t="n"/>
      <c r="C751" s="119" t="n"/>
      <c r="D751" s="115" t="inlineStr">
        <is>
          <t>622</t>
        </is>
      </c>
      <c r="E751" s="116" t="n"/>
      <c r="F751" s="115" t="inlineStr">
        <is>
          <t>6223</t>
        </is>
      </c>
      <c r="G751" s="116" t="n"/>
      <c r="H751" s="115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51" s="115" t="inlineStr">
        <is>
          <t>А</t>
        </is>
      </c>
      <c r="J751" s="117" t="n">
        <v>335123.80842</v>
      </c>
      <c r="K751" s="117" t="n">
        <v>335123.80842</v>
      </c>
      <c r="L751" s="117" t="n">
        <v>0</v>
      </c>
      <c r="M751" s="117" t="n">
        <v>381703.71967</v>
      </c>
      <c r="N751" s="116" t="n"/>
      <c r="O751" s="117" t="n">
        <v>381703.71967</v>
      </c>
      <c r="P751" s="117" t="n">
        <v>0</v>
      </c>
      <c r="Q751" s="117" t="n">
        <v>-301595.50855</v>
      </c>
      <c r="R751" s="117" t="n">
        <v>-301595.50855</v>
      </c>
      <c r="S751" s="118" t="n">
        <v>0</v>
      </c>
      <c r="T751" s="110" t="n"/>
    </row>
    <row r="752" ht="14.25" customHeight="1" s="52">
      <c r="A752" s="104" t="n">
        <v>745</v>
      </c>
      <c r="B752" s="119" t="n"/>
      <c r="C752" s="119" t="n"/>
      <c r="D752" s="119" t="n"/>
      <c r="F752" s="119" t="n"/>
      <c r="H752" s="119" t="n"/>
      <c r="I752" s="115" t="inlineStr">
        <is>
          <t>П</t>
        </is>
      </c>
      <c r="J752" s="117" t="n">
        <v>0</v>
      </c>
      <c r="K752" s="117" t="n">
        <v>0</v>
      </c>
      <c r="L752" s="117" t="n">
        <v>0</v>
      </c>
      <c r="M752" s="117" t="n">
        <v>0</v>
      </c>
      <c r="N752" s="116" t="n"/>
      <c r="O752" s="117" t="n">
        <v>0</v>
      </c>
      <c r="P752" s="117" t="n">
        <v>0</v>
      </c>
      <c r="Q752" s="117" t="n">
        <v>243328.90637</v>
      </c>
      <c r="R752" s="117" t="n">
        <v>243328.90637</v>
      </c>
      <c r="S752" s="118" t="n">
        <v>0</v>
      </c>
      <c r="T752" s="110" t="n"/>
    </row>
    <row r="753" ht="13.5" customHeight="1" s="52">
      <c r="A753" s="104" t="n">
        <v>746</v>
      </c>
      <c r="B753" s="119" t="n"/>
      <c r="C753" s="119" t="n"/>
      <c r="D753" s="119" t="n"/>
      <c r="F753" s="115" t="inlineStr">
        <is>
          <t>6224</t>
        </is>
      </c>
      <c r="G753" s="116" t="n"/>
      <c r="H753" s="115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53" s="115" t="inlineStr">
        <is>
          <t>А</t>
        </is>
      </c>
      <c r="J753" s="117" t="n">
        <v>0</v>
      </c>
      <c r="K753" s="117" t="n">
        <v>0</v>
      </c>
      <c r="L753" s="117" t="n">
        <v>0</v>
      </c>
      <c r="M753" s="117" t="n">
        <v>0</v>
      </c>
      <c r="N753" s="116" t="n"/>
      <c r="O753" s="117" t="n">
        <v>0</v>
      </c>
      <c r="P753" s="117" t="n">
        <v>0</v>
      </c>
      <c r="Q753" s="117" t="n">
        <v>0</v>
      </c>
      <c r="R753" s="117" t="n">
        <v>0</v>
      </c>
      <c r="S753" s="118" t="n">
        <v>0</v>
      </c>
      <c r="T753" s="110" t="n"/>
    </row>
    <row r="754" ht="13.5" customHeight="1" s="52">
      <c r="A754" s="104" t="n">
        <v>747</v>
      </c>
      <c r="B754" s="119" t="n"/>
      <c r="C754" s="119" t="n"/>
      <c r="D754" s="119" t="n"/>
      <c r="F754" s="119" t="n"/>
      <c r="H754" s="119" t="n"/>
      <c r="I754" s="115" t="inlineStr">
        <is>
          <t>П</t>
        </is>
      </c>
      <c r="J754" s="117" t="n">
        <v>0</v>
      </c>
      <c r="K754" s="117" t="n">
        <v>0</v>
      </c>
      <c r="L754" s="117" t="n">
        <v>0</v>
      </c>
      <c r="M754" s="117" t="n">
        <v>0</v>
      </c>
      <c r="N754" s="116" t="n"/>
      <c r="O754" s="117" t="n">
        <v>0</v>
      </c>
      <c r="P754" s="117" t="n">
        <v>0</v>
      </c>
      <c r="Q754" s="117" t="n">
        <v>0</v>
      </c>
      <c r="R754" s="117" t="n">
        <v>0</v>
      </c>
      <c r="S754" s="118" t="n">
        <v>0</v>
      </c>
      <c r="T754" s="110" t="n"/>
    </row>
    <row r="755" ht="13.5" customHeight="1" s="52">
      <c r="A755" s="104" t="n">
        <v>748</v>
      </c>
      <c r="B755" s="119" t="n"/>
      <c r="C755" s="119" t="n"/>
      <c r="D755" s="119" t="n"/>
      <c r="F755" s="115" t="inlineStr">
        <is>
          <t>6226</t>
        </is>
      </c>
      <c r="G755" s="116" t="n"/>
      <c r="H755" s="115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55" s="115" t="inlineStr">
        <is>
          <t>А</t>
        </is>
      </c>
      <c r="J755" s="117" t="n">
        <v>0</v>
      </c>
      <c r="K755" s="117" t="n">
        <v>0</v>
      </c>
      <c r="L755" s="117" t="n">
        <v>0</v>
      </c>
      <c r="M755" s="117" t="n">
        <v>0</v>
      </c>
      <c r="N755" s="116" t="n"/>
      <c r="O755" s="117" t="n">
        <v>0</v>
      </c>
      <c r="P755" s="117" t="n">
        <v>0</v>
      </c>
      <c r="Q755" s="117" t="n">
        <v>0</v>
      </c>
      <c r="R755" s="117" t="n">
        <v>0</v>
      </c>
      <c r="S755" s="118" t="n">
        <v>0</v>
      </c>
      <c r="T755" s="110" t="n"/>
    </row>
    <row r="756" ht="13.5" customHeight="1" s="52">
      <c r="A756" s="104" t="n">
        <v>749</v>
      </c>
      <c r="B756" s="119" t="n"/>
      <c r="C756" s="119" t="n"/>
      <c r="D756" s="119" t="n"/>
      <c r="F756" s="119" t="n"/>
      <c r="H756" s="119" t="n"/>
      <c r="I756" s="115" t="inlineStr">
        <is>
          <t>П</t>
        </is>
      </c>
      <c r="J756" s="117" t="n">
        <v>0</v>
      </c>
      <c r="K756" s="117" t="n">
        <v>0</v>
      </c>
      <c r="L756" s="117" t="n">
        <v>0</v>
      </c>
      <c r="M756" s="117" t="n">
        <v>0</v>
      </c>
      <c r="N756" s="116" t="n"/>
      <c r="O756" s="117" t="n">
        <v>0</v>
      </c>
      <c r="P756" s="117" t="n">
        <v>0</v>
      </c>
      <c r="Q756" s="117" t="n">
        <v>468329.67745</v>
      </c>
      <c r="R756" s="117" t="n">
        <v>468329.67745</v>
      </c>
      <c r="S756" s="118" t="n">
        <v>0</v>
      </c>
      <c r="T756" s="110" t="n"/>
    </row>
    <row r="757" ht="14.25" customHeight="1" s="52">
      <c r="A757" s="104" t="n">
        <v>750</v>
      </c>
      <c r="B757" s="119" t="n"/>
      <c r="C757" s="119" t="n"/>
      <c r="D757" s="119" t="n"/>
      <c r="F757" s="120" t="inlineStr">
        <is>
          <t>Група 622 - Усього</t>
        </is>
      </c>
      <c r="G757" s="116" t="n"/>
      <c r="H757" s="116" t="n"/>
      <c r="I757" s="120" t="n"/>
      <c r="J757" s="121" t="n">
        <v>335123.80842</v>
      </c>
      <c r="K757" s="121" t="n">
        <v>335123.80842</v>
      </c>
      <c r="L757" s="121" t="n">
        <v>0</v>
      </c>
      <c r="M757" s="121" t="n">
        <v>381703.71967</v>
      </c>
      <c r="N757" s="116" t="n"/>
      <c r="O757" s="121" t="n">
        <v>381703.71967</v>
      </c>
      <c r="P757" s="121" t="n">
        <v>0</v>
      </c>
      <c r="Q757" s="121" t="n">
        <v>410063.07527</v>
      </c>
      <c r="R757" s="121" t="n">
        <v>410063.07527</v>
      </c>
      <c r="S757" s="122" t="n">
        <v>0</v>
      </c>
      <c r="T757" s="110" t="n"/>
    </row>
    <row r="758" ht="21" customHeight="1" s="52">
      <c r="A758" s="104" t="n">
        <v>751</v>
      </c>
      <c r="B758" s="119" t="n"/>
      <c r="C758" s="119" t="n"/>
      <c r="D758" s="120" t="inlineStr">
        <is>
          <t>Розділ 62 - Усього</t>
        </is>
      </c>
      <c r="E758" s="116" t="n"/>
      <c r="F758" s="120" t="n"/>
      <c r="G758" s="116" t="n"/>
      <c r="H758" s="116" t="n"/>
      <c r="I758" s="120" t="n"/>
      <c r="J758" s="121" t="n">
        <v>28065950.22265</v>
      </c>
      <c r="K758" s="121" t="n">
        <v>28065950.22265</v>
      </c>
      <c r="L758" s="121" t="n">
        <v>0</v>
      </c>
      <c r="M758" s="121" t="n">
        <v>28104129.47276</v>
      </c>
      <c r="N758" s="116" t="n"/>
      <c r="O758" s="121" t="n">
        <v>28104129.47276</v>
      </c>
      <c r="P758" s="121" t="n">
        <v>0</v>
      </c>
      <c r="Q758" s="121" t="n">
        <v>1079153.22651</v>
      </c>
      <c r="R758" s="121" t="n">
        <v>1079153.22651</v>
      </c>
      <c r="S758" s="122" t="n">
        <v>0</v>
      </c>
      <c r="T758" s="110" t="n"/>
    </row>
    <row r="759" ht="13.5" customHeight="1" s="52">
      <c r="A759" s="104" t="n">
        <v>752</v>
      </c>
      <c r="B759" s="119" t="n"/>
      <c r="C759" s="115" t="inlineStr">
        <is>
          <t>63</t>
        </is>
      </c>
      <c r="D759" s="115" t="inlineStr">
        <is>
          <t>630</t>
        </is>
      </c>
      <c r="E759" s="116" t="n"/>
      <c r="F759" s="115" t="inlineStr">
        <is>
          <t>6300</t>
        </is>
      </c>
      <c r="G759" s="116" t="n"/>
      <c r="H759" s="115" t="inlineStr">
        <is>
          <t>Дохід у вигляді дивідендів за акціями, що обліковуються за справедливою вартістю через прибутки/збитки</t>
        </is>
      </c>
      <c r="I759" s="115" t="inlineStr">
        <is>
          <t>П</t>
        </is>
      </c>
      <c r="J759" s="117" t="n">
        <v>0</v>
      </c>
      <c r="K759" s="117" t="n">
        <v>0</v>
      </c>
      <c r="L759" s="117" t="n">
        <v>0</v>
      </c>
      <c r="M759" s="117" t="n">
        <v>0</v>
      </c>
      <c r="N759" s="116" t="n"/>
      <c r="O759" s="117" t="n">
        <v>0</v>
      </c>
      <c r="P759" s="117" t="n">
        <v>0</v>
      </c>
      <c r="Q759" s="117" t="n">
        <v>0</v>
      </c>
      <c r="R759" s="117" t="n">
        <v>0</v>
      </c>
      <c r="S759" s="118" t="n">
        <v>0</v>
      </c>
      <c r="T759" s="110" t="n"/>
    </row>
    <row r="760" ht="13.5" customHeight="1" s="52">
      <c r="A760" s="104" t="n">
        <v>753</v>
      </c>
      <c r="B760" s="119" t="n"/>
      <c r="C760" s="119" t="n"/>
      <c r="D760" s="119" t="n"/>
      <c r="F760" s="115" t="inlineStr">
        <is>
          <t>6301</t>
        </is>
      </c>
      <c r="G760" s="116" t="n"/>
      <c r="H760" s="115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60" s="115" t="inlineStr">
        <is>
          <t>П</t>
        </is>
      </c>
      <c r="J760" s="117" t="n">
        <v>0</v>
      </c>
      <c r="K760" s="117" t="n">
        <v>0</v>
      </c>
      <c r="L760" s="117" t="n">
        <v>0</v>
      </c>
      <c r="M760" s="117" t="n">
        <v>0</v>
      </c>
      <c r="N760" s="116" t="n"/>
      <c r="O760" s="117" t="n">
        <v>0</v>
      </c>
      <c r="P760" s="117" t="n">
        <v>0</v>
      </c>
      <c r="Q760" s="117" t="n">
        <v>1051.1298</v>
      </c>
      <c r="R760" s="117" t="n">
        <v>1051.1298</v>
      </c>
      <c r="S760" s="118" t="n">
        <v>0</v>
      </c>
      <c r="T760" s="110" t="n"/>
    </row>
    <row r="761" ht="13.5" customHeight="1" s="52">
      <c r="A761" s="104" t="n">
        <v>754</v>
      </c>
      <c r="B761" s="119" t="n"/>
      <c r="C761" s="119" t="n"/>
      <c r="D761" s="119" t="n"/>
      <c r="F761" s="115" t="inlineStr">
        <is>
          <t>6303</t>
        </is>
      </c>
      <c r="G761" s="116" t="n"/>
      <c r="H761" s="115" t="inlineStr">
        <is>
          <t>Дохід у вигляді дивідендів за інвестиціями в дочірні компанії</t>
        </is>
      </c>
      <c r="I761" s="115" t="inlineStr">
        <is>
          <t>П</t>
        </is>
      </c>
      <c r="J761" s="117" t="n">
        <v>0</v>
      </c>
      <c r="K761" s="117" t="n">
        <v>0</v>
      </c>
      <c r="L761" s="117" t="n">
        <v>0</v>
      </c>
      <c r="M761" s="117" t="n">
        <v>0</v>
      </c>
      <c r="N761" s="116" t="n"/>
      <c r="O761" s="117" t="n">
        <v>0</v>
      </c>
      <c r="P761" s="117" t="n">
        <v>0</v>
      </c>
      <c r="Q761" s="117" t="n">
        <v>0</v>
      </c>
      <c r="R761" s="117" t="n">
        <v>0</v>
      </c>
      <c r="S761" s="118" t="n">
        <v>0</v>
      </c>
      <c r="T761" s="110" t="n"/>
    </row>
    <row r="762" ht="14.25" customHeight="1" s="52">
      <c r="A762" s="104" t="n">
        <v>755</v>
      </c>
      <c r="B762" s="119" t="n"/>
      <c r="C762" s="119" t="n"/>
      <c r="D762" s="119" t="n"/>
      <c r="F762" s="120" t="inlineStr">
        <is>
          <t>Група 630 - Усього</t>
        </is>
      </c>
      <c r="G762" s="116" t="n"/>
      <c r="H762" s="116" t="n"/>
      <c r="I762" s="120" t="n"/>
      <c r="J762" s="121" t="n">
        <v>0</v>
      </c>
      <c r="K762" s="121" t="n">
        <v>0</v>
      </c>
      <c r="L762" s="121" t="n">
        <v>0</v>
      </c>
      <c r="M762" s="121" t="n">
        <v>0</v>
      </c>
      <c r="N762" s="116" t="n"/>
      <c r="O762" s="121" t="n">
        <v>0</v>
      </c>
      <c r="P762" s="121" t="n">
        <v>0</v>
      </c>
      <c r="Q762" s="121" t="n">
        <v>1051.1298</v>
      </c>
      <c r="R762" s="121" t="n">
        <v>1051.1298</v>
      </c>
      <c r="S762" s="122" t="n">
        <v>0</v>
      </c>
      <c r="T762" s="110" t="n"/>
    </row>
    <row r="763" ht="13.5" customHeight="1" s="52">
      <c r="A763" s="104" t="n">
        <v>756</v>
      </c>
      <c r="B763" s="119" t="n"/>
      <c r="C763" s="119" t="n"/>
      <c r="D763" s="115" t="inlineStr">
        <is>
          <t>632</t>
        </is>
      </c>
      <c r="E763" s="116" t="n"/>
      <c r="F763" s="115" t="inlineStr">
        <is>
          <t>6320</t>
        </is>
      </c>
      <c r="G763" s="116" t="n"/>
      <c r="H763" s="115" t="inlineStr">
        <is>
          <t>Дохід від модифікації фінансових активів</t>
        </is>
      </c>
      <c r="I763" s="115" t="inlineStr">
        <is>
          <t>П</t>
        </is>
      </c>
      <c r="J763" s="117" t="n">
        <v>0</v>
      </c>
      <c r="K763" s="117" t="n">
        <v>0</v>
      </c>
      <c r="L763" s="117" t="n">
        <v>0</v>
      </c>
      <c r="M763" s="117" t="n">
        <v>893.61822</v>
      </c>
      <c r="N763" s="116" t="n"/>
      <c r="O763" s="117" t="n">
        <v>893.61822</v>
      </c>
      <c r="P763" s="117" t="n">
        <v>0</v>
      </c>
      <c r="Q763" s="117" t="n">
        <v>2198.83206</v>
      </c>
      <c r="R763" s="117" t="n">
        <v>2198.83206</v>
      </c>
      <c r="S763" s="118" t="n">
        <v>0</v>
      </c>
      <c r="T763" s="110" t="n"/>
    </row>
    <row r="764" ht="13.5" customHeight="1" s="52">
      <c r="A764" s="104" t="n">
        <v>757</v>
      </c>
      <c r="B764" s="119" t="n"/>
      <c r="C764" s="119" t="n"/>
      <c r="D764" s="119" t="n"/>
      <c r="F764" s="120" t="inlineStr">
        <is>
          <t>Група 632 - Усього</t>
        </is>
      </c>
      <c r="G764" s="116" t="n"/>
      <c r="H764" s="116" t="n"/>
      <c r="I764" s="120" t="n"/>
      <c r="J764" s="121" t="n">
        <v>0</v>
      </c>
      <c r="K764" s="121" t="n">
        <v>0</v>
      </c>
      <c r="L764" s="121" t="n">
        <v>0</v>
      </c>
      <c r="M764" s="121" t="n">
        <v>893.61822</v>
      </c>
      <c r="N764" s="116" t="n"/>
      <c r="O764" s="121" t="n">
        <v>893.61822</v>
      </c>
      <c r="P764" s="121" t="n">
        <v>0</v>
      </c>
      <c r="Q764" s="121" t="n">
        <v>2198.83206</v>
      </c>
      <c r="R764" s="121" t="n">
        <v>2198.83206</v>
      </c>
      <c r="S764" s="122" t="n">
        <v>0</v>
      </c>
      <c r="T764" s="110" t="n"/>
    </row>
    <row r="765" ht="13.5" customHeight="1" s="52">
      <c r="A765" s="104" t="n">
        <v>758</v>
      </c>
      <c r="B765" s="119" t="n"/>
      <c r="C765" s="119" t="n"/>
      <c r="D765" s="115" t="inlineStr">
        <is>
          <t>633</t>
        </is>
      </c>
      <c r="E765" s="116" t="n"/>
      <c r="F765" s="115" t="inlineStr">
        <is>
          <t>6330</t>
        </is>
      </c>
      <c r="G765" s="116" t="n"/>
      <c r="H765" s="115" t="inlineStr">
        <is>
          <t>Дохід від модифікації фінансових зобов'язань</t>
        </is>
      </c>
      <c r="I765" s="115" t="inlineStr">
        <is>
          <t>П</t>
        </is>
      </c>
      <c r="J765" s="117" t="n">
        <v>0</v>
      </c>
      <c r="K765" s="117" t="n">
        <v>0</v>
      </c>
      <c r="L765" s="117" t="n">
        <v>0</v>
      </c>
      <c r="M765" s="117" t="n">
        <v>0</v>
      </c>
      <c r="N765" s="116" t="n"/>
      <c r="O765" s="117" t="n">
        <v>0</v>
      </c>
      <c r="P765" s="117" t="n">
        <v>0</v>
      </c>
      <c r="Q765" s="117" t="n">
        <v>0</v>
      </c>
      <c r="R765" s="117" t="n">
        <v>0</v>
      </c>
      <c r="S765" s="118" t="n">
        <v>0</v>
      </c>
      <c r="T765" s="110" t="n"/>
    </row>
    <row r="766" ht="13.5" customHeight="1" s="52">
      <c r="A766" s="104" t="n">
        <v>759</v>
      </c>
      <c r="B766" s="119" t="n"/>
      <c r="C766" s="119" t="n"/>
      <c r="D766" s="119" t="n"/>
      <c r="F766" s="120" t="inlineStr">
        <is>
          <t>Група 633 - Усього</t>
        </is>
      </c>
      <c r="G766" s="116" t="n"/>
      <c r="H766" s="116" t="n"/>
      <c r="I766" s="120" t="n"/>
      <c r="J766" s="121" t="n">
        <v>0</v>
      </c>
      <c r="K766" s="121" t="n">
        <v>0</v>
      </c>
      <c r="L766" s="121" t="n">
        <v>0</v>
      </c>
      <c r="M766" s="121" t="n">
        <v>0</v>
      </c>
      <c r="N766" s="116" t="n"/>
      <c r="O766" s="121" t="n">
        <v>0</v>
      </c>
      <c r="P766" s="121" t="n">
        <v>0</v>
      </c>
      <c r="Q766" s="121" t="n">
        <v>0</v>
      </c>
      <c r="R766" s="121" t="n">
        <v>0</v>
      </c>
      <c r="S766" s="122" t="n">
        <v>0</v>
      </c>
      <c r="T766" s="110" t="n"/>
    </row>
    <row r="767" ht="14.25" customHeight="1" s="52">
      <c r="A767" s="104" t="n">
        <v>760</v>
      </c>
      <c r="B767" s="119" t="n"/>
      <c r="C767" s="119" t="n"/>
      <c r="D767" s="115" t="inlineStr">
        <is>
          <t>634</t>
        </is>
      </c>
      <c r="E767" s="116" t="n"/>
      <c r="F767" s="115" t="inlineStr">
        <is>
          <t>6340</t>
        </is>
      </c>
      <c r="G767" s="116" t="n"/>
      <c r="H767" s="115" t="inlineStr">
        <is>
          <t>Дохід від припинення визнання фінансових активів</t>
        </is>
      </c>
      <c r="I767" s="115" t="inlineStr">
        <is>
          <t>П</t>
        </is>
      </c>
      <c r="J767" s="117" t="n">
        <v>0</v>
      </c>
      <c r="K767" s="117" t="n">
        <v>0</v>
      </c>
      <c r="L767" s="117" t="n">
        <v>0</v>
      </c>
      <c r="M767" s="117" t="n">
        <v>0</v>
      </c>
      <c r="N767" s="116" t="n"/>
      <c r="O767" s="117" t="n">
        <v>0</v>
      </c>
      <c r="P767" s="117" t="n">
        <v>0</v>
      </c>
      <c r="Q767" s="117" t="n">
        <v>0</v>
      </c>
      <c r="R767" s="117" t="n">
        <v>0</v>
      </c>
      <c r="S767" s="118" t="n">
        <v>0</v>
      </c>
      <c r="T767" s="110" t="n"/>
    </row>
    <row r="768" ht="13.5" customHeight="1" s="52">
      <c r="A768" s="104" t="n">
        <v>761</v>
      </c>
      <c r="B768" s="119" t="n"/>
      <c r="C768" s="119" t="n"/>
      <c r="D768" s="119" t="n"/>
      <c r="F768" s="120" t="inlineStr">
        <is>
          <t>Група 634 - Усього</t>
        </is>
      </c>
      <c r="G768" s="116" t="n"/>
      <c r="H768" s="116" t="n"/>
      <c r="I768" s="120" t="n"/>
      <c r="J768" s="121" t="n">
        <v>0</v>
      </c>
      <c r="K768" s="121" t="n">
        <v>0</v>
      </c>
      <c r="L768" s="121" t="n">
        <v>0</v>
      </c>
      <c r="M768" s="121" t="n">
        <v>0</v>
      </c>
      <c r="N768" s="116" t="n"/>
      <c r="O768" s="121" t="n">
        <v>0</v>
      </c>
      <c r="P768" s="121" t="n">
        <v>0</v>
      </c>
      <c r="Q768" s="121" t="n">
        <v>0</v>
      </c>
      <c r="R768" s="121" t="n">
        <v>0</v>
      </c>
      <c r="S768" s="122" t="n">
        <v>0</v>
      </c>
      <c r="T768" s="110" t="n"/>
    </row>
    <row r="769" ht="13.5" customHeight="1" s="52">
      <c r="A769" s="104" t="n">
        <v>762</v>
      </c>
      <c r="B769" s="119" t="n"/>
      <c r="C769" s="119" t="n"/>
      <c r="D769" s="115" t="inlineStr">
        <is>
          <t>635</t>
        </is>
      </c>
      <c r="E769" s="116" t="n"/>
      <c r="F769" s="115" t="inlineStr">
        <is>
          <t>6350</t>
        </is>
      </c>
      <c r="G769" s="116" t="n"/>
      <c r="H769" s="115" t="inlineStr">
        <is>
          <t>Дохід від припинення визнання фінансових зобов'язань</t>
        </is>
      </c>
      <c r="I769" s="115" t="inlineStr">
        <is>
          <t>П</t>
        </is>
      </c>
      <c r="J769" s="117" t="n">
        <v>0</v>
      </c>
      <c r="K769" s="117" t="n">
        <v>0</v>
      </c>
      <c r="L769" s="117" t="n">
        <v>0</v>
      </c>
      <c r="M769" s="117" t="n">
        <v>0</v>
      </c>
      <c r="N769" s="116" t="n"/>
      <c r="O769" s="117" t="n">
        <v>0</v>
      </c>
      <c r="P769" s="117" t="n">
        <v>0</v>
      </c>
      <c r="Q769" s="117" t="n">
        <v>0</v>
      </c>
      <c r="R769" s="117" t="n">
        <v>0</v>
      </c>
      <c r="S769" s="118" t="n">
        <v>0</v>
      </c>
      <c r="T769" s="110" t="n"/>
    </row>
    <row r="770" ht="13.5" customHeight="1" s="52">
      <c r="A770" s="104" t="n">
        <v>763</v>
      </c>
      <c r="B770" s="119" t="n"/>
      <c r="C770" s="119" t="n"/>
      <c r="D770" s="119" t="n"/>
      <c r="F770" s="120" t="inlineStr">
        <is>
          <t>Група 635 - Усього</t>
        </is>
      </c>
      <c r="G770" s="116" t="n"/>
      <c r="H770" s="116" t="n"/>
      <c r="I770" s="120" t="n"/>
      <c r="J770" s="121" t="n">
        <v>0</v>
      </c>
      <c r="K770" s="121" t="n">
        <v>0</v>
      </c>
      <c r="L770" s="121" t="n">
        <v>0</v>
      </c>
      <c r="M770" s="121" t="n">
        <v>0</v>
      </c>
      <c r="N770" s="116" t="n"/>
      <c r="O770" s="121" t="n">
        <v>0</v>
      </c>
      <c r="P770" s="121" t="n">
        <v>0</v>
      </c>
      <c r="Q770" s="121" t="n">
        <v>0</v>
      </c>
      <c r="R770" s="121" t="n">
        <v>0</v>
      </c>
      <c r="S770" s="122" t="n">
        <v>0</v>
      </c>
      <c r="T770" s="110" t="n"/>
    </row>
    <row r="771" ht="13.5" customHeight="1" s="52">
      <c r="A771" s="104" t="n">
        <v>764</v>
      </c>
      <c r="B771" s="119" t="n"/>
      <c r="C771" s="119" t="n"/>
      <c r="D771" s="115" t="inlineStr">
        <is>
          <t>636</t>
        </is>
      </c>
      <c r="E771" s="116" t="n"/>
      <c r="F771" s="115" t="inlineStr">
        <is>
          <t>6360</t>
        </is>
      </c>
      <c r="G771" s="116" t="n"/>
      <c r="H771" s="115" t="inlineStr">
        <is>
          <t>Дохід від модифікації лізингу (оренди)</t>
        </is>
      </c>
      <c r="I771" s="115" t="inlineStr">
        <is>
          <t>П</t>
        </is>
      </c>
      <c r="J771" s="117" t="n">
        <v>0</v>
      </c>
      <c r="K771" s="117" t="n">
        <v>0</v>
      </c>
      <c r="L771" s="117" t="n">
        <v>0</v>
      </c>
      <c r="M771" s="117" t="n">
        <v>0</v>
      </c>
      <c r="N771" s="116" t="n"/>
      <c r="O771" s="117" t="n">
        <v>0</v>
      </c>
      <c r="P771" s="117" t="n">
        <v>0</v>
      </c>
      <c r="Q771" s="117" t="n">
        <v>35.5197</v>
      </c>
      <c r="R771" s="117" t="n">
        <v>35.5197</v>
      </c>
      <c r="S771" s="118" t="n">
        <v>0</v>
      </c>
      <c r="T771" s="110" t="n"/>
    </row>
    <row r="772" ht="14.25" customHeight="1" s="52">
      <c r="A772" s="104" t="n">
        <v>765</v>
      </c>
      <c r="B772" s="119" t="n"/>
      <c r="C772" s="119" t="n"/>
      <c r="D772" s="119" t="n"/>
      <c r="F772" s="120" t="inlineStr">
        <is>
          <t>Група 636 - Усього</t>
        </is>
      </c>
      <c r="G772" s="116" t="n"/>
      <c r="H772" s="116" t="n"/>
      <c r="I772" s="120" t="n"/>
      <c r="J772" s="121" t="n">
        <v>0</v>
      </c>
      <c r="K772" s="121" t="n">
        <v>0</v>
      </c>
      <c r="L772" s="121" t="n">
        <v>0</v>
      </c>
      <c r="M772" s="121" t="n">
        <v>0</v>
      </c>
      <c r="N772" s="116" t="n"/>
      <c r="O772" s="121" t="n">
        <v>0</v>
      </c>
      <c r="P772" s="121" t="n">
        <v>0</v>
      </c>
      <c r="Q772" s="121" t="n">
        <v>35.5197</v>
      </c>
      <c r="R772" s="121" t="n">
        <v>35.5197</v>
      </c>
      <c r="S772" s="122" t="n">
        <v>0</v>
      </c>
      <c r="T772" s="110" t="n"/>
    </row>
    <row r="773" ht="13.5" customHeight="1" s="52">
      <c r="A773" s="104" t="n">
        <v>766</v>
      </c>
      <c r="B773" s="119" t="n"/>
      <c r="C773" s="119" t="n"/>
      <c r="D773" s="115" t="inlineStr">
        <is>
          <t>639</t>
        </is>
      </c>
      <c r="E773" s="116" t="n"/>
      <c r="F773" s="115" t="inlineStr">
        <is>
          <t>6390</t>
        </is>
      </c>
      <c r="G773" s="116" t="n"/>
      <c r="H773" s="115" t="inlineStr">
        <is>
          <t>Дохід під час первісного визнання фінансових активів за вартістю, вищою/нижчою, ніж справедлива</t>
        </is>
      </c>
      <c r="I773" s="115" t="inlineStr">
        <is>
          <t>П</t>
        </is>
      </c>
      <c r="J773" s="117" t="n">
        <v>0</v>
      </c>
      <c r="K773" s="117" t="n">
        <v>0</v>
      </c>
      <c r="L773" s="117" t="n">
        <v>0</v>
      </c>
      <c r="M773" s="117" t="n">
        <v>51951.02951</v>
      </c>
      <c r="N773" s="116" t="n"/>
      <c r="O773" s="117" t="n">
        <v>51951.02951</v>
      </c>
      <c r="P773" s="117" t="n">
        <v>0</v>
      </c>
      <c r="Q773" s="117" t="n">
        <v>617352.4899</v>
      </c>
      <c r="R773" s="117" t="n">
        <v>617352.4899</v>
      </c>
      <c r="S773" s="118" t="n">
        <v>0</v>
      </c>
      <c r="T773" s="110" t="n"/>
    </row>
    <row r="774" ht="13.5" customHeight="1" s="52">
      <c r="A774" s="104" t="n">
        <v>767</v>
      </c>
      <c r="B774" s="119" t="n"/>
      <c r="C774" s="119" t="n"/>
      <c r="D774" s="119" t="n"/>
      <c r="F774" s="115" t="inlineStr">
        <is>
          <t>6393</t>
        </is>
      </c>
      <c r="G774" s="116" t="n"/>
      <c r="H774" s="115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74" s="115" t="inlineStr">
        <is>
          <t>А</t>
        </is>
      </c>
      <c r="J774" s="117" t="n">
        <v>0</v>
      </c>
      <c r="K774" s="117" t="n">
        <v>0</v>
      </c>
      <c r="L774" s="117" t="n">
        <v>0</v>
      </c>
      <c r="M774" s="117" t="n">
        <v>0</v>
      </c>
      <c r="N774" s="116" t="n"/>
      <c r="O774" s="117" t="n">
        <v>0</v>
      </c>
      <c r="P774" s="117" t="n">
        <v>0</v>
      </c>
      <c r="Q774" s="117" t="n">
        <v>-28528.96294</v>
      </c>
      <c r="R774" s="117" t="n">
        <v>-28528.96294</v>
      </c>
      <c r="S774" s="118" t="n">
        <v>0</v>
      </c>
      <c r="T774" s="110" t="n"/>
    </row>
    <row r="775" ht="13.5" customHeight="1" s="52">
      <c r="A775" s="104" t="n">
        <v>768</v>
      </c>
      <c r="B775" s="119" t="n"/>
      <c r="C775" s="119" t="n"/>
      <c r="D775" s="119" t="n"/>
      <c r="F775" s="119" t="n"/>
      <c r="H775" s="119" t="n"/>
      <c r="I775" s="115" t="inlineStr">
        <is>
          <t>П</t>
        </is>
      </c>
      <c r="J775" s="117" t="n">
        <v>0</v>
      </c>
      <c r="K775" s="117" t="n">
        <v>0</v>
      </c>
      <c r="L775" s="117" t="n">
        <v>0</v>
      </c>
      <c r="M775" s="117" t="n">
        <v>0</v>
      </c>
      <c r="N775" s="116" t="n"/>
      <c r="O775" s="117" t="n">
        <v>0</v>
      </c>
      <c r="P775" s="117" t="n">
        <v>0</v>
      </c>
      <c r="Q775" s="117" t="n">
        <v>0</v>
      </c>
      <c r="R775" s="117" t="n">
        <v>0</v>
      </c>
      <c r="S775" s="118" t="n">
        <v>0</v>
      </c>
      <c r="T775" s="110" t="n"/>
    </row>
    <row r="776" ht="13.5" customHeight="1" s="52">
      <c r="A776" s="104" t="n">
        <v>769</v>
      </c>
      <c r="B776" s="119" t="n"/>
      <c r="C776" s="119" t="n"/>
      <c r="D776" s="119" t="n"/>
      <c r="F776" s="115" t="inlineStr">
        <is>
          <t>6394</t>
        </is>
      </c>
      <c r="G776" s="116" t="n"/>
      <c r="H776" s="115" t="inlineStr">
        <is>
          <t>Дохід від переоцінки об'єктів інвестиційної нерухомості</t>
        </is>
      </c>
      <c r="I776" s="115" t="inlineStr">
        <is>
          <t>П</t>
        </is>
      </c>
      <c r="J776" s="117" t="n">
        <v>0</v>
      </c>
      <c r="K776" s="117" t="n">
        <v>0</v>
      </c>
      <c r="L776" s="117" t="n">
        <v>0</v>
      </c>
      <c r="M776" s="117" t="n">
        <v>2790.86814</v>
      </c>
      <c r="N776" s="116" t="n"/>
      <c r="O776" s="117" t="n">
        <v>2790.86814</v>
      </c>
      <c r="P776" s="117" t="n">
        <v>0</v>
      </c>
      <c r="Q776" s="117" t="n">
        <v>2818.88414</v>
      </c>
      <c r="R776" s="117" t="n">
        <v>2818.88414</v>
      </c>
      <c r="S776" s="118" t="n">
        <v>0</v>
      </c>
      <c r="T776" s="110" t="n"/>
    </row>
    <row r="777" ht="14.25" customHeight="1" s="52">
      <c r="A777" s="104" t="n">
        <v>770</v>
      </c>
      <c r="B777" s="119" t="n"/>
      <c r="C777" s="119" t="n"/>
      <c r="D777" s="119" t="n"/>
      <c r="F777" s="115" t="inlineStr">
        <is>
          <t>6395</t>
        </is>
      </c>
      <c r="G777" s="116" t="n"/>
      <c r="H777" s="115" t="inlineStr">
        <is>
          <t>Дохід від лізингу (оренди)</t>
        </is>
      </c>
      <c r="I777" s="115" t="inlineStr">
        <is>
          <t>П</t>
        </is>
      </c>
      <c r="J777" s="117" t="n">
        <v>0</v>
      </c>
      <c r="K777" s="117" t="n">
        <v>0</v>
      </c>
      <c r="L777" s="117" t="n">
        <v>0</v>
      </c>
      <c r="M777" s="117" t="n">
        <v>12332.98951</v>
      </c>
      <c r="N777" s="116" t="n"/>
      <c r="O777" s="117" t="n">
        <v>12332.98951</v>
      </c>
      <c r="P777" s="117" t="n">
        <v>0</v>
      </c>
      <c r="Q777" s="117" t="n">
        <v>29481.43802</v>
      </c>
      <c r="R777" s="117" t="n">
        <v>29481.43802</v>
      </c>
      <c r="S777" s="118" t="n">
        <v>0</v>
      </c>
      <c r="T777" s="110" t="n"/>
    </row>
    <row r="778" ht="13.5" customHeight="1" s="52">
      <c r="A778" s="104" t="n">
        <v>771</v>
      </c>
      <c r="B778" s="119" t="n"/>
      <c r="C778" s="119" t="n"/>
      <c r="D778" s="119" t="n"/>
      <c r="F778" s="115" t="inlineStr">
        <is>
          <t>6396</t>
        </is>
      </c>
      <c r="G778" s="116" t="n"/>
      <c r="H778" s="115" t="inlineStr">
        <is>
          <t xml:space="preserve">Дохід від наданих консультаційних послуг фінансового характеру </t>
        </is>
      </c>
      <c r="I778" s="115" t="inlineStr">
        <is>
          <t>П</t>
        </is>
      </c>
      <c r="J778" s="117" t="n">
        <v>0</v>
      </c>
      <c r="K778" s="117" t="n">
        <v>0</v>
      </c>
      <c r="L778" s="117" t="n">
        <v>0</v>
      </c>
      <c r="M778" s="117" t="n">
        <v>0</v>
      </c>
      <c r="N778" s="116" t="n"/>
      <c r="O778" s="117" t="n">
        <v>0</v>
      </c>
      <c r="P778" s="117" t="n">
        <v>0</v>
      </c>
      <c r="Q778" s="117" t="n">
        <v>4</v>
      </c>
      <c r="R778" s="117" t="n">
        <v>4</v>
      </c>
      <c r="S778" s="118" t="n">
        <v>0</v>
      </c>
      <c r="T778" s="110" t="n"/>
    </row>
    <row r="779" ht="13.5" customHeight="1" s="52">
      <c r="A779" s="104" t="n">
        <v>772</v>
      </c>
      <c r="B779" s="119" t="n"/>
      <c r="C779" s="119" t="n"/>
      <c r="D779" s="119" t="n"/>
      <c r="F779" s="115" t="inlineStr">
        <is>
          <t>6397</t>
        </is>
      </c>
      <c r="G779" s="116" t="n"/>
      <c r="H779" s="115" t="inlineStr">
        <is>
          <t>Штрафи, пені, що отримані банком</t>
        </is>
      </c>
      <c r="I779" s="115" t="inlineStr">
        <is>
          <t>П</t>
        </is>
      </c>
      <c r="J779" s="117" t="n">
        <v>0.00636</v>
      </c>
      <c r="K779" s="117" t="n">
        <v>0.00636</v>
      </c>
      <c r="L779" s="117" t="n">
        <v>0</v>
      </c>
      <c r="M779" s="117" t="n">
        <v>1185.32896</v>
      </c>
      <c r="N779" s="116" t="n"/>
      <c r="O779" s="117" t="n">
        <v>1185.32896</v>
      </c>
      <c r="P779" s="117" t="n">
        <v>0</v>
      </c>
      <c r="Q779" s="117" t="n">
        <v>20111.80664</v>
      </c>
      <c r="R779" s="117" t="n">
        <v>20111.80664</v>
      </c>
      <c r="S779" s="118" t="n">
        <v>0</v>
      </c>
      <c r="T779" s="110" t="n"/>
    </row>
    <row r="780" ht="13.5" customHeight="1" s="52">
      <c r="A780" s="104" t="n">
        <v>773</v>
      </c>
      <c r="B780" s="119" t="n"/>
      <c r="C780" s="119" t="n"/>
      <c r="D780" s="119" t="n"/>
      <c r="F780" s="115" t="inlineStr">
        <is>
          <t>6398</t>
        </is>
      </c>
      <c r="G780" s="116" t="n"/>
      <c r="H780" s="115" t="inlineStr">
        <is>
          <t>Дохід під час первісного визнання фінансових зобов'язань за вартістю, вищою/нижчою, ніж справедлива</t>
        </is>
      </c>
      <c r="I780" s="115" t="inlineStr">
        <is>
          <t>П</t>
        </is>
      </c>
      <c r="J780" s="117" t="n">
        <v>0</v>
      </c>
      <c r="K780" s="117" t="n">
        <v>0</v>
      </c>
      <c r="L780" s="117" t="n">
        <v>0</v>
      </c>
      <c r="M780" s="117" t="n">
        <v>0</v>
      </c>
      <c r="N780" s="116" t="n"/>
      <c r="O780" s="117" t="n">
        <v>0</v>
      </c>
      <c r="P780" s="117" t="n">
        <v>0</v>
      </c>
      <c r="Q780" s="117" t="n">
        <v>0</v>
      </c>
      <c r="R780" s="117" t="n">
        <v>0</v>
      </c>
      <c r="S780" s="118" t="n">
        <v>0</v>
      </c>
      <c r="T780" s="110" t="n"/>
    </row>
    <row r="781" ht="13.5" customHeight="1" s="52">
      <c r="A781" s="104" t="n">
        <v>774</v>
      </c>
      <c r="B781" s="119" t="n"/>
      <c r="C781" s="119" t="n"/>
      <c r="D781" s="119" t="n"/>
      <c r="F781" s="115" t="inlineStr">
        <is>
          <t>6399</t>
        </is>
      </c>
      <c r="G781" s="116" t="n"/>
      <c r="H781" s="115" t="inlineStr">
        <is>
          <t>Інші операційні доходи</t>
        </is>
      </c>
      <c r="I781" s="115" t="inlineStr">
        <is>
          <t>П</t>
        </is>
      </c>
      <c r="J781" s="117" t="n">
        <v>0</v>
      </c>
      <c r="K781" s="117" t="n">
        <v>0</v>
      </c>
      <c r="L781" s="117" t="n">
        <v>0</v>
      </c>
      <c r="M781" s="117" t="n">
        <v>3407.72926</v>
      </c>
      <c r="N781" s="116" t="n"/>
      <c r="O781" s="117" t="n">
        <v>3407.72926</v>
      </c>
      <c r="P781" s="117" t="n">
        <v>0</v>
      </c>
      <c r="Q781" s="117" t="n">
        <v>46984.12701</v>
      </c>
      <c r="R781" s="117" t="n">
        <v>46984.12701</v>
      </c>
      <c r="S781" s="118" t="n">
        <v>0</v>
      </c>
      <c r="T781" s="110" t="n"/>
    </row>
    <row r="782" ht="14.25" customHeight="1" s="52">
      <c r="A782" s="104" t="n">
        <v>775</v>
      </c>
      <c r="B782" s="119" t="n"/>
      <c r="C782" s="119" t="n"/>
      <c r="D782" s="119" t="n"/>
      <c r="F782" s="120" t="inlineStr">
        <is>
          <t>Група 639 - Усього</t>
        </is>
      </c>
      <c r="G782" s="116" t="n"/>
      <c r="H782" s="116" t="n"/>
      <c r="I782" s="120" t="n"/>
      <c r="J782" s="121" t="n">
        <v>0.00636</v>
      </c>
      <c r="K782" s="121" t="n">
        <v>0.00636</v>
      </c>
      <c r="L782" s="121" t="n">
        <v>0</v>
      </c>
      <c r="M782" s="121" t="n">
        <v>71667.94538</v>
      </c>
      <c r="N782" s="116" t="n"/>
      <c r="O782" s="121" t="n">
        <v>71667.94538</v>
      </c>
      <c r="P782" s="121" t="n">
        <v>0</v>
      </c>
      <c r="Q782" s="121" t="n">
        <v>688223.78277</v>
      </c>
      <c r="R782" s="121" t="n">
        <v>688223.78277</v>
      </c>
      <c r="S782" s="122" t="n">
        <v>0</v>
      </c>
      <c r="T782" s="110" t="n"/>
    </row>
    <row r="783" ht="21" customHeight="1" s="52">
      <c r="A783" s="104" t="n">
        <v>776</v>
      </c>
      <c r="B783" s="119" t="n"/>
      <c r="C783" s="119" t="n"/>
      <c r="D783" s="120" t="inlineStr">
        <is>
          <t>Розділ 63 - Усього</t>
        </is>
      </c>
      <c r="E783" s="116" t="n"/>
      <c r="F783" s="120" t="n"/>
      <c r="G783" s="116" t="n"/>
      <c r="H783" s="116" t="n"/>
      <c r="I783" s="120" t="n"/>
      <c r="J783" s="121" t="n">
        <v>0.00636</v>
      </c>
      <c r="K783" s="121" t="n">
        <v>0.00636</v>
      </c>
      <c r="L783" s="121" t="n">
        <v>0</v>
      </c>
      <c r="M783" s="121" t="n">
        <v>72561.56359999999</v>
      </c>
      <c r="N783" s="116" t="n"/>
      <c r="O783" s="121" t="n">
        <v>72561.56359999999</v>
      </c>
      <c r="P783" s="121" t="n">
        <v>0</v>
      </c>
      <c r="Q783" s="121" t="n">
        <v>691509.26433</v>
      </c>
      <c r="R783" s="121" t="n">
        <v>691509.26433</v>
      </c>
      <c r="S783" s="122" t="n">
        <v>0</v>
      </c>
      <c r="T783" s="110" t="n"/>
    </row>
    <row r="784" ht="13.5" customHeight="1" s="52">
      <c r="A784" s="104" t="n">
        <v>777</v>
      </c>
      <c r="B784" s="119" t="n"/>
      <c r="C784" s="115" t="inlineStr">
        <is>
          <t>64</t>
        </is>
      </c>
      <c r="D784" s="115" t="inlineStr">
        <is>
          <t>649</t>
        </is>
      </c>
      <c r="E784" s="116" t="n"/>
      <c r="F784" s="115" t="inlineStr">
        <is>
          <t>6490</t>
        </is>
      </c>
      <c r="G784" s="116" t="n"/>
      <c r="H784" s="115" t="inlineStr">
        <is>
          <t>Позитивний результат від продажу нематеріальних активів та основних засобів</t>
        </is>
      </c>
      <c r="I784" s="115" t="inlineStr">
        <is>
          <t>П</t>
        </is>
      </c>
      <c r="J784" s="117" t="n">
        <v>0</v>
      </c>
      <c r="K784" s="117" t="n">
        <v>0</v>
      </c>
      <c r="L784" s="117" t="n">
        <v>0</v>
      </c>
      <c r="M784" s="117" t="n">
        <v>0</v>
      </c>
      <c r="N784" s="116" t="n"/>
      <c r="O784" s="117" t="n">
        <v>0</v>
      </c>
      <c r="P784" s="117" t="n">
        <v>0</v>
      </c>
      <c r="Q784" s="117" t="n">
        <v>33.31042</v>
      </c>
      <c r="R784" s="117" t="n">
        <v>33.31042</v>
      </c>
      <c r="S784" s="118" t="n">
        <v>0</v>
      </c>
      <c r="T784" s="110" t="n"/>
    </row>
    <row r="785" ht="13.5" customHeight="1" s="52">
      <c r="A785" s="104" t="n">
        <v>778</v>
      </c>
      <c r="B785" s="119" t="n"/>
      <c r="C785" s="119" t="n"/>
      <c r="D785" s="119" t="n"/>
      <c r="F785" s="115" t="inlineStr">
        <is>
          <t>6499</t>
        </is>
      </c>
      <c r="G785" s="116" t="n"/>
      <c r="H785" s="115" t="inlineStr">
        <is>
          <t>Інші доходи</t>
        </is>
      </c>
      <c r="I785" s="115" t="inlineStr">
        <is>
          <t>П</t>
        </is>
      </c>
      <c r="J785" s="117" t="n">
        <v>0</v>
      </c>
      <c r="K785" s="117" t="n">
        <v>0</v>
      </c>
      <c r="L785" s="117" t="n">
        <v>0</v>
      </c>
      <c r="M785" s="117" t="n">
        <v>54.23591</v>
      </c>
      <c r="N785" s="116" t="n"/>
      <c r="O785" s="117" t="n">
        <v>54.23591</v>
      </c>
      <c r="P785" s="117" t="n">
        <v>0</v>
      </c>
      <c r="Q785" s="117" t="n">
        <v>77346.09277</v>
      </c>
      <c r="R785" s="117" t="n">
        <v>77346.09277</v>
      </c>
      <c r="S785" s="118" t="n">
        <v>0</v>
      </c>
      <c r="T785" s="110" t="n"/>
    </row>
    <row r="786" ht="13.5" customHeight="1" s="52">
      <c r="A786" s="104" t="n">
        <v>779</v>
      </c>
      <c r="B786" s="119" t="n"/>
      <c r="C786" s="119" t="n"/>
      <c r="D786" s="119" t="n"/>
      <c r="F786" s="120" t="inlineStr">
        <is>
          <t>Група 649 - Усього</t>
        </is>
      </c>
      <c r="G786" s="116" t="n"/>
      <c r="H786" s="116" t="n"/>
      <c r="I786" s="120" t="n"/>
      <c r="J786" s="121" t="n">
        <v>0</v>
      </c>
      <c r="K786" s="121" t="n">
        <v>0</v>
      </c>
      <c r="L786" s="121" t="n">
        <v>0</v>
      </c>
      <c r="M786" s="121" t="n">
        <v>54.23591</v>
      </c>
      <c r="N786" s="116" t="n"/>
      <c r="O786" s="121" t="n">
        <v>54.23591</v>
      </c>
      <c r="P786" s="121" t="n">
        <v>0</v>
      </c>
      <c r="Q786" s="121" t="n">
        <v>77379.40319</v>
      </c>
      <c r="R786" s="121" t="n">
        <v>77379.40319</v>
      </c>
      <c r="S786" s="122" t="n">
        <v>0</v>
      </c>
      <c r="T786" s="110" t="n"/>
    </row>
    <row r="787" ht="24" customHeight="1" s="52">
      <c r="A787" s="104" t="n">
        <v>780</v>
      </c>
      <c r="B787" s="119" t="n"/>
      <c r="C787" s="119" t="n"/>
      <c r="D787" s="120" t="inlineStr">
        <is>
          <t>Розділ 64 - Усього</t>
        </is>
      </c>
      <c r="E787" s="116" t="n"/>
      <c r="F787" s="120" t="n"/>
      <c r="G787" s="116" t="n"/>
      <c r="H787" s="116" t="n"/>
      <c r="I787" s="120" t="n"/>
      <c r="J787" s="121" t="n">
        <v>0</v>
      </c>
      <c r="K787" s="121" t="n">
        <v>0</v>
      </c>
      <c r="L787" s="121" t="n">
        <v>0</v>
      </c>
      <c r="M787" s="121" t="n">
        <v>54.23591</v>
      </c>
      <c r="N787" s="116" t="n"/>
      <c r="O787" s="121" t="n">
        <v>54.23591</v>
      </c>
      <c r="P787" s="121" t="n">
        <v>0</v>
      </c>
      <c r="Q787" s="121" t="n">
        <v>77379.40319</v>
      </c>
      <c r="R787" s="121" t="n">
        <v>77379.40319</v>
      </c>
      <c r="S787" s="122" t="n">
        <v>0</v>
      </c>
      <c r="T787" s="110" t="n"/>
    </row>
    <row r="788" ht="13.5" customHeight="1" s="52">
      <c r="A788" s="104" t="n">
        <v>781</v>
      </c>
      <c r="B788" s="119" t="n"/>
      <c r="C788" s="115" t="inlineStr">
        <is>
          <t>65</t>
        </is>
      </c>
      <c r="D788" s="115" t="inlineStr">
        <is>
          <t>650</t>
        </is>
      </c>
      <c r="E788" s="116" t="n"/>
      <c r="F788" s="115" t="inlineStr">
        <is>
          <t>6500</t>
        </is>
      </c>
      <c r="G788" s="116" t="n"/>
      <c r="H788" s="115" t="inlineStr">
        <is>
          <t>Комісійні доходи від розрахунково-касового обслуговування банків</t>
        </is>
      </c>
      <c r="I788" s="115" t="inlineStr">
        <is>
          <t>П</t>
        </is>
      </c>
      <c r="J788" s="117" t="n">
        <v>1.27114</v>
      </c>
      <c r="K788" s="117" t="n">
        <v>1.27114</v>
      </c>
      <c r="L788" s="117" t="n">
        <v>0</v>
      </c>
      <c r="M788" s="117" t="n">
        <v>14799.92335</v>
      </c>
      <c r="N788" s="116" t="n"/>
      <c r="O788" s="117" t="n">
        <v>14799.92335</v>
      </c>
      <c r="P788" s="117" t="n">
        <v>0</v>
      </c>
      <c r="Q788" s="117" t="n">
        <v>185254.50764</v>
      </c>
      <c r="R788" s="117" t="n">
        <v>185254.50764</v>
      </c>
      <c r="S788" s="118" t="n">
        <v>0</v>
      </c>
      <c r="T788" s="110" t="n"/>
    </row>
    <row r="789" ht="13.5" customHeight="1" s="52">
      <c r="A789" s="104" t="n">
        <v>782</v>
      </c>
      <c r="B789" s="119" t="n"/>
      <c r="C789" s="119" t="n"/>
      <c r="D789" s="119" t="n"/>
      <c r="F789" s="115" t="inlineStr">
        <is>
          <t>6503</t>
        </is>
      </c>
      <c r="G789" s="116" t="n"/>
      <c r="H789" s="115" t="inlineStr">
        <is>
          <t>Комісійні доходи за операціями з цінними паперами для банків</t>
        </is>
      </c>
      <c r="I789" s="115" t="inlineStr">
        <is>
          <t>П</t>
        </is>
      </c>
      <c r="J789" s="117" t="n">
        <v>0</v>
      </c>
      <c r="K789" s="117" t="n">
        <v>0</v>
      </c>
      <c r="L789" s="117" t="n">
        <v>0</v>
      </c>
      <c r="M789" s="117" t="n">
        <v>0</v>
      </c>
      <c r="N789" s="116" t="n"/>
      <c r="O789" s="117" t="n">
        <v>0</v>
      </c>
      <c r="P789" s="117" t="n">
        <v>0</v>
      </c>
      <c r="Q789" s="117" t="n">
        <v>0</v>
      </c>
      <c r="R789" s="117" t="n">
        <v>0</v>
      </c>
      <c r="S789" s="118" t="n">
        <v>0</v>
      </c>
      <c r="T789" s="110" t="n"/>
    </row>
    <row r="790" ht="13.5" customHeight="1" s="52">
      <c r="A790" s="104" t="n">
        <v>783</v>
      </c>
      <c r="B790" s="119" t="n"/>
      <c r="C790" s="119" t="n"/>
      <c r="D790" s="119" t="n"/>
      <c r="F790" s="115" t="inlineStr">
        <is>
          <t>6504</t>
        </is>
      </c>
      <c r="G790" s="116" t="n"/>
      <c r="H790" s="115" t="inlineStr">
        <is>
          <t>Комісійні доходи за операціями на валютному ринку та ринку банківських металів для банків</t>
        </is>
      </c>
      <c r="I790" s="115" t="inlineStr">
        <is>
          <t>П</t>
        </is>
      </c>
      <c r="J790" s="117" t="n">
        <v>0</v>
      </c>
      <c r="K790" s="117" t="n">
        <v>0</v>
      </c>
      <c r="L790" s="117" t="n">
        <v>0</v>
      </c>
      <c r="M790" s="117" t="n">
        <v>0</v>
      </c>
      <c r="N790" s="116" t="n"/>
      <c r="O790" s="117" t="n">
        <v>0</v>
      </c>
      <c r="P790" s="117" t="n">
        <v>0</v>
      </c>
      <c r="Q790" s="117" t="n">
        <v>16.86792</v>
      </c>
      <c r="R790" s="117" t="n">
        <v>16.86792</v>
      </c>
      <c r="S790" s="118" t="n">
        <v>0</v>
      </c>
      <c r="T790" s="110" t="n"/>
    </row>
    <row r="791" ht="13.5" customHeight="1" s="52">
      <c r="A791" s="104" t="n">
        <v>784</v>
      </c>
      <c r="B791" s="119" t="n"/>
      <c r="C791" s="119" t="n"/>
      <c r="D791" s="119" t="n"/>
      <c r="F791" s="115" t="inlineStr">
        <is>
          <t>6508</t>
        </is>
      </c>
      <c r="G791" s="116" t="n"/>
      <c r="H791" s="115" t="inlineStr">
        <is>
          <t>Комісійні доходи за позабалансовими операціями з банками</t>
        </is>
      </c>
      <c r="I791" s="115" t="inlineStr">
        <is>
          <t>П</t>
        </is>
      </c>
      <c r="J791" s="117" t="n">
        <v>0</v>
      </c>
      <c r="K791" s="117" t="n">
        <v>0</v>
      </c>
      <c r="L791" s="117" t="n">
        <v>0</v>
      </c>
      <c r="M791" s="117" t="n">
        <v>1643.13785</v>
      </c>
      <c r="N791" s="116" t="n"/>
      <c r="O791" s="117" t="n">
        <v>1643.13785</v>
      </c>
      <c r="P791" s="117" t="n">
        <v>0</v>
      </c>
      <c r="Q791" s="117" t="n">
        <v>3971.0363</v>
      </c>
      <c r="R791" s="117" t="n">
        <v>3971.0363</v>
      </c>
      <c r="S791" s="118" t="n">
        <v>0</v>
      </c>
      <c r="T791" s="110" t="n"/>
    </row>
    <row r="792" ht="14.25" customHeight="1" s="52">
      <c r="A792" s="104" t="n">
        <v>785</v>
      </c>
      <c r="B792" s="119" t="n"/>
      <c r="C792" s="119" t="n"/>
      <c r="D792" s="119" t="n"/>
      <c r="F792" s="115" t="inlineStr">
        <is>
          <t>6509</t>
        </is>
      </c>
      <c r="G792" s="116" t="n"/>
      <c r="H792" s="115" t="inlineStr">
        <is>
          <t>Інші комісійні доходи за операціями з банками</t>
        </is>
      </c>
      <c r="I792" s="115" t="inlineStr">
        <is>
          <t>П</t>
        </is>
      </c>
      <c r="J792" s="117" t="n">
        <v>0</v>
      </c>
      <c r="K792" s="117" t="n">
        <v>0</v>
      </c>
      <c r="L792" s="117" t="n">
        <v>0</v>
      </c>
      <c r="M792" s="117" t="n">
        <v>5800.39262</v>
      </c>
      <c r="N792" s="116" t="n"/>
      <c r="O792" s="117" t="n">
        <v>5800.39262</v>
      </c>
      <c r="P792" s="117" t="n">
        <v>0</v>
      </c>
      <c r="Q792" s="117" t="n">
        <v>61383.15365</v>
      </c>
      <c r="R792" s="117" t="n">
        <v>61383.15365</v>
      </c>
      <c r="S792" s="118" t="n">
        <v>0</v>
      </c>
      <c r="T792" s="110" t="n"/>
    </row>
    <row r="793" ht="13.5" customHeight="1" s="52">
      <c r="A793" s="104" t="n">
        <v>786</v>
      </c>
      <c r="B793" s="119" t="n"/>
      <c r="C793" s="119" t="n"/>
      <c r="D793" s="119" t="n"/>
      <c r="F793" s="120" t="inlineStr">
        <is>
          <t>Група 650 - Усього</t>
        </is>
      </c>
      <c r="G793" s="116" t="n"/>
      <c r="H793" s="116" t="n"/>
      <c r="I793" s="120" t="n"/>
      <c r="J793" s="121" t="n">
        <v>1.27114</v>
      </c>
      <c r="K793" s="121" t="n">
        <v>1.27114</v>
      </c>
      <c r="L793" s="121" t="n">
        <v>0</v>
      </c>
      <c r="M793" s="121" t="n">
        <v>22243.45382</v>
      </c>
      <c r="N793" s="116" t="n"/>
      <c r="O793" s="121" t="n">
        <v>22243.45382</v>
      </c>
      <c r="P793" s="121" t="n">
        <v>0</v>
      </c>
      <c r="Q793" s="121" t="n">
        <v>250625.56551</v>
      </c>
      <c r="R793" s="121" t="n">
        <v>250625.56551</v>
      </c>
      <c r="S793" s="122" t="n">
        <v>0</v>
      </c>
      <c r="T793" s="110" t="n"/>
    </row>
    <row r="794" ht="13.5" customHeight="1" s="52">
      <c r="A794" s="104" t="n">
        <v>787</v>
      </c>
      <c r="B794" s="119" t="n"/>
      <c r="C794" s="119" t="n"/>
      <c r="D794" s="115" t="inlineStr">
        <is>
          <t>651</t>
        </is>
      </c>
      <c r="E794" s="116" t="n"/>
      <c r="F794" s="115" t="inlineStr">
        <is>
          <t>6510</t>
        </is>
      </c>
      <c r="G794" s="116" t="n"/>
      <c r="H794" s="115" t="inlineStr">
        <is>
          <t>Комісійні доходи від розрахунково-касового обслуговування клієнтів</t>
        </is>
      </c>
      <c r="I794" s="115" t="inlineStr">
        <is>
          <t>П</t>
        </is>
      </c>
      <c r="J794" s="117" t="n">
        <v>100.16006</v>
      </c>
      <c r="K794" s="117" t="n">
        <v>100.16006</v>
      </c>
      <c r="L794" s="117" t="n">
        <v>0</v>
      </c>
      <c r="M794" s="117" t="n">
        <v>83875.94125</v>
      </c>
      <c r="N794" s="116" t="n"/>
      <c r="O794" s="117" t="n">
        <v>83875.94125</v>
      </c>
      <c r="P794" s="117" t="n">
        <v>0</v>
      </c>
      <c r="Q794" s="117" t="n">
        <v>886804.23599</v>
      </c>
      <c r="R794" s="117" t="n">
        <v>886804.23599</v>
      </c>
      <c r="S794" s="118" t="n">
        <v>0</v>
      </c>
      <c r="T794" s="110" t="n"/>
    </row>
    <row r="795" ht="13.5" customHeight="1" s="52">
      <c r="A795" s="104" t="n">
        <v>788</v>
      </c>
      <c r="B795" s="119" t="n"/>
      <c r="C795" s="119" t="n"/>
      <c r="D795" s="119" t="n"/>
      <c r="F795" s="115" t="inlineStr">
        <is>
          <t>6511</t>
        </is>
      </c>
      <c r="G795" s="116" t="n"/>
      <c r="H795" s="115" t="inlineStr">
        <is>
          <t>Комісійні доходи від кредитного обслуговування клієнтів</t>
        </is>
      </c>
      <c r="I795" s="115" t="inlineStr">
        <is>
          <t>П</t>
        </is>
      </c>
      <c r="J795" s="117" t="n">
        <v>0.00694</v>
      </c>
      <c r="K795" s="117" t="n">
        <v>0.00694</v>
      </c>
      <c r="L795" s="117" t="n">
        <v>0</v>
      </c>
      <c r="M795" s="117" t="n">
        <v>2405.14587</v>
      </c>
      <c r="N795" s="116" t="n"/>
      <c r="O795" s="117" t="n">
        <v>2405.14587</v>
      </c>
      <c r="P795" s="117" t="n">
        <v>0</v>
      </c>
      <c r="Q795" s="117" t="n">
        <v>26636.80447</v>
      </c>
      <c r="R795" s="117" t="n">
        <v>26636.80447</v>
      </c>
      <c r="S795" s="118" t="n">
        <v>0</v>
      </c>
      <c r="T795" s="110" t="n"/>
    </row>
    <row r="796" ht="13.5" customHeight="1" s="52">
      <c r="A796" s="104" t="n">
        <v>789</v>
      </c>
      <c r="B796" s="119" t="n"/>
      <c r="C796" s="119" t="n"/>
      <c r="D796" s="119" t="n"/>
      <c r="F796" s="115" t="inlineStr">
        <is>
          <t>6513</t>
        </is>
      </c>
      <c r="G796" s="116" t="n"/>
      <c r="H796" s="115" t="inlineStr">
        <is>
          <t>Комісійні доходи за операціями з цінними паперами для клієнтів</t>
        </is>
      </c>
      <c r="I796" s="115" t="inlineStr">
        <is>
          <t>П</t>
        </is>
      </c>
      <c r="J796" s="117" t="n">
        <v>0</v>
      </c>
      <c r="K796" s="117" t="n">
        <v>0</v>
      </c>
      <c r="L796" s="117" t="n">
        <v>0</v>
      </c>
      <c r="M796" s="117" t="n">
        <v>961.8774100000001</v>
      </c>
      <c r="N796" s="116" t="n"/>
      <c r="O796" s="117" t="n">
        <v>961.8774100000001</v>
      </c>
      <c r="P796" s="117" t="n">
        <v>0</v>
      </c>
      <c r="Q796" s="117" t="n">
        <v>10562.72029</v>
      </c>
      <c r="R796" s="117" t="n">
        <v>10562.72029</v>
      </c>
      <c r="S796" s="118" t="n">
        <v>0</v>
      </c>
      <c r="T796" s="110" t="n"/>
    </row>
    <row r="797" ht="14.25" customHeight="1" s="52">
      <c r="A797" s="104" t="n">
        <v>790</v>
      </c>
      <c r="B797" s="119" t="n"/>
      <c r="C797" s="119" t="n"/>
      <c r="D797" s="119" t="n"/>
      <c r="F797" s="115" t="inlineStr">
        <is>
          <t>6514</t>
        </is>
      </c>
      <c r="G797" s="116" t="n"/>
      <c r="H797" s="115" t="inlineStr">
        <is>
          <t>Комісійні доходи за операціями на валютному ринку та ринку банківських металів для клієнтів</t>
        </is>
      </c>
      <c r="I797" s="115" t="inlineStr">
        <is>
          <t>П</t>
        </is>
      </c>
      <c r="J797" s="117" t="n">
        <v>491.13277</v>
      </c>
      <c r="K797" s="117" t="n">
        <v>491.13277</v>
      </c>
      <c r="L797" s="117" t="n">
        <v>0</v>
      </c>
      <c r="M797" s="117" t="n">
        <v>35016.8303</v>
      </c>
      <c r="N797" s="116" t="n"/>
      <c r="O797" s="117" t="n">
        <v>35016.8303</v>
      </c>
      <c r="P797" s="117" t="n">
        <v>0</v>
      </c>
      <c r="Q797" s="117" t="n">
        <v>360868.23283</v>
      </c>
      <c r="R797" s="117" t="n">
        <v>360868.23283</v>
      </c>
      <c r="S797" s="118" t="n">
        <v>0</v>
      </c>
      <c r="T797" s="110" t="n"/>
    </row>
    <row r="798" ht="13.5" customHeight="1" s="52">
      <c r="A798" s="104" t="n">
        <v>791</v>
      </c>
      <c r="B798" s="119" t="n"/>
      <c r="C798" s="119" t="n"/>
      <c r="D798" s="119" t="n"/>
      <c r="F798" s="115" t="inlineStr">
        <is>
          <t>6516</t>
        </is>
      </c>
      <c r="G798" s="116" t="n"/>
      <c r="H798" s="115" t="inlineStr">
        <is>
          <t>Комісійні доходи від довірчого обслуговування клієнтів</t>
        </is>
      </c>
      <c r="I798" s="115" t="inlineStr">
        <is>
          <t>П</t>
        </is>
      </c>
      <c r="J798" s="117" t="n">
        <v>0</v>
      </c>
      <c r="K798" s="117" t="n">
        <v>0</v>
      </c>
      <c r="L798" s="117" t="n">
        <v>0</v>
      </c>
      <c r="M798" s="117" t="n">
        <v>0</v>
      </c>
      <c r="N798" s="116" t="n"/>
      <c r="O798" s="117" t="n">
        <v>0</v>
      </c>
      <c r="P798" s="117" t="n">
        <v>0</v>
      </c>
      <c r="Q798" s="117" t="n">
        <v>0</v>
      </c>
      <c r="R798" s="117" t="n">
        <v>0</v>
      </c>
      <c r="S798" s="118" t="n">
        <v>0</v>
      </c>
      <c r="T798" s="110" t="n"/>
    </row>
    <row r="799" ht="13.5" customHeight="1" s="52">
      <c r="A799" s="104" t="n">
        <v>792</v>
      </c>
      <c r="B799" s="119" t="n"/>
      <c r="C799" s="119" t="n"/>
      <c r="D799" s="119" t="n"/>
      <c r="F799" s="115" t="inlineStr">
        <is>
          <t>6518</t>
        </is>
      </c>
      <c r="G799" s="116" t="n"/>
      <c r="H799" s="115" t="inlineStr">
        <is>
          <t>Комісійні доходи за позабалансовими операціями з клієнтами</t>
        </is>
      </c>
      <c r="I799" s="115" t="inlineStr">
        <is>
          <t>П</t>
        </is>
      </c>
      <c r="J799" s="117" t="n">
        <v>6.59209</v>
      </c>
      <c r="K799" s="117" t="n">
        <v>6.59209</v>
      </c>
      <c r="L799" s="117" t="n">
        <v>0</v>
      </c>
      <c r="M799" s="117" t="n">
        <v>21447.64451</v>
      </c>
      <c r="N799" s="116" t="n"/>
      <c r="O799" s="117" t="n">
        <v>21447.64451</v>
      </c>
      <c r="P799" s="117" t="n">
        <v>0</v>
      </c>
      <c r="Q799" s="117" t="n">
        <v>194018.74956</v>
      </c>
      <c r="R799" s="117" t="n">
        <v>194018.74956</v>
      </c>
      <c r="S799" s="118" t="n">
        <v>0</v>
      </c>
      <c r="T799" s="110" t="n"/>
    </row>
    <row r="800" ht="13.5" customHeight="1" s="52">
      <c r="A800" s="104" t="n">
        <v>793</v>
      </c>
      <c r="B800" s="119" t="n"/>
      <c r="C800" s="119" t="n"/>
      <c r="D800" s="119" t="n"/>
      <c r="F800" s="115" t="inlineStr">
        <is>
          <t>6519</t>
        </is>
      </c>
      <c r="G800" s="116" t="n"/>
      <c r="H800" s="115" t="inlineStr">
        <is>
          <t>Інші комісійні доходи за операціями з клієнтами</t>
        </is>
      </c>
      <c r="I800" s="115" t="inlineStr">
        <is>
          <t>П</t>
        </is>
      </c>
      <c r="J800" s="117" t="n">
        <v>0.41084</v>
      </c>
      <c r="K800" s="117" t="n">
        <v>0.41084</v>
      </c>
      <c r="L800" s="117" t="n">
        <v>0</v>
      </c>
      <c r="M800" s="117" t="n">
        <v>3260.82272</v>
      </c>
      <c r="N800" s="116" t="n"/>
      <c r="O800" s="117" t="n">
        <v>3260.82272</v>
      </c>
      <c r="P800" s="117" t="n">
        <v>0</v>
      </c>
      <c r="Q800" s="117" t="n">
        <v>32805.77825</v>
      </c>
      <c r="R800" s="117" t="n">
        <v>32805.77825</v>
      </c>
      <c r="S800" s="118" t="n">
        <v>0</v>
      </c>
      <c r="T800" s="110" t="n"/>
    </row>
    <row r="801" ht="13.5" customHeight="1" s="52">
      <c r="A801" s="104" t="n">
        <v>794</v>
      </c>
      <c r="B801" s="119" t="n"/>
      <c r="C801" s="119" t="n"/>
      <c r="D801" s="119" t="n"/>
      <c r="F801" s="120" t="inlineStr">
        <is>
          <t>Група 651 - Усього</t>
        </is>
      </c>
      <c r="G801" s="116" t="n"/>
      <c r="H801" s="116" t="n"/>
      <c r="I801" s="120" t="n"/>
      <c r="J801" s="121" t="n">
        <v>598.3027</v>
      </c>
      <c r="K801" s="121" t="n">
        <v>598.3027</v>
      </c>
      <c r="L801" s="121" t="n">
        <v>0</v>
      </c>
      <c r="M801" s="121" t="n">
        <v>146968.26206</v>
      </c>
      <c r="N801" s="116" t="n"/>
      <c r="O801" s="121" t="n">
        <v>146968.26206</v>
      </c>
      <c r="P801" s="121" t="n">
        <v>0</v>
      </c>
      <c r="Q801" s="121" t="n">
        <v>1511696.52139</v>
      </c>
      <c r="R801" s="121" t="n">
        <v>1511696.52139</v>
      </c>
      <c r="S801" s="122" t="n">
        <v>0</v>
      </c>
      <c r="T801" s="110" t="n"/>
    </row>
    <row r="802" ht="14.25" customHeight="1" s="52">
      <c r="A802" s="104" t="n">
        <v>795</v>
      </c>
      <c r="B802" s="119" t="n"/>
      <c r="C802" s="119" t="n"/>
      <c r="D802" s="115" t="inlineStr">
        <is>
          <t>652</t>
        </is>
      </c>
      <c r="E802" s="116" t="n"/>
      <c r="F802" s="115" t="inlineStr">
        <is>
          <t>6520</t>
        </is>
      </c>
      <c r="G802" s="116" t="n"/>
      <c r="H802" s="115" t="inlineStr">
        <is>
          <t>Комісійні доходи за операціями з філіями банку</t>
        </is>
      </c>
      <c r="I802" s="115" t="inlineStr">
        <is>
          <t>П</t>
        </is>
      </c>
      <c r="J802" s="117" t="n">
        <v>0</v>
      </c>
      <c r="K802" s="117" t="n">
        <v>0</v>
      </c>
      <c r="L802" s="117" t="n">
        <v>0</v>
      </c>
      <c r="M802" s="117" t="n">
        <v>0</v>
      </c>
      <c r="N802" s="116" t="n"/>
      <c r="O802" s="117" t="n">
        <v>0</v>
      </c>
      <c r="P802" s="117" t="n">
        <v>0</v>
      </c>
      <c r="Q802" s="117" t="n">
        <v>0</v>
      </c>
      <c r="R802" s="117" t="n">
        <v>0</v>
      </c>
      <c r="S802" s="118" t="n">
        <v>0</v>
      </c>
      <c r="T802" s="110" t="n"/>
    </row>
    <row r="803" ht="13.5" customHeight="1" s="52">
      <c r="A803" s="104" t="n">
        <v>796</v>
      </c>
      <c r="B803" s="119" t="n"/>
      <c r="C803" s="119" t="n"/>
      <c r="D803" s="119" t="n"/>
      <c r="F803" s="120" t="inlineStr">
        <is>
          <t>Група 652 - Усього</t>
        </is>
      </c>
      <c r="G803" s="116" t="n"/>
      <c r="H803" s="116" t="n"/>
      <c r="I803" s="120" t="n"/>
      <c r="J803" s="121" t="n">
        <v>0</v>
      </c>
      <c r="K803" s="121" t="n">
        <v>0</v>
      </c>
      <c r="L803" s="121" t="n">
        <v>0</v>
      </c>
      <c r="M803" s="121" t="n">
        <v>0</v>
      </c>
      <c r="N803" s="116" t="n"/>
      <c r="O803" s="121" t="n">
        <v>0</v>
      </c>
      <c r="P803" s="121" t="n">
        <v>0</v>
      </c>
      <c r="Q803" s="121" t="n">
        <v>0</v>
      </c>
      <c r="R803" s="121" t="n">
        <v>0</v>
      </c>
      <c r="S803" s="122" t="n">
        <v>0</v>
      </c>
      <c r="T803" s="110" t="n"/>
    </row>
    <row r="804" ht="19.5" customHeight="1" s="52">
      <c r="A804" s="104" t="n">
        <v>797</v>
      </c>
      <c r="B804" s="119" t="n"/>
      <c r="C804" s="119" t="n"/>
      <c r="D804" s="120" t="inlineStr">
        <is>
          <t>Розділ 65 - Усього</t>
        </is>
      </c>
      <c r="E804" s="116" t="n"/>
      <c r="F804" s="120" t="n"/>
      <c r="G804" s="116" t="n"/>
      <c r="H804" s="116" t="n"/>
      <c r="I804" s="120" t="n"/>
      <c r="J804" s="121" t="n">
        <v>599.57384</v>
      </c>
      <c r="K804" s="121" t="n">
        <v>599.57384</v>
      </c>
      <c r="L804" s="121" t="n">
        <v>0</v>
      </c>
      <c r="M804" s="121" t="n">
        <v>169211.71588</v>
      </c>
      <c r="N804" s="116" t="n"/>
      <c r="O804" s="121" t="n">
        <v>169211.71588</v>
      </c>
      <c r="P804" s="121" t="n">
        <v>0</v>
      </c>
      <c r="Q804" s="121" t="n">
        <v>1762322.0869</v>
      </c>
      <c r="R804" s="121" t="n">
        <v>1762322.0869</v>
      </c>
      <c r="S804" s="122" t="n">
        <v>0</v>
      </c>
      <c r="T804" s="110" t="n"/>
    </row>
    <row r="805" ht="13.5" customHeight="1" s="52">
      <c r="A805" s="104" t="n">
        <v>798</v>
      </c>
      <c r="B805" s="119" t="n"/>
      <c r="C805" s="115" t="inlineStr">
        <is>
          <t>67</t>
        </is>
      </c>
      <c r="D805" s="115" t="inlineStr">
        <is>
          <t>671</t>
        </is>
      </c>
      <c r="E805" s="116" t="n"/>
      <c r="F805" s="115" t="inlineStr">
        <is>
          <t>6711</t>
        </is>
      </c>
      <c r="G805" s="116" t="n"/>
      <c r="H805" s="115" t="inlineStr">
        <is>
          <t>Повернення раніше списаної безнадійної заборгованості інших банків</t>
        </is>
      </c>
      <c r="I805" s="115" t="inlineStr">
        <is>
          <t>П</t>
        </is>
      </c>
      <c r="J805" s="117" t="n">
        <v>0</v>
      </c>
      <c r="K805" s="117" t="n">
        <v>0</v>
      </c>
      <c r="L805" s="117" t="n">
        <v>0</v>
      </c>
      <c r="M805" s="117" t="n">
        <v>0</v>
      </c>
      <c r="N805" s="116" t="n"/>
      <c r="O805" s="117" t="n">
        <v>0</v>
      </c>
      <c r="P805" s="117" t="n">
        <v>0</v>
      </c>
      <c r="Q805" s="117" t="n">
        <v>0</v>
      </c>
      <c r="R805" s="117" t="n">
        <v>0</v>
      </c>
      <c r="S805" s="118" t="n">
        <v>0</v>
      </c>
      <c r="T805" s="110" t="n"/>
    </row>
    <row r="806" ht="13.5" customHeight="1" s="52">
      <c r="A806" s="104" t="n">
        <v>799</v>
      </c>
      <c r="B806" s="119" t="n"/>
      <c r="C806" s="119" t="n"/>
      <c r="D806" s="119" t="n"/>
      <c r="F806" s="115" t="inlineStr">
        <is>
          <t>6712</t>
        </is>
      </c>
      <c r="G806" s="116" t="n"/>
      <c r="H806" s="115" t="inlineStr">
        <is>
          <t>Повернення раніше списаної безнадійної заборгованості за кредитами, що надані клієнтам</t>
        </is>
      </c>
      <c r="I806" s="115" t="inlineStr">
        <is>
          <t>П</t>
        </is>
      </c>
      <c r="J806" s="117" t="n">
        <v>0</v>
      </c>
      <c r="K806" s="117" t="n">
        <v>0</v>
      </c>
      <c r="L806" s="117" t="n">
        <v>0</v>
      </c>
      <c r="M806" s="117" t="n">
        <v>3070.15326</v>
      </c>
      <c r="N806" s="116" t="n"/>
      <c r="O806" s="117" t="n">
        <v>3070.15326</v>
      </c>
      <c r="P806" s="117" t="n">
        <v>0</v>
      </c>
      <c r="Q806" s="117" t="n">
        <v>716077.04421</v>
      </c>
      <c r="R806" s="117" t="n">
        <v>716077.04421</v>
      </c>
      <c r="S806" s="118" t="n">
        <v>0</v>
      </c>
      <c r="T806" s="110" t="n"/>
    </row>
    <row r="807" ht="14.25" customHeight="1" s="52">
      <c r="A807" s="104" t="n">
        <v>800</v>
      </c>
      <c r="B807" s="119" t="n"/>
      <c r="C807" s="119" t="n"/>
      <c r="D807" s="119" t="n"/>
      <c r="F807" s="115" t="inlineStr">
        <is>
          <t>6715</t>
        </is>
      </c>
      <c r="G807" s="116" t="n"/>
      <c r="H807" s="115" t="inlineStr">
        <is>
          <t>Повернення раніше списаної безнадійної нефінансової дебіторської заборгованості банку</t>
        </is>
      </c>
      <c r="I807" s="115" t="inlineStr">
        <is>
          <t>П</t>
        </is>
      </c>
      <c r="J807" s="117" t="n">
        <v>0</v>
      </c>
      <c r="K807" s="117" t="n">
        <v>0</v>
      </c>
      <c r="L807" s="117" t="n">
        <v>0</v>
      </c>
      <c r="M807" s="117" t="n">
        <v>0</v>
      </c>
      <c r="N807" s="116" t="n"/>
      <c r="O807" s="117" t="n">
        <v>0</v>
      </c>
      <c r="P807" s="117" t="n">
        <v>0</v>
      </c>
      <c r="Q807" s="117" t="n">
        <v>0</v>
      </c>
      <c r="R807" s="117" t="n">
        <v>0</v>
      </c>
      <c r="S807" s="118" t="n">
        <v>0</v>
      </c>
      <c r="T807" s="110" t="n"/>
    </row>
    <row r="808" ht="13.5" customHeight="1" s="52">
      <c r="A808" s="104" t="n">
        <v>801</v>
      </c>
      <c r="B808" s="119" t="n"/>
      <c r="C808" s="119" t="n"/>
      <c r="D808" s="119" t="n"/>
      <c r="F808" s="115" t="inlineStr">
        <is>
          <t>6717</t>
        </is>
      </c>
      <c r="G808" s="116" t="n"/>
      <c r="H808" s="115" t="inlineStr">
        <is>
          <t>Повернення раніше списаної безнадійної фінансової дебіторської заборгованості банку</t>
        </is>
      </c>
      <c r="I808" s="115" t="inlineStr">
        <is>
          <t>П</t>
        </is>
      </c>
      <c r="J808" s="117" t="n">
        <v>0</v>
      </c>
      <c r="K808" s="117" t="n">
        <v>0</v>
      </c>
      <c r="L808" s="117" t="n">
        <v>0</v>
      </c>
      <c r="M808" s="117" t="n">
        <v>0.12</v>
      </c>
      <c r="N808" s="116" t="n"/>
      <c r="O808" s="117" t="n">
        <v>0.12</v>
      </c>
      <c r="P808" s="117" t="n">
        <v>0</v>
      </c>
      <c r="Q808" s="117" t="n">
        <v>0.16185</v>
      </c>
      <c r="R808" s="117" t="n">
        <v>0.16185</v>
      </c>
      <c r="S808" s="118" t="n">
        <v>0</v>
      </c>
      <c r="T808" s="110" t="n"/>
    </row>
    <row r="809" ht="13.5" customHeight="1" s="52">
      <c r="A809" s="104" t="n">
        <v>802</v>
      </c>
      <c r="B809" s="119" t="n"/>
      <c r="C809" s="119" t="n"/>
      <c r="D809" s="119" t="n"/>
      <c r="F809" s="120" t="inlineStr">
        <is>
          <t>Група 671 - Усього</t>
        </is>
      </c>
      <c r="G809" s="116" t="n"/>
      <c r="H809" s="116" t="n"/>
      <c r="I809" s="120" t="n"/>
      <c r="J809" s="121" t="n">
        <v>0</v>
      </c>
      <c r="K809" s="121" t="n">
        <v>0</v>
      </c>
      <c r="L809" s="121" t="n">
        <v>0</v>
      </c>
      <c r="M809" s="121" t="n">
        <v>3070.27326</v>
      </c>
      <c r="N809" s="116" t="n"/>
      <c r="O809" s="121" t="n">
        <v>3070.27326</v>
      </c>
      <c r="P809" s="121" t="n">
        <v>0</v>
      </c>
      <c r="Q809" s="121" t="n">
        <v>716077.20606</v>
      </c>
      <c r="R809" s="121" t="n">
        <v>716077.20606</v>
      </c>
      <c r="S809" s="122" t="n">
        <v>0</v>
      </c>
      <c r="T809" s="110" t="n"/>
    </row>
    <row r="810" ht="19.5" customHeight="1" s="52">
      <c r="A810" s="104" t="n">
        <v>803</v>
      </c>
      <c r="B810" s="119" t="n"/>
      <c r="C810" s="119" t="n"/>
      <c r="D810" s="120" t="inlineStr">
        <is>
          <t>Розділ 67 - Усього</t>
        </is>
      </c>
      <c r="E810" s="116" t="n"/>
      <c r="F810" s="120" t="n"/>
      <c r="G810" s="116" t="n"/>
      <c r="H810" s="116" t="n"/>
      <c r="I810" s="120" t="n"/>
      <c r="J810" s="121" t="n">
        <v>0</v>
      </c>
      <c r="K810" s="121" t="n">
        <v>0</v>
      </c>
      <c r="L810" s="121" t="n">
        <v>0</v>
      </c>
      <c r="M810" s="121" t="n">
        <v>3070.27326</v>
      </c>
      <c r="N810" s="116" t="n"/>
      <c r="O810" s="121" t="n">
        <v>3070.27326</v>
      </c>
      <c r="P810" s="121" t="n">
        <v>0</v>
      </c>
      <c r="Q810" s="121" t="n">
        <v>716077.20606</v>
      </c>
      <c r="R810" s="121" t="n">
        <v>716077.20606</v>
      </c>
      <c r="S810" s="122" t="n">
        <v>0</v>
      </c>
      <c r="T810" s="110" t="n"/>
    </row>
    <row r="811" ht="18" customHeight="1" s="52">
      <c r="A811" s="104" t="n">
        <v>804</v>
      </c>
      <c r="B811" s="119" t="n"/>
      <c r="C811" s="120" t="inlineStr">
        <is>
          <t xml:space="preserve">  Клас 6 - Усього</t>
        </is>
      </c>
      <c r="D811" s="120" t="n"/>
      <c r="E811" s="116" t="n"/>
      <c r="F811" s="120" t="n"/>
      <c r="G811" s="116" t="n"/>
      <c r="H811" s="116" t="n"/>
      <c r="I811" s="120" t="n"/>
      <c r="J811" s="121" t="n">
        <v>28168052.60294</v>
      </c>
      <c r="K811" s="121" t="n">
        <v>28168052.60294</v>
      </c>
      <c r="L811" s="121" t="n">
        <v>0</v>
      </c>
      <c r="M811" s="121" t="n">
        <v>30408128.63059</v>
      </c>
      <c r="N811" s="116" t="n"/>
      <c r="O811" s="121" t="n">
        <v>30408128.63059</v>
      </c>
      <c r="P811" s="121" t="n">
        <v>0</v>
      </c>
      <c r="Q811" s="121" t="n">
        <v>27306192.45191</v>
      </c>
      <c r="R811" s="121" t="n">
        <v>27306192.45191</v>
      </c>
      <c r="S811" s="122" t="n">
        <v>0</v>
      </c>
      <c r="T811" s="110" t="n"/>
    </row>
    <row r="812" ht="25.5" customHeight="1" s="52">
      <c r="A812" s="104" t="n">
        <v>805</v>
      </c>
      <c r="B812" s="123" t="inlineStr">
        <is>
          <t xml:space="preserve">  Доходи - Усього</t>
        </is>
      </c>
      <c r="C812" s="123" t="n"/>
      <c r="D812" s="123" t="n"/>
      <c r="E812" s="124" t="n"/>
      <c r="F812" s="123" t="n"/>
      <c r="G812" s="124" t="n"/>
      <c r="H812" s="124" t="n"/>
      <c r="I812" s="123" t="n"/>
      <c r="J812" s="125" t="n">
        <v>28168052.60294</v>
      </c>
      <c r="K812" s="125" t="n">
        <v>28168052.60294</v>
      </c>
      <c r="L812" s="125" t="n">
        <v>0</v>
      </c>
      <c r="M812" s="125" t="n">
        <v>30408128.63059</v>
      </c>
      <c r="N812" s="124" t="n"/>
      <c r="O812" s="125" t="n">
        <v>30408128.63059</v>
      </c>
      <c r="P812" s="125" t="n">
        <v>0</v>
      </c>
      <c r="Q812" s="125" t="n">
        <v>27306192.45191</v>
      </c>
      <c r="R812" s="125" t="n">
        <v>27306192.45191</v>
      </c>
      <c r="S812" s="126" t="n">
        <v>0</v>
      </c>
      <c r="T812" s="110" t="n"/>
    </row>
    <row r="813" ht="15" customHeight="1" s="52">
      <c r="A813" s="104" t="n">
        <v>806</v>
      </c>
      <c r="B813" s="127" t="inlineStr">
        <is>
          <t>Клас 7</t>
        </is>
      </c>
      <c r="C813" s="106" t="n"/>
      <c r="D813" s="106" t="n"/>
      <c r="E813" s="106" t="n"/>
      <c r="F813" s="106" t="n"/>
      <c r="G813" s="106" t="n"/>
      <c r="H813" s="107" t="n"/>
      <c r="I813" s="108" t="n"/>
      <c r="J813" s="108" t="n"/>
      <c r="K813" s="108" t="n"/>
      <c r="L813" s="108" t="n"/>
      <c r="M813" s="109" t="n"/>
      <c r="N813" s="108" t="n"/>
      <c r="O813" s="108" t="n"/>
      <c r="P813" s="108" t="n"/>
      <c r="Q813" s="108" t="n"/>
      <c r="R813" s="108" t="n"/>
      <c r="S813" s="108" t="n"/>
      <c r="T813" s="110" t="n"/>
    </row>
    <row r="814" ht="14.25" customHeight="1" s="52">
      <c r="A814" s="104" t="n">
        <v>807</v>
      </c>
      <c r="B814" s="128" t="inlineStr">
        <is>
          <t>Витрати</t>
        </is>
      </c>
      <c r="H814" s="114" t="n"/>
      <c r="I814" s="129" t="n"/>
      <c r="J814" s="129" t="n"/>
      <c r="K814" s="129" t="n"/>
      <c r="L814" s="129" t="n"/>
      <c r="M814" s="130" t="n"/>
      <c r="N814" s="129" t="n"/>
      <c r="O814" s="129" t="n"/>
      <c r="P814" s="129" t="n"/>
      <c r="Q814" s="129" t="n"/>
      <c r="R814" s="129" t="n"/>
      <c r="S814" s="129" t="n"/>
      <c r="T814" s="110" t="n"/>
    </row>
    <row r="815" ht="13.5" customHeight="1" s="52">
      <c r="A815" s="104" t="n">
        <v>808</v>
      </c>
      <c r="B815" s="115" t="inlineStr">
        <is>
          <t>Клас 7</t>
        </is>
      </c>
      <c r="C815" s="115" t="inlineStr">
        <is>
          <t>70</t>
        </is>
      </c>
      <c r="D815" s="115" t="inlineStr">
        <is>
          <t>700</t>
        </is>
      </c>
      <c r="E815" s="116" t="n"/>
      <c r="F815" s="115" t="inlineStr">
        <is>
          <t>7003</t>
        </is>
      </c>
      <c r="G815" s="116" t="n"/>
      <c r="H815" s="115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15" s="115" t="inlineStr">
        <is>
          <t>А</t>
        </is>
      </c>
      <c r="J815" s="117" t="n">
        <v>0</v>
      </c>
      <c r="K815" s="117" t="n">
        <v>0</v>
      </c>
      <c r="L815" s="117" t="n">
        <v>0</v>
      </c>
      <c r="M815" s="117" t="n">
        <v>0</v>
      </c>
      <c r="N815" s="116" t="n"/>
      <c r="O815" s="117" t="n">
        <v>0</v>
      </c>
      <c r="P815" s="117" t="n">
        <v>0</v>
      </c>
      <c r="Q815" s="117" t="n">
        <v>0</v>
      </c>
      <c r="R815" s="117" t="n">
        <v>0</v>
      </c>
      <c r="S815" s="118" t="n">
        <v>0</v>
      </c>
      <c r="T815" s="110" t="n"/>
    </row>
    <row r="816" ht="13.5" customHeight="1" s="52">
      <c r="A816" s="104" t="n">
        <v>809</v>
      </c>
      <c r="B816" s="119" t="n"/>
      <c r="C816" s="119" t="n"/>
      <c r="D816" s="119" t="n"/>
      <c r="F816" s="120" t="inlineStr">
        <is>
          <t>Група 700 - Усього</t>
        </is>
      </c>
      <c r="G816" s="116" t="n"/>
      <c r="H816" s="116" t="n"/>
      <c r="I816" s="120" t="n"/>
      <c r="J816" s="121" t="n">
        <v>0</v>
      </c>
      <c r="K816" s="121" t="n">
        <v>0</v>
      </c>
      <c r="L816" s="121" t="n">
        <v>0</v>
      </c>
      <c r="M816" s="121" t="n">
        <v>0</v>
      </c>
      <c r="N816" s="116" t="n"/>
      <c r="O816" s="121" t="n">
        <v>0</v>
      </c>
      <c r="P816" s="121" t="n">
        <v>0</v>
      </c>
      <c r="Q816" s="121" t="n">
        <v>0</v>
      </c>
      <c r="R816" s="121" t="n">
        <v>0</v>
      </c>
      <c r="S816" s="122" t="n">
        <v>0</v>
      </c>
      <c r="T816" s="110" t="n"/>
    </row>
    <row r="817" ht="14.25" customHeight="1" s="52">
      <c r="A817" s="104" t="n">
        <v>810</v>
      </c>
      <c r="B817" s="119" t="n"/>
      <c r="C817" s="119" t="n"/>
      <c r="D817" s="115" t="inlineStr">
        <is>
          <t>701</t>
        </is>
      </c>
      <c r="E817" s="116" t="n"/>
      <c r="F817" s="115" t="inlineStr">
        <is>
          <t>7010</t>
        </is>
      </c>
      <c r="G817" s="116" t="n"/>
      <c r="H817" s="115" t="inlineStr">
        <is>
          <t>Процентні витрати за коштами на вимогу інших банків</t>
        </is>
      </c>
      <c r="I817" s="115" t="inlineStr">
        <is>
          <t>А</t>
        </is>
      </c>
      <c r="J817" s="117" t="n">
        <v>0</v>
      </c>
      <c r="K817" s="117" t="n">
        <v>0</v>
      </c>
      <c r="L817" s="117" t="n">
        <v>0</v>
      </c>
      <c r="M817" s="117" t="n">
        <v>0</v>
      </c>
      <c r="N817" s="116" t="n"/>
      <c r="O817" s="117" t="n">
        <v>0</v>
      </c>
      <c r="P817" s="117" t="n">
        <v>0</v>
      </c>
      <c r="Q817" s="117" t="n">
        <v>0</v>
      </c>
      <c r="R817" s="117" t="n">
        <v>0</v>
      </c>
      <c r="S817" s="118" t="n">
        <v>0</v>
      </c>
      <c r="T817" s="110" t="n"/>
    </row>
    <row r="818" ht="13.5" customHeight="1" s="52">
      <c r="A818" s="104" t="n">
        <v>811</v>
      </c>
      <c r="B818" s="119" t="n"/>
      <c r="C818" s="119" t="n"/>
      <c r="D818" s="119" t="n"/>
      <c r="F818" s="115" t="inlineStr">
        <is>
          <t>7011</t>
        </is>
      </c>
      <c r="G818" s="116" t="n"/>
      <c r="H818" s="115" t="inlineStr">
        <is>
          <t>Процентні витрати за депозитами овернайт інших банків</t>
        </is>
      </c>
      <c r="I818" s="115" t="inlineStr">
        <is>
          <t>А</t>
        </is>
      </c>
      <c r="J818" s="117" t="n">
        <v>0</v>
      </c>
      <c r="K818" s="117" t="n">
        <v>0</v>
      </c>
      <c r="L818" s="117" t="n">
        <v>0</v>
      </c>
      <c r="M818" s="117" t="n">
        <v>0</v>
      </c>
      <c r="N818" s="116" t="n"/>
      <c r="O818" s="117" t="n">
        <v>0</v>
      </c>
      <c r="P818" s="117" t="n">
        <v>0</v>
      </c>
      <c r="Q818" s="117" t="n">
        <v>0</v>
      </c>
      <c r="R818" s="117" t="n">
        <v>0</v>
      </c>
      <c r="S818" s="118" t="n">
        <v>0</v>
      </c>
      <c r="T818" s="110" t="n"/>
    </row>
    <row r="819" ht="13.5" customHeight="1" s="52">
      <c r="A819" s="104" t="n">
        <v>812</v>
      </c>
      <c r="B819" s="119" t="n"/>
      <c r="C819" s="119" t="n"/>
      <c r="D819" s="119" t="n"/>
      <c r="F819" s="115" t="inlineStr">
        <is>
          <t>7012</t>
        </is>
      </c>
      <c r="G819" s="116" t="n"/>
      <c r="H819" s="115" t="inlineStr">
        <is>
          <t>Процентні витрати за строковими вкладами (депозитами) інших банків</t>
        </is>
      </c>
      <c r="I819" s="115" t="inlineStr">
        <is>
          <t>А</t>
        </is>
      </c>
      <c r="J819" s="117" t="n">
        <v>11.29248</v>
      </c>
      <c r="K819" s="117" t="n">
        <v>11.29248</v>
      </c>
      <c r="L819" s="117" t="n">
        <v>0</v>
      </c>
      <c r="M819" s="117" t="n">
        <v>0</v>
      </c>
      <c r="N819" s="116" t="n"/>
      <c r="O819" s="117" t="n">
        <v>0</v>
      </c>
      <c r="P819" s="117" t="n">
        <v>0</v>
      </c>
      <c r="Q819" s="117" t="n">
        <v>299.25042</v>
      </c>
      <c r="R819" s="117" t="n">
        <v>299.25042</v>
      </c>
      <c r="S819" s="118" t="n">
        <v>0</v>
      </c>
      <c r="T819" s="110" t="n"/>
    </row>
    <row r="820" ht="13.5" customHeight="1" s="52">
      <c r="A820" s="104" t="n">
        <v>813</v>
      </c>
      <c r="B820" s="119" t="n"/>
      <c r="C820" s="119" t="n"/>
      <c r="D820" s="119" t="n"/>
      <c r="F820" s="115" t="inlineStr">
        <is>
          <t>7014</t>
        </is>
      </c>
      <c r="G820" s="116" t="n"/>
      <c r="H820" s="115" t="inlineStr">
        <is>
          <t>Процентні витрати за кредитами овернайт, що отримані від інших банків</t>
        </is>
      </c>
      <c r="I820" s="115" t="inlineStr">
        <is>
          <t>А</t>
        </is>
      </c>
      <c r="J820" s="117" t="n">
        <v>0</v>
      </c>
      <c r="K820" s="117" t="n">
        <v>0</v>
      </c>
      <c r="L820" s="117" t="n">
        <v>0</v>
      </c>
      <c r="M820" s="117" t="n">
        <v>0</v>
      </c>
      <c r="N820" s="116" t="n"/>
      <c r="O820" s="117" t="n">
        <v>0</v>
      </c>
      <c r="P820" s="117" t="n">
        <v>0</v>
      </c>
      <c r="Q820" s="117" t="n">
        <v>0</v>
      </c>
      <c r="R820" s="117" t="n">
        <v>0</v>
      </c>
      <c r="S820" s="118" t="n">
        <v>0</v>
      </c>
      <c r="T820" s="110" t="n"/>
    </row>
    <row r="821" ht="13.5" customHeight="1" s="52">
      <c r="A821" s="104" t="n">
        <v>814</v>
      </c>
      <c r="B821" s="119" t="n"/>
      <c r="C821" s="119" t="n"/>
      <c r="D821" s="119" t="n"/>
      <c r="F821" s="115" t="inlineStr">
        <is>
          <t>7015</t>
        </is>
      </c>
      <c r="G821" s="116" t="n"/>
      <c r="H821" s="115" t="inlineStr">
        <is>
          <t>Процентні витрати за кредитами, що отримані від інших банків за операціями репо</t>
        </is>
      </c>
      <c r="I821" s="115" t="inlineStr">
        <is>
          <t>А</t>
        </is>
      </c>
      <c r="J821" s="117" t="n">
        <v>0</v>
      </c>
      <c r="K821" s="117" t="n">
        <v>0</v>
      </c>
      <c r="L821" s="117" t="n">
        <v>0</v>
      </c>
      <c r="M821" s="117" t="n">
        <v>0</v>
      </c>
      <c r="N821" s="116" t="n"/>
      <c r="O821" s="117" t="n">
        <v>0</v>
      </c>
      <c r="P821" s="117" t="n">
        <v>0</v>
      </c>
      <c r="Q821" s="117" t="n">
        <v>0</v>
      </c>
      <c r="R821" s="117" t="n">
        <v>0</v>
      </c>
      <c r="S821" s="118" t="n">
        <v>0</v>
      </c>
      <c r="T821" s="110" t="n"/>
    </row>
    <row r="822" ht="14.25" customHeight="1" s="52">
      <c r="A822" s="104" t="n">
        <v>815</v>
      </c>
      <c r="B822" s="119" t="n"/>
      <c r="C822" s="119" t="n"/>
      <c r="D822" s="119" t="n"/>
      <c r="F822" s="115" t="inlineStr">
        <is>
          <t>7016</t>
        </is>
      </c>
      <c r="G822" s="116" t="n"/>
      <c r="H822" s="115" t="inlineStr">
        <is>
          <t>Процентні витрати за кредитами овердрафт, що отримані від інших банків</t>
        </is>
      </c>
      <c r="I822" s="115" t="inlineStr">
        <is>
          <t>А</t>
        </is>
      </c>
      <c r="J822" s="117" t="n">
        <v>0</v>
      </c>
      <c r="K822" s="117" t="n">
        <v>0</v>
      </c>
      <c r="L822" s="117" t="n">
        <v>0</v>
      </c>
      <c r="M822" s="117" t="n">
        <v>0</v>
      </c>
      <c r="N822" s="116" t="n"/>
      <c r="O822" s="117" t="n">
        <v>0</v>
      </c>
      <c r="P822" s="117" t="n">
        <v>0</v>
      </c>
      <c r="Q822" s="117" t="n">
        <v>0</v>
      </c>
      <c r="R822" s="117" t="n">
        <v>0</v>
      </c>
      <c r="S822" s="118" t="n">
        <v>0</v>
      </c>
      <c r="T822" s="110" t="n"/>
    </row>
    <row r="823" ht="13.5" customHeight="1" s="52">
      <c r="A823" s="104" t="n">
        <v>816</v>
      </c>
      <c r="B823" s="119" t="n"/>
      <c r="C823" s="119" t="n"/>
      <c r="D823" s="119" t="n"/>
      <c r="F823" s="115" t="inlineStr">
        <is>
          <t>7017</t>
        </is>
      </c>
      <c r="G823" s="116" t="n"/>
      <c r="H823" s="115" t="inlineStr">
        <is>
          <t>Процентні витрати за іншими кредитами, що отримані від інших банків</t>
        </is>
      </c>
      <c r="I823" s="115" t="inlineStr">
        <is>
          <t>А</t>
        </is>
      </c>
      <c r="J823" s="117" t="n">
        <v>0</v>
      </c>
      <c r="K823" s="117" t="n">
        <v>0</v>
      </c>
      <c r="L823" s="117" t="n">
        <v>0</v>
      </c>
      <c r="M823" s="117" t="n">
        <v>0</v>
      </c>
      <c r="N823" s="116" t="n"/>
      <c r="O823" s="117" t="n">
        <v>0</v>
      </c>
      <c r="P823" s="117" t="n">
        <v>0</v>
      </c>
      <c r="Q823" s="117" t="n">
        <v>0</v>
      </c>
      <c r="R823" s="117" t="n">
        <v>0</v>
      </c>
      <c r="S823" s="118" t="n">
        <v>0</v>
      </c>
      <c r="T823" s="110" t="n"/>
    </row>
    <row r="824" ht="13.5" customHeight="1" s="52">
      <c r="A824" s="104" t="n">
        <v>817</v>
      </c>
      <c r="B824" s="119" t="n"/>
      <c r="C824" s="119" t="n"/>
      <c r="D824" s="119" t="n"/>
      <c r="F824" s="120" t="inlineStr">
        <is>
          <t>Група 701 - Усього</t>
        </is>
      </c>
      <c r="G824" s="116" t="n"/>
      <c r="H824" s="116" t="n"/>
      <c r="I824" s="120" t="n"/>
      <c r="J824" s="121" t="n">
        <v>11.29248</v>
      </c>
      <c r="K824" s="121" t="n">
        <v>11.29248</v>
      </c>
      <c r="L824" s="121" t="n">
        <v>0</v>
      </c>
      <c r="M824" s="121" t="n">
        <v>0</v>
      </c>
      <c r="N824" s="116" t="n"/>
      <c r="O824" s="121" t="n">
        <v>0</v>
      </c>
      <c r="P824" s="121" t="n">
        <v>0</v>
      </c>
      <c r="Q824" s="121" t="n">
        <v>299.25042</v>
      </c>
      <c r="R824" s="121" t="n">
        <v>299.25042</v>
      </c>
      <c r="S824" s="122" t="n">
        <v>0</v>
      </c>
      <c r="T824" s="110" t="n"/>
    </row>
    <row r="825" ht="13.5" customHeight="1" s="52">
      <c r="A825" s="104" t="n">
        <v>818</v>
      </c>
      <c r="B825" s="119" t="n"/>
      <c r="C825" s="119" t="n"/>
      <c r="D825" s="115" t="inlineStr">
        <is>
          <t>702</t>
        </is>
      </c>
      <c r="E825" s="116" t="n"/>
      <c r="F825" s="115" t="inlineStr">
        <is>
          <t>7020</t>
        </is>
      </c>
      <c r="G825" s="116" t="n"/>
      <c r="H825" s="115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25" s="115" t="inlineStr">
        <is>
          <t>А</t>
        </is>
      </c>
      <c r="J825" s="117" t="n">
        <v>768865.98042</v>
      </c>
      <c r="K825" s="117" t="n">
        <v>768865.98042</v>
      </c>
      <c r="L825" s="117" t="n">
        <v>0</v>
      </c>
      <c r="M825" s="117" t="n">
        <v>14.87129</v>
      </c>
      <c r="N825" s="116" t="n"/>
      <c r="O825" s="117" t="n">
        <v>14.87129</v>
      </c>
      <c r="P825" s="117" t="n">
        <v>0</v>
      </c>
      <c r="Q825" s="117" t="n">
        <v>8311961.48632</v>
      </c>
      <c r="R825" s="117" t="n">
        <v>8311961.48632</v>
      </c>
      <c r="S825" s="118" t="n">
        <v>0</v>
      </c>
      <c r="T825" s="110" t="n"/>
    </row>
    <row r="826" ht="13.5" customHeight="1" s="52">
      <c r="A826" s="104" t="n">
        <v>819</v>
      </c>
      <c r="B826" s="119" t="n"/>
      <c r="C826" s="119" t="n"/>
      <c r="D826" s="119" t="n"/>
      <c r="F826" s="119" t="n"/>
      <c r="H826" s="119" t="n"/>
      <c r="I826" s="115" t="inlineStr">
        <is>
          <t>П</t>
        </is>
      </c>
      <c r="J826" s="117" t="n">
        <v>0</v>
      </c>
      <c r="K826" s="117" t="n">
        <v>0</v>
      </c>
      <c r="L826" s="117" t="n">
        <v>0</v>
      </c>
      <c r="M826" s="117" t="n">
        <v>0</v>
      </c>
      <c r="N826" s="116" t="n"/>
      <c r="O826" s="117" t="n">
        <v>0</v>
      </c>
      <c r="P826" s="117" t="n">
        <v>0</v>
      </c>
      <c r="Q826" s="117" t="n">
        <v>0</v>
      </c>
      <c r="R826" s="117" t="n">
        <v>0</v>
      </c>
      <c r="S826" s="118" t="n">
        <v>0</v>
      </c>
      <c r="T826" s="110" t="n"/>
    </row>
    <row r="827" ht="14.25" customHeight="1" s="52">
      <c r="A827" s="104" t="n">
        <v>820</v>
      </c>
      <c r="B827" s="119" t="n"/>
      <c r="C827" s="119" t="n"/>
      <c r="D827" s="119" t="n"/>
      <c r="F827" s="115" t="inlineStr">
        <is>
          <t>7021</t>
        </is>
      </c>
      <c r="G827" s="116" t="n"/>
      <c r="H827" s="115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27" s="115" t="inlineStr">
        <is>
          <t>А</t>
        </is>
      </c>
      <c r="J827" s="117" t="n">
        <v>213690.93073</v>
      </c>
      <c r="K827" s="117" t="n">
        <v>213690.93073</v>
      </c>
      <c r="L827" s="117" t="n">
        <v>0</v>
      </c>
      <c r="M827" s="117" t="n">
        <v>1453.69526</v>
      </c>
      <c r="N827" s="116" t="n"/>
      <c r="O827" s="117" t="n">
        <v>1453.69526</v>
      </c>
      <c r="P827" s="117" t="n">
        <v>0</v>
      </c>
      <c r="Q827" s="117" t="n">
        <v>2855612.20113</v>
      </c>
      <c r="R827" s="117" t="n">
        <v>2855612.20113</v>
      </c>
      <c r="S827" s="118" t="n">
        <v>0</v>
      </c>
      <c r="T827" s="110" t="n"/>
    </row>
    <row r="828" ht="13.5" customHeight="1" s="52">
      <c r="A828" s="104" t="n">
        <v>821</v>
      </c>
      <c r="B828" s="119" t="n"/>
      <c r="C828" s="119" t="n"/>
      <c r="D828" s="119" t="n"/>
      <c r="F828" s="119" t="n"/>
      <c r="H828" s="119" t="n"/>
      <c r="I828" s="115" t="inlineStr">
        <is>
          <t>П</t>
        </is>
      </c>
      <c r="J828" s="117" t="n">
        <v>0</v>
      </c>
      <c r="K828" s="117" t="n">
        <v>0</v>
      </c>
      <c r="L828" s="117" t="n">
        <v>0</v>
      </c>
      <c r="M828" s="117" t="n">
        <v>0</v>
      </c>
      <c r="N828" s="116" t="n"/>
      <c r="O828" s="117" t="n">
        <v>0</v>
      </c>
      <c r="P828" s="117" t="n">
        <v>0</v>
      </c>
      <c r="Q828" s="117" t="n">
        <v>0</v>
      </c>
      <c r="R828" s="117" t="n">
        <v>0</v>
      </c>
      <c r="S828" s="118" t="n">
        <v>0</v>
      </c>
      <c r="T828" s="110" t="n"/>
    </row>
    <row r="829" ht="13.5" customHeight="1" s="52">
      <c r="A829" s="104" t="n">
        <v>822</v>
      </c>
      <c r="B829" s="119" t="n"/>
      <c r="C829" s="119" t="n"/>
      <c r="D829" s="119" t="n"/>
      <c r="F829" s="115" t="inlineStr">
        <is>
          <t>7028</t>
        </is>
      </c>
      <c r="G829" s="116" t="n"/>
      <c r="H829" s="115" t="inlineStr">
        <is>
          <t xml:space="preserve">Процентні витрати за орендним зобов'язанням орендаря </t>
        </is>
      </c>
      <c r="I829" s="115" t="inlineStr">
        <is>
          <t>А</t>
        </is>
      </c>
      <c r="J829" s="117" t="n">
        <v>468.59136</v>
      </c>
      <c r="K829" s="117" t="n">
        <v>468.59136</v>
      </c>
      <c r="L829" s="117" t="n">
        <v>0</v>
      </c>
      <c r="M829" s="117" t="n">
        <v>0</v>
      </c>
      <c r="N829" s="116" t="n"/>
      <c r="O829" s="117" t="n">
        <v>0</v>
      </c>
      <c r="P829" s="117" t="n">
        <v>0</v>
      </c>
      <c r="Q829" s="117" t="n">
        <v>5649.46424</v>
      </c>
      <c r="R829" s="117" t="n">
        <v>5649.46424</v>
      </c>
      <c r="S829" s="118" t="n">
        <v>0</v>
      </c>
      <c r="T829" s="110" t="n"/>
    </row>
    <row r="830" ht="13.5" customHeight="1" s="52">
      <c r="A830" s="104" t="n">
        <v>823</v>
      </c>
      <c r="B830" s="119" t="n"/>
      <c r="C830" s="119" t="n"/>
      <c r="D830" s="119" t="n"/>
      <c r="F830" s="119" t="n"/>
      <c r="H830" s="119" t="n"/>
      <c r="I830" s="115" t="inlineStr">
        <is>
          <t>П</t>
        </is>
      </c>
      <c r="J830" s="117" t="n">
        <v>0</v>
      </c>
      <c r="K830" s="117" t="n">
        <v>0</v>
      </c>
      <c r="L830" s="117" t="n">
        <v>0</v>
      </c>
      <c r="M830" s="117" t="n">
        <v>0</v>
      </c>
      <c r="N830" s="116" t="n"/>
      <c r="O830" s="117" t="n">
        <v>0</v>
      </c>
      <c r="P830" s="117" t="n">
        <v>0</v>
      </c>
      <c r="Q830" s="117" t="n">
        <v>0</v>
      </c>
      <c r="R830" s="117" t="n">
        <v>0</v>
      </c>
      <c r="S830" s="118" t="n">
        <v>0</v>
      </c>
      <c r="T830" s="110" t="n"/>
    </row>
    <row r="831" ht="13.5" customHeight="1" s="52">
      <c r="A831" s="104" t="n">
        <v>824</v>
      </c>
      <c r="B831" s="119" t="n"/>
      <c r="C831" s="119" t="n"/>
      <c r="D831" s="119" t="n"/>
      <c r="F831" s="120" t="inlineStr">
        <is>
          <t>Група 702 - Усього</t>
        </is>
      </c>
      <c r="G831" s="116" t="n"/>
      <c r="H831" s="116" t="n"/>
      <c r="I831" s="120" t="n"/>
      <c r="J831" s="121" t="n">
        <v>983025.50251</v>
      </c>
      <c r="K831" s="121" t="n">
        <v>983025.50251</v>
      </c>
      <c r="L831" s="121" t="n">
        <v>0</v>
      </c>
      <c r="M831" s="121" t="n">
        <v>1468.56655</v>
      </c>
      <c r="N831" s="116" t="n"/>
      <c r="O831" s="121" t="n">
        <v>1468.56655</v>
      </c>
      <c r="P831" s="121" t="n">
        <v>0</v>
      </c>
      <c r="Q831" s="121" t="n">
        <v>11173223.15169</v>
      </c>
      <c r="R831" s="121" t="n">
        <v>11173223.15169</v>
      </c>
      <c r="S831" s="122" t="n">
        <v>0</v>
      </c>
      <c r="T831" s="110" t="n"/>
    </row>
    <row r="832" ht="14.25" customHeight="1" s="52">
      <c r="A832" s="104" t="n">
        <v>825</v>
      </c>
      <c r="B832" s="119" t="n"/>
      <c r="C832" s="119" t="n"/>
      <c r="D832" s="115" t="inlineStr">
        <is>
          <t>703</t>
        </is>
      </c>
      <c r="E832" s="116" t="n"/>
      <c r="F832" s="115" t="inlineStr">
        <is>
          <t>7030</t>
        </is>
      </c>
      <c r="G832" s="116" t="n"/>
      <c r="H832" s="115" t="inlineStr">
        <is>
          <t>Процентні витрати за коштами бюджету та позабюджетних фондів України</t>
        </is>
      </c>
      <c r="I832" s="115" t="inlineStr">
        <is>
          <t>А</t>
        </is>
      </c>
      <c r="J832" s="117" t="n">
        <v>618.70458</v>
      </c>
      <c r="K832" s="117" t="n">
        <v>618.70458</v>
      </c>
      <c r="L832" s="117" t="n">
        <v>0</v>
      </c>
      <c r="M832" s="117" t="n">
        <v>0</v>
      </c>
      <c r="N832" s="116" t="n"/>
      <c r="O832" s="117" t="n">
        <v>0</v>
      </c>
      <c r="P832" s="117" t="n">
        <v>0</v>
      </c>
      <c r="Q832" s="117" t="n">
        <v>7016.87125</v>
      </c>
      <c r="R832" s="117" t="n">
        <v>7016.87125</v>
      </c>
      <c r="S832" s="118" t="n">
        <v>0</v>
      </c>
      <c r="T832" s="110" t="n"/>
    </row>
    <row r="833" ht="13.5" customHeight="1" s="52">
      <c r="A833" s="104" t="n">
        <v>826</v>
      </c>
      <c r="B833" s="119" t="n"/>
      <c r="C833" s="119" t="n"/>
      <c r="D833" s="119" t="n"/>
      <c r="F833" s="120" t="inlineStr">
        <is>
          <t>Група 703 - Усього</t>
        </is>
      </c>
      <c r="G833" s="116" t="n"/>
      <c r="H833" s="116" t="n"/>
      <c r="I833" s="120" t="n"/>
      <c r="J833" s="121" t="n">
        <v>618.70458</v>
      </c>
      <c r="K833" s="121" t="n">
        <v>618.70458</v>
      </c>
      <c r="L833" s="121" t="n">
        <v>0</v>
      </c>
      <c r="M833" s="121" t="n">
        <v>0</v>
      </c>
      <c r="N833" s="116" t="n"/>
      <c r="O833" s="121" t="n">
        <v>0</v>
      </c>
      <c r="P833" s="121" t="n">
        <v>0</v>
      </c>
      <c r="Q833" s="121" t="n">
        <v>7016.87125</v>
      </c>
      <c r="R833" s="121" t="n">
        <v>7016.87125</v>
      </c>
      <c r="S833" s="122" t="n">
        <v>0</v>
      </c>
      <c r="T833" s="110" t="n"/>
    </row>
    <row r="834" ht="13.5" customHeight="1" s="52">
      <c r="A834" s="104" t="n">
        <v>827</v>
      </c>
      <c r="B834" s="119" t="n"/>
      <c r="C834" s="119" t="n"/>
      <c r="D834" s="115" t="inlineStr">
        <is>
          <t>704</t>
        </is>
      </c>
      <c r="E834" s="116" t="n"/>
      <c r="F834" s="115" t="inlineStr">
        <is>
          <t>7040</t>
        </is>
      </c>
      <c r="G834" s="116" t="n"/>
      <c r="H834" s="115" t="inlineStr">
        <is>
          <t>Процентні витрати за коштами на вимогу фізичних осіб</t>
        </is>
      </c>
      <c r="I834" s="115" t="inlineStr">
        <is>
          <t>А</t>
        </is>
      </c>
      <c r="J834" s="117" t="n">
        <v>36.9831</v>
      </c>
      <c r="K834" s="117" t="n">
        <v>36.9831</v>
      </c>
      <c r="L834" s="117" t="n">
        <v>0</v>
      </c>
      <c r="M834" s="117" t="n">
        <v>0.00637</v>
      </c>
      <c r="N834" s="116" t="n"/>
      <c r="O834" s="117" t="n">
        <v>0.00637</v>
      </c>
      <c r="P834" s="117" t="n">
        <v>0</v>
      </c>
      <c r="Q834" s="117" t="n">
        <v>22083.88138</v>
      </c>
      <c r="R834" s="117" t="n">
        <v>22083.88138</v>
      </c>
      <c r="S834" s="118" t="n">
        <v>0</v>
      </c>
      <c r="T834" s="110" t="n"/>
    </row>
    <row r="835" ht="13.5" customHeight="1" s="52">
      <c r="A835" s="104" t="n">
        <v>828</v>
      </c>
      <c r="B835" s="119" t="n"/>
      <c r="C835" s="119" t="n"/>
      <c r="D835" s="119" t="n"/>
      <c r="F835" s="119" t="n"/>
      <c r="H835" s="119" t="n"/>
      <c r="I835" s="115" t="inlineStr">
        <is>
          <t>П</t>
        </is>
      </c>
      <c r="J835" s="117" t="n">
        <v>0</v>
      </c>
      <c r="K835" s="117" t="n">
        <v>0</v>
      </c>
      <c r="L835" s="117" t="n">
        <v>0</v>
      </c>
      <c r="M835" s="117" t="n">
        <v>0</v>
      </c>
      <c r="N835" s="116" t="n"/>
      <c r="O835" s="117" t="n">
        <v>0</v>
      </c>
      <c r="P835" s="117" t="n">
        <v>0</v>
      </c>
      <c r="Q835" s="117" t="n">
        <v>-0.21997</v>
      </c>
      <c r="R835" s="117" t="n">
        <v>-0.21997</v>
      </c>
      <c r="S835" s="118" t="n">
        <v>0</v>
      </c>
      <c r="T835" s="110" t="n"/>
    </row>
    <row r="836" ht="13.5" customHeight="1" s="52">
      <c r="A836" s="104" t="n">
        <v>829</v>
      </c>
      <c r="B836" s="119" t="n"/>
      <c r="C836" s="119" t="n"/>
      <c r="D836" s="119" t="n"/>
      <c r="F836" s="115" t="inlineStr">
        <is>
          <t>7041</t>
        </is>
      </c>
      <c r="G836" s="116" t="n"/>
      <c r="H836" s="115" t="inlineStr">
        <is>
          <t>Процентні витрати за строковими коштами фізичних осіб</t>
        </is>
      </c>
      <c r="I836" s="115" t="inlineStr">
        <is>
          <t>А</t>
        </is>
      </c>
      <c r="J836" s="117" t="n">
        <v>74430.54678999999</v>
      </c>
      <c r="K836" s="117" t="n">
        <v>74430.54678999999</v>
      </c>
      <c r="L836" s="117" t="n">
        <v>0</v>
      </c>
      <c r="M836" s="117" t="n">
        <v>406.32412</v>
      </c>
      <c r="N836" s="116" t="n"/>
      <c r="O836" s="117" t="n">
        <v>406.32412</v>
      </c>
      <c r="P836" s="117" t="n">
        <v>0</v>
      </c>
      <c r="Q836" s="117" t="n">
        <v>1078546.71065</v>
      </c>
      <c r="R836" s="117" t="n">
        <v>1078546.71065</v>
      </c>
      <c r="S836" s="118" t="n">
        <v>0</v>
      </c>
      <c r="T836" s="110" t="n"/>
    </row>
    <row r="837" ht="14.25" customHeight="1" s="52">
      <c r="A837" s="104" t="n">
        <v>830</v>
      </c>
      <c r="B837" s="119" t="n"/>
      <c r="C837" s="119" t="n"/>
      <c r="D837" s="119" t="n"/>
      <c r="F837" s="119" t="n"/>
      <c r="H837" s="119" t="n"/>
      <c r="I837" s="115" t="inlineStr">
        <is>
          <t>П</t>
        </is>
      </c>
      <c r="J837" s="117" t="n">
        <v>0</v>
      </c>
      <c r="K837" s="117" t="n">
        <v>0</v>
      </c>
      <c r="L837" s="117" t="n">
        <v>0</v>
      </c>
      <c r="M837" s="117" t="n">
        <v>0</v>
      </c>
      <c r="N837" s="116" t="n"/>
      <c r="O837" s="117" t="n">
        <v>0</v>
      </c>
      <c r="P837" s="117" t="n">
        <v>0</v>
      </c>
      <c r="Q837" s="117" t="n">
        <v>0</v>
      </c>
      <c r="R837" s="117" t="n">
        <v>0</v>
      </c>
      <c r="S837" s="118" t="n">
        <v>0</v>
      </c>
      <c r="T837" s="110" t="n"/>
    </row>
    <row r="838" ht="13.5" customHeight="1" s="52">
      <c r="A838" s="104" t="n">
        <v>831</v>
      </c>
      <c r="B838" s="119" t="n"/>
      <c r="C838" s="119" t="n"/>
      <c r="D838" s="119" t="n"/>
      <c r="F838" s="115" t="inlineStr">
        <is>
          <t>7048</t>
        </is>
      </c>
      <c r="G838" s="116" t="n"/>
      <c r="H838" s="115" t="inlineStr">
        <is>
          <t>Процентні витрати за орендним зобов’язанням орендаря перед фізичними особами</t>
        </is>
      </c>
      <c r="I838" s="115" t="inlineStr">
        <is>
          <t>А</t>
        </is>
      </c>
      <c r="J838" s="117" t="n">
        <v>0</v>
      </c>
      <c r="K838" s="117" t="n">
        <v>0</v>
      </c>
      <c r="L838" s="117" t="n">
        <v>0</v>
      </c>
      <c r="M838" s="117" t="n">
        <v>0</v>
      </c>
      <c r="N838" s="116" t="n"/>
      <c r="O838" s="117" t="n">
        <v>0</v>
      </c>
      <c r="P838" s="117" t="n">
        <v>0</v>
      </c>
      <c r="Q838" s="117" t="n">
        <v>0</v>
      </c>
      <c r="R838" s="117" t="n">
        <v>0</v>
      </c>
      <c r="S838" s="118" t="n">
        <v>0</v>
      </c>
      <c r="T838" s="110" t="n"/>
    </row>
    <row r="839" ht="13.5" customHeight="1" s="52">
      <c r="A839" s="104" t="n">
        <v>832</v>
      </c>
      <c r="B839" s="119" t="n"/>
      <c r="C839" s="119" t="n"/>
      <c r="D839" s="119" t="n"/>
      <c r="F839" s="119" t="n"/>
      <c r="H839" s="119" t="n"/>
      <c r="I839" s="115" t="inlineStr">
        <is>
          <t>П</t>
        </is>
      </c>
      <c r="J839" s="117" t="n">
        <v>0</v>
      </c>
      <c r="K839" s="117" t="n">
        <v>0</v>
      </c>
      <c r="L839" s="117" t="n">
        <v>0</v>
      </c>
      <c r="M839" s="117" t="n">
        <v>0</v>
      </c>
      <c r="N839" s="116" t="n"/>
      <c r="O839" s="117" t="n">
        <v>0</v>
      </c>
      <c r="P839" s="117" t="n">
        <v>0</v>
      </c>
      <c r="Q839" s="117" t="n">
        <v>0</v>
      </c>
      <c r="R839" s="117" t="n">
        <v>0</v>
      </c>
      <c r="S839" s="118" t="n">
        <v>0</v>
      </c>
      <c r="T839" s="110" t="n"/>
    </row>
    <row r="840" ht="13.5" customHeight="1" s="52">
      <c r="A840" s="104" t="n">
        <v>833</v>
      </c>
      <c r="B840" s="119" t="n"/>
      <c r="C840" s="119" t="n"/>
      <c r="D840" s="119" t="n"/>
      <c r="F840" s="120" t="inlineStr">
        <is>
          <t>Група 704 - Усього</t>
        </is>
      </c>
      <c r="G840" s="116" t="n"/>
      <c r="H840" s="116" t="n"/>
      <c r="I840" s="120" t="n"/>
      <c r="J840" s="121" t="n">
        <v>74467.52989000001</v>
      </c>
      <c r="K840" s="121" t="n">
        <v>74467.52989000001</v>
      </c>
      <c r="L840" s="121" t="n">
        <v>0</v>
      </c>
      <c r="M840" s="121" t="n">
        <v>406.33049</v>
      </c>
      <c r="N840" s="116" t="n"/>
      <c r="O840" s="121" t="n">
        <v>406.33049</v>
      </c>
      <c r="P840" s="121" t="n">
        <v>0</v>
      </c>
      <c r="Q840" s="121" t="n">
        <v>1100630.37206</v>
      </c>
      <c r="R840" s="121" t="n">
        <v>1100630.37206</v>
      </c>
      <c r="S840" s="122" t="n">
        <v>0</v>
      </c>
      <c r="T840" s="110" t="n"/>
    </row>
    <row r="841" ht="13.5" customHeight="1" s="52">
      <c r="A841" s="104" t="n">
        <v>834</v>
      </c>
      <c r="B841" s="119" t="n"/>
      <c r="C841" s="119" t="n"/>
      <c r="D841" s="115" t="inlineStr">
        <is>
          <t>706</t>
        </is>
      </c>
      <c r="E841" s="116" t="n"/>
      <c r="F841" s="115" t="inlineStr">
        <is>
          <t>7060</t>
        </is>
      </c>
      <c r="G841" s="116" t="n"/>
      <c r="H841" s="115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41" s="115" t="inlineStr">
        <is>
          <t>А</t>
        </is>
      </c>
      <c r="J841" s="117" t="n">
        <v>114756.99285</v>
      </c>
      <c r="K841" s="117" t="n">
        <v>114756.99285</v>
      </c>
      <c r="L841" s="117" t="n">
        <v>0</v>
      </c>
      <c r="M841" s="117" t="n">
        <v>4048.69512</v>
      </c>
      <c r="N841" s="116" t="n"/>
      <c r="O841" s="117" t="n">
        <v>4048.69512</v>
      </c>
      <c r="P841" s="117" t="n">
        <v>0</v>
      </c>
      <c r="Q841" s="117" t="n">
        <v>1373575.60553</v>
      </c>
      <c r="R841" s="117" t="n">
        <v>1373575.60553</v>
      </c>
      <c r="S841" s="118" t="n">
        <v>0</v>
      </c>
      <c r="T841" s="110" t="n"/>
    </row>
    <row r="842" ht="14.25" customHeight="1" s="52">
      <c r="A842" s="104" t="n">
        <v>835</v>
      </c>
      <c r="B842" s="119" t="n"/>
      <c r="C842" s="119" t="n"/>
      <c r="D842" s="119" t="n"/>
      <c r="F842" s="119" t="n"/>
      <c r="H842" s="119" t="n"/>
      <c r="I842" s="115" t="inlineStr">
        <is>
          <t>П</t>
        </is>
      </c>
      <c r="J842" s="117" t="n">
        <v>0</v>
      </c>
      <c r="K842" s="117" t="n">
        <v>0</v>
      </c>
      <c r="L842" s="117" t="n">
        <v>0</v>
      </c>
      <c r="M842" s="117" t="n">
        <v>0</v>
      </c>
      <c r="N842" s="116" t="n"/>
      <c r="O842" s="117" t="n">
        <v>0</v>
      </c>
      <c r="P842" s="117" t="n">
        <v>0</v>
      </c>
      <c r="Q842" s="117" t="n">
        <v>0</v>
      </c>
      <c r="R842" s="117" t="n">
        <v>0</v>
      </c>
      <c r="S842" s="118" t="n">
        <v>0</v>
      </c>
      <c r="T842" s="110" t="n"/>
    </row>
    <row r="843" ht="13.5" customHeight="1" s="52">
      <c r="A843" s="104" t="n">
        <v>836</v>
      </c>
      <c r="B843" s="119" t="n"/>
      <c r="C843" s="119" t="n"/>
      <c r="D843" s="119" t="n"/>
      <c r="F843" s="120" t="inlineStr">
        <is>
          <t>Група 706 - Усього</t>
        </is>
      </c>
      <c r="G843" s="116" t="n"/>
      <c r="H843" s="116" t="n"/>
      <c r="I843" s="120" t="n"/>
      <c r="J843" s="121" t="n">
        <v>114756.99285</v>
      </c>
      <c r="K843" s="121" t="n">
        <v>114756.99285</v>
      </c>
      <c r="L843" s="121" t="n">
        <v>0</v>
      </c>
      <c r="M843" s="121" t="n">
        <v>4048.69512</v>
      </c>
      <c r="N843" s="116" t="n"/>
      <c r="O843" s="121" t="n">
        <v>4048.69512</v>
      </c>
      <c r="P843" s="121" t="n">
        <v>0</v>
      </c>
      <c r="Q843" s="121" t="n">
        <v>1373575.60553</v>
      </c>
      <c r="R843" s="121" t="n">
        <v>1373575.60553</v>
      </c>
      <c r="S843" s="122" t="n">
        <v>0</v>
      </c>
      <c r="T843" s="110" t="n"/>
    </row>
    <row r="844" ht="13.5" customHeight="1" s="52">
      <c r="A844" s="104" t="n">
        <v>837</v>
      </c>
      <c r="B844" s="119" t="n"/>
      <c r="C844" s="119" t="n"/>
      <c r="D844" s="115" t="inlineStr">
        <is>
          <t>707</t>
        </is>
      </c>
      <c r="E844" s="116" t="n"/>
      <c r="F844" s="115" t="inlineStr">
        <is>
          <t>7070</t>
        </is>
      </c>
      <c r="G844" s="116" t="n"/>
      <c r="H844" s="115" t="inlineStr">
        <is>
          <t>Процентні витрати за коштами на вимогу небанківських фінансових установ</t>
        </is>
      </c>
      <c r="I844" s="115" t="inlineStr">
        <is>
          <t>А</t>
        </is>
      </c>
      <c r="J844" s="117" t="n">
        <v>41736.38289</v>
      </c>
      <c r="K844" s="117" t="n">
        <v>41736.38289</v>
      </c>
      <c r="L844" s="117" t="n">
        <v>0</v>
      </c>
      <c r="M844" s="117" t="n">
        <v>71.57536</v>
      </c>
      <c r="N844" s="116" t="n"/>
      <c r="O844" s="117" t="n">
        <v>71.57536</v>
      </c>
      <c r="P844" s="117" t="n">
        <v>0</v>
      </c>
      <c r="Q844" s="117" t="n">
        <v>362836.9648</v>
      </c>
      <c r="R844" s="117" t="n">
        <v>362836.9648</v>
      </c>
      <c r="S844" s="118" t="n">
        <v>0</v>
      </c>
      <c r="T844" s="110" t="n"/>
    </row>
    <row r="845" ht="13.5" customHeight="1" s="52">
      <c r="A845" s="104" t="n">
        <v>838</v>
      </c>
      <c r="B845" s="119" t="n"/>
      <c r="C845" s="119" t="n"/>
      <c r="D845" s="119" t="n"/>
      <c r="F845" s="115" t="inlineStr">
        <is>
          <t>7071</t>
        </is>
      </c>
      <c r="G845" s="116" t="n"/>
      <c r="H845" s="115" t="inlineStr">
        <is>
          <t>Процентні витрати за строковими коштами небанківських фінансових установ</t>
        </is>
      </c>
      <c r="I845" s="115" t="inlineStr">
        <is>
          <t>А</t>
        </is>
      </c>
      <c r="J845" s="117" t="n">
        <v>26051.70565</v>
      </c>
      <c r="K845" s="117" t="n">
        <v>26051.70565</v>
      </c>
      <c r="L845" s="117" t="n">
        <v>0</v>
      </c>
      <c r="M845" s="117" t="n">
        <v>107.54123</v>
      </c>
      <c r="N845" s="116" t="n"/>
      <c r="O845" s="117" t="n">
        <v>107.54123</v>
      </c>
      <c r="P845" s="117" t="n">
        <v>0</v>
      </c>
      <c r="Q845" s="117" t="n">
        <v>241515.82667</v>
      </c>
      <c r="R845" s="117" t="n">
        <v>241515.82667</v>
      </c>
      <c r="S845" s="118" t="n">
        <v>0</v>
      </c>
      <c r="T845" s="110" t="n"/>
    </row>
    <row r="846" ht="13.5" customHeight="1" s="52">
      <c r="A846" s="104" t="n">
        <v>839</v>
      </c>
      <c r="B846" s="119" t="n"/>
      <c r="C846" s="119" t="n"/>
      <c r="D846" s="119" t="n"/>
      <c r="F846" s="119" t="n"/>
      <c r="H846" s="119" t="n"/>
      <c r="I846" s="115" t="inlineStr">
        <is>
          <t>П</t>
        </is>
      </c>
      <c r="J846" s="117" t="n">
        <v>0</v>
      </c>
      <c r="K846" s="117" t="n">
        <v>0</v>
      </c>
      <c r="L846" s="117" t="n">
        <v>0</v>
      </c>
      <c r="M846" s="117" t="n">
        <v>0</v>
      </c>
      <c r="N846" s="116" t="n"/>
      <c r="O846" s="117" t="n">
        <v>0</v>
      </c>
      <c r="P846" s="117" t="n">
        <v>0</v>
      </c>
      <c r="Q846" s="117" t="n">
        <v>0</v>
      </c>
      <c r="R846" s="117" t="n">
        <v>0</v>
      </c>
      <c r="S846" s="118" t="n">
        <v>0</v>
      </c>
      <c r="T846" s="110" t="n"/>
    </row>
    <row r="847" ht="14.25" customHeight="1" s="52">
      <c r="A847" s="104" t="n">
        <v>840</v>
      </c>
      <c r="B847" s="119" t="n"/>
      <c r="C847" s="119" t="n"/>
      <c r="D847" s="119" t="n"/>
      <c r="F847" s="120" t="inlineStr">
        <is>
          <t>Група 707 - Усього</t>
        </is>
      </c>
      <c r="G847" s="116" t="n"/>
      <c r="H847" s="116" t="n"/>
      <c r="I847" s="120" t="n"/>
      <c r="J847" s="121" t="n">
        <v>67788.08854</v>
      </c>
      <c r="K847" s="121" t="n">
        <v>67788.08854</v>
      </c>
      <c r="L847" s="121" t="n">
        <v>0</v>
      </c>
      <c r="M847" s="121" t="n">
        <v>179.11659</v>
      </c>
      <c r="N847" s="116" t="n"/>
      <c r="O847" s="121" t="n">
        <v>179.11659</v>
      </c>
      <c r="P847" s="121" t="n">
        <v>0</v>
      </c>
      <c r="Q847" s="121" t="n">
        <v>604352.7914700001</v>
      </c>
      <c r="R847" s="121" t="n">
        <v>604352.7914700001</v>
      </c>
      <c r="S847" s="122" t="n">
        <v>0</v>
      </c>
      <c r="T847" s="110" t="n"/>
    </row>
    <row r="848" ht="21" customHeight="1" s="52">
      <c r="A848" s="104" t="n">
        <v>841</v>
      </c>
      <c r="B848" s="119" t="n"/>
      <c r="C848" s="119" t="n"/>
      <c r="D848" s="120" t="inlineStr">
        <is>
          <t>Розділ 70 - Усього</t>
        </is>
      </c>
      <c r="E848" s="116" t="n"/>
      <c r="F848" s="120" t="n"/>
      <c r="G848" s="116" t="n"/>
      <c r="H848" s="116" t="n"/>
      <c r="I848" s="120" t="n"/>
      <c r="J848" s="121" t="n">
        <v>1240668.11085</v>
      </c>
      <c r="K848" s="121" t="n">
        <v>1240668.11085</v>
      </c>
      <c r="L848" s="121" t="n">
        <v>0</v>
      </c>
      <c r="M848" s="121" t="n">
        <v>6102.70875</v>
      </c>
      <c r="N848" s="116" t="n"/>
      <c r="O848" s="121" t="n">
        <v>6102.70875</v>
      </c>
      <c r="P848" s="121" t="n">
        <v>0</v>
      </c>
      <c r="Q848" s="121" t="n">
        <v>14259098.04242</v>
      </c>
      <c r="R848" s="121" t="n">
        <v>14259098.04242</v>
      </c>
      <c r="S848" s="122" t="n">
        <v>0</v>
      </c>
      <c r="T848" s="110" t="n"/>
    </row>
    <row r="849" ht="13.5" customHeight="1" s="52">
      <c r="A849" s="104" t="n">
        <v>842</v>
      </c>
      <c r="B849" s="119" t="n"/>
      <c r="C849" s="115" t="inlineStr">
        <is>
          <t>71</t>
        </is>
      </c>
      <c r="D849" s="115" t="inlineStr">
        <is>
          <t>712</t>
        </is>
      </c>
      <c r="E849" s="116" t="n"/>
      <c r="F849" s="115" t="inlineStr">
        <is>
          <t>7120</t>
        </is>
      </c>
      <c r="G849" s="116" t="n"/>
      <c r="H849" s="115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9" s="115" t="inlineStr">
        <is>
          <t>А</t>
        </is>
      </c>
      <c r="J849" s="117" t="n">
        <v>0</v>
      </c>
      <c r="K849" s="117" t="n">
        <v>0</v>
      </c>
      <c r="L849" s="117" t="n">
        <v>0</v>
      </c>
      <c r="M849" s="117" t="n">
        <v>0</v>
      </c>
      <c r="N849" s="116" t="n"/>
      <c r="O849" s="117" t="n">
        <v>0</v>
      </c>
      <c r="P849" s="117" t="n">
        <v>0</v>
      </c>
      <c r="Q849" s="117" t="n">
        <v>0</v>
      </c>
      <c r="R849" s="117" t="n">
        <v>0</v>
      </c>
      <c r="S849" s="118" t="n">
        <v>0</v>
      </c>
      <c r="T849" s="110" t="n"/>
    </row>
    <row r="850" ht="13.5" customHeight="1" s="52">
      <c r="A850" s="104" t="n">
        <v>843</v>
      </c>
      <c r="B850" s="119" t="n"/>
      <c r="C850" s="119" t="n"/>
      <c r="D850" s="119" t="n"/>
      <c r="F850" s="115" t="inlineStr">
        <is>
          <t>7122</t>
        </is>
      </c>
      <c r="G850" s="116" t="n"/>
      <c r="H850" s="115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50" s="115" t="inlineStr">
        <is>
          <t>А</t>
        </is>
      </c>
      <c r="J850" s="117" t="n">
        <v>0</v>
      </c>
      <c r="K850" s="117" t="n">
        <v>0</v>
      </c>
      <c r="L850" s="117" t="n">
        <v>0</v>
      </c>
      <c r="M850" s="117" t="n">
        <v>0</v>
      </c>
      <c r="N850" s="116" t="n"/>
      <c r="O850" s="117" t="n">
        <v>0</v>
      </c>
      <c r="P850" s="117" t="n">
        <v>0</v>
      </c>
      <c r="Q850" s="117" t="n">
        <v>0</v>
      </c>
      <c r="R850" s="117" t="n">
        <v>0</v>
      </c>
      <c r="S850" s="118" t="n">
        <v>0</v>
      </c>
      <c r="T850" s="110" t="n"/>
    </row>
    <row r="851" ht="13.5" customHeight="1" s="52">
      <c r="A851" s="104" t="n">
        <v>844</v>
      </c>
      <c r="B851" s="119" t="n"/>
      <c r="C851" s="119" t="n"/>
      <c r="D851" s="119" t="n"/>
      <c r="F851" s="120" t="inlineStr">
        <is>
          <t>Група 712 - Усього</t>
        </is>
      </c>
      <c r="G851" s="116" t="n"/>
      <c r="H851" s="116" t="n"/>
      <c r="I851" s="120" t="n"/>
      <c r="J851" s="121" t="n">
        <v>0</v>
      </c>
      <c r="K851" s="121" t="n">
        <v>0</v>
      </c>
      <c r="L851" s="121" t="n">
        <v>0</v>
      </c>
      <c r="M851" s="121" t="n">
        <v>0</v>
      </c>
      <c r="N851" s="116" t="n"/>
      <c r="O851" s="121" t="n">
        <v>0</v>
      </c>
      <c r="P851" s="121" t="n">
        <v>0</v>
      </c>
      <c r="Q851" s="121" t="n">
        <v>0</v>
      </c>
      <c r="R851" s="121" t="n">
        <v>0</v>
      </c>
      <c r="S851" s="122" t="n">
        <v>0</v>
      </c>
      <c r="T851" s="110" t="n"/>
    </row>
    <row r="852" ht="14.25" customHeight="1" s="52">
      <c r="A852" s="104" t="n">
        <v>845</v>
      </c>
      <c r="B852" s="119" t="n"/>
      <c r="C852" s="119" t="n"/>
      <c r="D852" s="115" t="inlineStr">
        <is>
          <t>714</t>
        </is>
      </c>
      <c r="E852" s="116" t="n"/>
      <c r="F852" s="115" t="inlineStr">
        <is>
          <t>7140</t>
        </is>
      </c>
      <c r="G852" s="116" t="n"/>
      <c r="H852" s="115" t="inlineStr">
        <is>
          <t>Процентні витрати за субординованим боргом</t>
        </is>
      </c>
      <c r="I852" s="115" t="inlineStr">
        <is>
          <t>А</t>
        </is>
      </c>
      <c r="J852" s="117" t="n">
        <v>38897.56451</v>
      </c>
      <c r="K852" s="117" t="n">
        <v>38897.56451</v>
      </c>
      <c r="L852" s="117" t="n">
        <v>0</v>
      </c>
      <c r="M852" s="117" t="n">
        <v>681.36393</v>
      </c>
      <c r="N852" s="116" t="n"/>
      <c r="O852" s="117" t="n">
        <v>681.36393</v>
      </c>
      <c r="P852" s="117" t="n">
        <v>0</v>
      </c>
      <c r="Q852" s="117" t="n">
        <v>417544.2157</v>
      </c>
      <c r="R852" s="117" t="n">
        <v>417544.2157</v>
      </c>
      <c r="S852" s="118" t="n">
        <v>0</v>
      </c>
      <c r="T852" s="110" t="n"/>
    </row>
    <row r="853" ht="13.5" customHeight="1" s="52">
      <c r="A853" s="104" t="n">
        <v>846</v>
      </c>
      <c r="B853" s="119" t="n"/>
      <c r="C853" s="119" t="n"/>
      <c r="D853" s="119" t="n"/>
      <c r="F853" s="119" t="n"/>
      <c r="H853" s="119" t="n"/>
      <c r="I853" s="115" t="inlineStr">
        <is>
          <t>П</t>
        </is>
      </c>
      <c r="J853" s="117" t="n">
        <v>0</v>
      </c>
      <c r="K853" s="117" t="n">
        <v>0</v>
      </c>
      <c r="L853" s="117" t="n">
        <v>0</v>
      </c>
      <c r="M853" s="117" t="n">
        <v>0</v>
      </c>
      <c r="N853" s="116" t="n"/>
      <c r="O853" s="117" t="n">
        <v>0</v>
      </c>
      <c r="P853" s="117" t="n">
        <v>0</v>
      </c>
      <c r="Q853" s="117" t="n">
        <v>0</v>
      </c>
      <c r="R853" s="117" t="n">
        <v>0</v>
      </c>
      <c r="S853" s="118" t="n">
        <v>0</v>
      </c>
      <c r="T853" s="110" t="n"/>
    </row>
    <row r="854" ht="13.5" customHeight="1" s="52">
      <c r="A854" s="104" t="n">
        <v>847</v>
      </c>
      <c r="B854" s="119" t="n"/>
      <c r="C854" s="119" t="n"/>
      <c r="D854" s="119" t="n"/>
      <c r="F854" s="115" t="inlineStr">
        <is>
          <t>7141</t>
        </is>
      </c>
      <c r="G854" s="116" t="n"/>
      <c r="H854" s="115" t="inlineStr">
        <is>
          <t>Інші процентні витрати</t>
        </is>
      </c>
      <c r="I854" s="115" t="inlineStr">
        <is>
          <t>А</t>
        </is>
      </c>
      <c r="J854" s="117" t="n">
        <v>0</v>
      </c>
      <c r="K854" s="117" t="n">
        <v>0</v>
      </c>
      <c r="L854" s="117" t="n">
        <v>0</v>
      </c>
      <c r="M854" s="117" t="n">
        <v>0</v>
      </c>
      <c r="N854" s="116" t="n"/>
      <c r="O854" s="117" t="n">
        <v>0</v>
      </c>
      <c r="P854" s="117" t="n">
        <v>0</v>
      </c>
      <c r="Q854" s="117" t="n">
        <v>102.56936</v>
      </c>
      <c r="R854" s="117" t="n">
        <v>102.56936</v>
      </c>
      <c r="S854" s="118" t="n">
        <v>0</v>
      </c>
      <c r="T854" s="110" t="n"/>
    </row>
    <row r="855" ht="13.5" customHeight="1" s="52">
      <c r="A855" s="104" t="n">
        <v>848</v>
      </c>
      <c r="B855" s="119" t="n"/>
      <c r="C855" s="119" t="n"/>
      <c r="D855" s="119" t="n"/>
      <c r="F855" s="115" t="inlineStr">
        <is>
          <t>7142</t>
        </is>
      </c>
      <c r="G855" s="116" t="n"/>
      <c r="H855" s="115" t="inlineStr">
        <is>
          <t>Процентні витрати за капітальним інструментом з умовами списання/конверсії</t>
        </is>
      </c>
      <c r="I855" s="115" t="inlineStr">
        <is>
          <t>А</t>
        </is>
      </c>
      <c r="J855" s="117" t="n">
        <v>0</v>
      </c>
      <c r="K855" s="117" t="n">
        <v>0</v>
      </c>
      <c r="L855" s="117" t="n">
        <v>0</v>
      </c>
      <c r="M855" s="117" t="n">
        <v>0</v>
      </c>
      <c r="N855" s="116" t="n"/>
      <c r="O855" s="117" t="n">
        <v>0</v>
      </c>
      <c r="P855" s="117" t="n">
        <v>0</v>
      </c>
      <c r="Q855" s="117" t="n">
        <v>0</v>
      </c>
      <c r="R855" s="117" t="n">
        <v>0</v>
      </c>
      <c r="S855" s="118" t="n">
        <v>0</v>
      </c>
      <c r="T855" s="110" t="n"/>
    </row>
    <row r="856" ht="13.5" customHeight="1" s="52">
      <c r="A856" s="104" t="n">
        <v>849</v>
      </c>
      <c r="B856" s="119" t="n"/>
      <c r="C856" s="119" t="n"/>
      <c r="D856" s="119" t="n"/>
      <c r="F856" s="120" t="inlineStr">
        <is>
          <t>Група 714 - Усього</t>
        </is>
      </c>
      <c r="G856" s="116" t="n"/>
      <c r="H856" s="116" t="n"/>
      <c r="I856" s="120" t="n"/>
      <c r="J856" s="121" t="n">
        <v>38897.56451</v>
      </c>
      <c r="K856" s="121" t="n">
        <v>38897.56451</v>
      </c>
      <c r="L856" s="121" t="n">
        <v>0</v>
      </c>
      <c r="M856" s="121" t="n">
        <v>681.36393</v>
      </c>
      <c r="N856" s="116" t="n"/>
      <c r="O856" s="121" t="n">
        <v>681.36393</v>
      </c>
      <c r="P856" s="121" t="n">
        <v>0</v>
      </c>
      <c r="Q856" s="121" t="n">
        <v>417646.78506</v>
      </c>
      <c r="R856" s="121" t="n">
        <v>417646.78506</v>
      </c>
      <c r="S856" s="122" t="n">
        <v>0</v>
      </c>
      <c r="T856" s="110" t="n"/>
    </row>
    <row r="857" ht="18" customHeight="1" s="52">
      <c r="A857" s="104" t="n">
        <v>850</v>
      </c>
      <c r="B857" s="119" t="n"/>
      <c r="C857" s="119" t="n"/>
      <c r="D857" s="120" t="inlineStr">
        <is>
          <t>Розділ 71 - Усього</t>
        </is>
      </c>
      <c r="E857" s="116" t="n"/>
      <c r="F857" s="120" t="n"/>
      <c r="G857" s="116" t="n"/>
      <c r="H857" s="116" t="n"/>
      <c r="I857" s="120" t="n"/>
      <c r="J857" s="121" t="n">
        <v>38897.56451</v>
      </c>
      <c r="K857" s="121" t="n">
        <v>38897.56451</v>
      </c>
      <c r="L857" s="121" t="n">
        <v>0</v>
      </c>
      <c r="M857" s="121" t="n">
        <v>681.36393</v>
      </c>
      <c r="N857" s="116" t="n"/>
      <c r="O857" s="121" t="n">
        <v>681.36393</v>
      </c>
      <c r="P857" s="121" t="n">
        <v>0</v>
      </c>
      <c r="Q857" s="121" t="n">
        <v>417646.78506</v>
      </c>
      <c r="R857" s="121" t="n">
        <v>417646.78506</v>
      </c>
      <c r="S857" s="122" t="n">
        <v>0</v>
      </c>
      <c r="T857" s="110" t="n"/>
    </row>
    <row r="858" ht="13.5" customHeight="1" s="52">
      <c r="A858" s="104" t="n">
        <v>851</v>
      </c>
      <c r="B858" s="119" t="n"/>
      <c r="C858" s="115" t="inlineStr">
        <is>
          <t>73</t>
        </is>
      </c>
      <c r="D858" s="115" t="inlineStr">
        <is>
          <t>730</t>
        </is>
      </c>
      <c r="E858" s="116" t="n"/>
      <c r="F858" s="115" t="inlineStr">
        <is>
          <t>7300</t>
        </is>
      </c>
      <c r="G858" s="116" t="n"/>
      <c r="H858" s="115" t="inlineStr">
        <is>
          <t>Витрати на СЕП</t>
        </is>
      </c>
      <c r="I858" s="115" t="inlineStr">
        <is>
          <t>А</t>
        </is>
      </c>
      <c r="J858" s="117" t="n">
        <v>1181.0727</v>
      </c>
      <c r="K858" s="117" t="n">
        <v>1181.0727</v>
      </c>
      <c r="L858" s="117" t="n">
        <v>0</v>
      </c>
      <c r="M858" s="117" t="n">
        <v>0</v>
      </c>
      <c r="N858" s="116" t="n"/>
      <c r="O858" s="117" t="n">
        <v>0</v>
      </c>
      <c r="P858" s="117" t="n">
        <v>0</v>
      </c>
      <c r="Q858" s="117" t="n">
        <v>12074.61724</v>
      </c>
      <c r="R858" s="117" t="n">
        <v>12074.61724</v>
      </c>
      <c r="S858" s="118" t="n">
        <v>0</v>
      </c>
      <c r="T858" s="110" t="n"/>
    </row>
    <row r="859" ht="13.5" customHeight="1" s="52">
      <c r="A859" s="104" t="n">
        <v>852</v>
      </c>
      <c r="B859" s="119" t="n"/>
      <c r="C859" s="119" t="n"/>
      <c r="D859" s="119" t="n"/>
      <c r="F859" s="115" t="inlineStr">
        <is>
          <t>7301</t>
        </is>
      </c>
      <c r="G859" s="116" t="n"/>
      <c r="H859" s="115" t="inlineStr">
        <is>
          <t>Витрати на інші системи банківського зв'язку</t>
        </is>
      </c>
      <c r="I859" s="115" t="inlineStr">
        <is>
          <t>А</t>
        </is>
      </c>
      <c r="J859" s="117" t="n">
        <v>2360.8518</v>
      </c>
      <c r="K859" s="117" t="n">
        <v>2360.8518</v>
      </c>
      <c r="L859" s="117" t="n">
        <v>0</v>
      </c>
      <c r="M859" s="117" t="n">
        <v>0</v>
      </c>
      <c r="N859" s="116" t="n"/>
      <c r="O859" s="117" t="n">
        <v>0</v>
      </c>
      <c r="P859" s="117" t="n">
        <v>0</v>
      </c>
      <c r="Q859" s="117" t="n">
        <v>23573.16823</v>
      </c>
      <c r="R859" s="117" t="n">
        <v>23573.16823</v>
      </c>
      <c r="S859" s="118" t="n">
        <v>0</v>
      </c>
      <c r="T859" s="110" t="n"/>
    </row>
    <row r="860" ht="13.5" customHeight="1" s="52">
      <c r="A860" s="104" t="n">
        <v>853</v>
      </c>
      <c r="B860" s="119" t="n"/>
      <c r="C860" s="119" t="n"/>
      <c r="D860" s="119" t="n"/>
      <c r="F860" s="120" t="inlineStr">
        <is>
          <t>Група 730 - Усього</t>
        </is>
      </c>
      <c r="G860" s="116" t="n"/>
      <c r="H860" s="116" t="n"/>
      <c r="I860" s="120" t="n"/>
      <c r="J860" s="121" t="n">
        <v>3541.9245</v>
      </c>
      <c r="K860" s="121" t="n">
        <v>3541.9245</v>
      </c>
      <c r="L860" s="121" t="n">
        <v>0</v>
      </c>
      <c r="M860" s="121" t="n">
        <v>0</v>
      </c>
      <c r="N860" s="116" t="n"/>
      <c r="O860" s="121" t="n">
        <v>0</v>
      </c>
      <c r="P860" s="121" t="n">
        <v>0</v>
      </c>
      <c r="Q860" s="121" t="n">
        <v>35647.78547</v>
      </c>
      <c r="R860" s="121" t="n">
        <v>35647.78547</v>
      </c>
      <c r="S860" s="122" t="n">
        <v>0</v>
      </c>
      <c r="T860" s="110" t="n"/>
    </row>
    <row r="861" ht="13.5" customHeight="1" s="52">
      <c r="A861" s="104" t="n">
        <v>854</v>
      </c>
      <c r="B861" s="119" t="n"/>
      <c r="C861" s="119" t="n"/>
      <c r="D861" s="115" t="inlineStr">
        <is>
          <t>732</t>
        </is>
      </c>
      <c r="E861" s="116" t="n"/>
      <c r="F861" s="115" t="inlineStr">
        <is>
          <t>7320</t>
        </is>
      </c>
      <c r="G861" s="116" t="n"/>
      <c r="H861" s="115" t="inlineStr">
        <is>
          <t>Витрати від модифікації фінансових активів</t>
        </is>
      </c>
      <c r="I861" s="115" t="inlineStr">
        <is>
          <t>А</t>
        </is>
      </c>
      <c r="J861" s="117" t="n">
        <v>184593.97868</v>
      </c>
      <c r="K861" s="117" t="n">
        <v>184593.97868</v>
      </c>
      <c r="L861" s="117" t="n">
        <v>0</v>
      </c>
      <c r="M861" s="117" t="n">
        <v>0.08734</v>
      </c>
      <c r="N861" s="116" t="n"/>
      <c r="O861" s="117" t="n">
        <v>0.08734</v>
      </c>
      <c r="P861" s="117" t="n">
        <v>0</v>
      </c>
      <c r="Q861" s="117" t="n">
        <v>271743.70224</v>
      </c>
      <c r="R861" s="117" t="n">
        <v>271743.70224</v>
      </c>
      <c r="S861" s="118" t="n">
        <v>0</v>
      </c>
      <c r="T861" s="110" t="n"/>
    </row>
    <row r="862" ht="14.25" customHeight="1" s="52">
      <c r="A862" s="104" t="n">
        <v>855</v>
      </c>
      <c r="B862" s="119" t="n"/>
      <c r="C862" s="119" t="n"/>
      <c r="D862" s="119" t="n"/>
      <c r="F862" s="120" t="inlineStr">
        <is>
          <t>Група 732 - Усього</t>
        </is>
      </c>
      <c r="G862" s="116" t="n"/>
      <c r="H862" s="116" t="n"/>
      <c r="I862" s="120" t="n"/>
      <c r="J862" s="121" t="n">
        <v>184593.97868</v>
      </c>
      <c r="K862" s="121" t="n">
        <v>184593.97868</v>
      </c>
      <c r="L862" s="121" t="n">
        <v>0</v>
      </c>
      <c r="M862" s="121" t="n">
        <v>0.08734</v>
      </c>
      <c r="N862" s="116" t="n"/>
      <c r="O862" s="121" t="n">
        <v>0.08734</v>
      </c>
      <c r="P862" s="121" t="n">
        <v>0</v>
      </c>
      <c r="Q862" s="121" t="n">
        <v>271743.70224</v>
      </c>
      <c r="R862" s="121" t="n">
        <v>271743.70224</v>
      </c>
      <c r="S862" s="122" t="n">
        <v>0</v>
      </c>
      <c r="T862" s="110" t="n"/>
    </row>
    <row r="863" ht="13.5" customHeight="1" s="52">
      <c r="A863" s="104" t="n">
        <v>856</v>
      </c>
      <c r="B863" s="119" t="n"/>
      <c r="C863" s="119" t="n"/>
      <c r="D863" s="115" t="inlineStr">
        <is>
          <t>733</t>
        </is>
      </c>
      <c r="E863" s="116" t="n"/>
      <c r="F863" s="115" t="inlineStr">
        <is>
          <t>7330</t>
        </is>
      </c>
      <c r="G863" s="116" t="n"/>
      <c r="H863" s="115" t="inlineStr">
        <is>
          <t>Витрати від модифікації фінансових зобов'язань</t>
        </is>
      </c>
      <c r="I863" s="115" t="inlineStr">
        <is>
          <t>А</t>
        </is>
      </c>
      <c r="J863" s="117" t="n">
        <v>0</v>
      </c>
      <c r="K863" s="117" t="n">
        <v>0</v>
      </c>
      <c r="L863" s="117" t="n">
        <v>0</v>
      </c>
      <c r="M863" s="117" t="n">
        <v>0</v>
      </c>
      <c r="N863" s="116" t="n"/>
      <c r="O863" s="117" t="n">
        <v>0</v>
      </c>
      <c r="P863" s="117" t="n">
        <v>0</v>
      </c>
      <c r="Q863" s="117" t="n">
        <v>0</v>
      </c>
      <c r="R863" s="117" t="n">
        <v>0</v>
      </c>
      <c r="S863" s="118" t="n">
        <v>0</v>
      </c>
      <c r="T863" s="110" t="n"/>
    </row>
    <row r="864" ht="13.5" customHeight="1" s="52">
      <c r="A864" s="104" t="n">
        <v>857</v>
      </c>
      <c r="B864" s="119" t="n"/>
      <c r="C864" s="119" t="n"/>
      <c r="D864" s="119" t="n"/>
      <c r="F864" s="120" t="inlineStr">
        <is>
          <t>Група 733 - Усього</t>
        </is>
      </c>
      <c r="G864" s="116" t="n"/>
      <c r="H864" s="116" t="n"/>
      <c r="I864" s="120" t="n"/>
      <c r="J864" s="121" t="n">
        <v>0</v>
      </c>
      <c r="K864" s="121" t="n">
        <v>0</v>
      </c>
      <c r="L864" s="121" t="n">
        <v>0</v>
      </c>
      <c r="M864" s="121" t="n">
        <v>0</v>
      </c>
      <c r="N864" s="116" t="n"/>
      <c r="O864" s="121" t="n">
        <v>0</v>
      </c>
      <c r="P864" s="121" t="n">
        <v>0</v>
      </c>
      <c r="Q864" s="121" t="n">
        <v>0</v>
      </c>
      <c r="R864" s="121" t="n">
        <v>0</v>
      </c>
      <c r="S864" s="122" t="n">
        <v>0</v>
      </c>
      <c r="T864" s="110" t="n"/>
    </row>
    <row r="865" ht="13.5" customHeight="1" s="52">
      <c r="A865" s="104" t="n">
        <v>858</v>
      </c>
      <c r="B865" s="119" t="n"/>
      <c r="C865" s="119" t="n"/>
      <c r="D865" s="115" t="inlineStr">
        <is>
          <t>734</t>
        </is>
      </c>
      <c r="E865" s="116" t="n"/>
      <c r="F865" s="115" t="inlineStr">
        <is>
          <t>7340</t>
        </is>
      </c>
      <c r="G865" s="116" t="n"/>
      <c r="H865" s="115" t="inlineStr">
        <is>
          <t>Витрати від припинення визнання фінансових активів</t>
        </is>
      </c>
      <c r="I865" s="115" t="inlineStr">
        <is>
          <t>А</t>
        </is>
      </c>
      <c r="J865" s="117" t="n">
        <v>0</v>
      </c>
      <c r="K865" s="117" t="n">
        <v>0</v>
      </c>
      <c r="L865" s="117" t="n">
        <v>0</v>
      </c>
      <c r="M865" s="117" t="n">
        <v>0</v>
      </c>
      <c r="N865" s="116" t="n"/>
      <c r="O865" s="117" t="n">
        <v>0</v>
      </c>
      <c r="P865" s="117" t="n">
        <v>0</v>
      </c>
      <c r="Q865" s="117" t="n">
        <v>0</v>
      </c>
      <c r="R865" s="117" t="n">
        <v>0</v>
      </c>
      <c r="S865" s="118" t="n">
        <v>0</v>
      </c>
      <c r="T865" s="110" t="n"/>
    </row>
    <row r="866" ht="13.5" customHeight="1" s="52">
      <c r="A866" s="104" t="n">
        <v>859</v>
      </c>
      <c r="B866" s="119" t="n"/>
      <c r="C866" s="119" t="n"/>
      <c r="D866" s="119" t="n"/>
      <c r="F866" s="120" t="inlineStr">
        <is>
          <t>Група 734 - Усього</t>
        </is>
      </c>
      <c r="G866" s="116" t="n"/>
      <c r="H866" s="116" t="n"/>
      <c r="I866" s="120" t="n"/>
      <c r="J866" s="121" t="n">
        <v>0</v>
      </c>
      <c r="K866" s="121" t="n">
        <v>0</v>
      </c>
      <c r="L866" s="121" t="n">
        <v>0</v>
      </c>
      <c r="M866" s="121" t="n">
        <v>0</v>
      </c>
      <c r="N866" s="116" t="n"/>
      <c r="O866" s="121" t="n">
        <v>0</v>
      </c>
      <c r="P866" s="121" t="n">
        <v>0</v>
      </c>
      <c r="Q866" s="121" t="n">
        <v>0</v>
      </c>
      <c r="R866" s="121" t="n">
        <v>0</v>
      </c>
      <c r="S866" s="122" t="n">
        <v>0</v>
      </c>
      <c r="T866" s="110" t="n"/>
    </row>
    <row r="867" ht="14.25" customHeight="1" s="52">
      <c r="A867" s="104" t="n">
        <v>860</v>
      </c>
      <c r="B867" s="119" t="n"/>
      <c r="C867" s="119" t="n"/>
      <c r="D867" s="115" t="inlineStr">
        <is>
          <t>735</t>
        </is>
      </c>
      <c r="E867" s="116" t="n"/>
      <c r="F867" s="115" t="inlineStr">
        <is>
          <t>7350</t>
        </is>
      </c>
      <c r="G867" s="116" t="n"/>
      <c r="H867" s="115" t="inlineStr">
        <is>
          <t>Витрати від припинення визнання фінансових зобов'язань</t>
        </is>
      </c>
      <c r="I867" s="115" t="inlineStr">
        <is>
          <t>А</t>
        </is>
      </c>
      <c r="J867" s="117" t="n">
        <v>0</v>
      </c>
      <c r="K867" s="117" t="n">
        <v>0</v>
      </c>
      <c r="L867" s="117" t="n">
        <v>0</v>
      </c>
      <c r="M867" s="117" t="n">
        <v>0</v>
      </c>
      <c r="N867" s="116" t="n"/>
      <c r="O867" s="117" t="n">
        <v>0</v>
      </c>
      <c r="P867" s="117" t="n">
        <v>0</v>
      </c>
      <c r="Q867" s="117" t="n">
        <v>0</v>
      </c>
      <c r="R867" s="117" t="n">
        <v>0</v>
      </c>
      <c r="S867" s="118" t="n">
        <v>0</v>
      </c>
      <c r="T867" s="110" t="n"/>
    </row>
    <row r="868" ht="13.5" customHeight="1" s="52">
      <c r="A868" s="104" t="n">
        <v>861</v>
      </c>
      <c r="B868" s="119" t="n"/>
      <c r="C868" s="119" t="n"/>
      <c r="D868" s="119" t="n"/>
      <c r="F868" s="120" t="inlineStr">
        <is>
          <t>Група 735 - Усього</t>
        </is>
      </c>
      <c r="G868" s="116" t="n"/>
      <c r="H868" s="116" t="n"/>
      <c r="I868" s="120" t="n"/>
      <c r="J868" s="121" t="n">
        <v>0</v>
      </c>
      <c r="K868" s="121" t="n">
        <v>0</v>
      </c>
      <c r="L868" s="121" t="n">
        <v>0</v>
      </c>
      <c r="M868" s="121" t="n">
        <v>0</v>
      </c>
      <c r="N868" s="116" t="n"/>
      <c r="O868" s="121" t="n">
        <v>0</v>
      </c>
      <c r="P868" s="121" t="n">
        <v>0</v>
      </c>
      <c r="Q868" s="121" t="n">
        <v>0</v>
      </c>
      <c r="R868" s="121" t="n">
        <v>0</v>
      </c>
      <c r="S868" s="122" t="n">
        <v>0</v>
      </c>
      <c r="T868" s="110" t="n"/>
    </row>
    <row r="869" ht="13.5" customHeight="1" s="52">
      <c r="A869" s="104" t="n">
        <v>862</v>
      </c>
      <c r="B869" s="119" t="n"/>
      <c r="C869" s="119" t="n"/>
      <c r="D869" s="115" t="inlineStr">
        <is>
          <t>736</t>
        </is>
      </c>
      <c r="E869" s="116" t="n"/>
      <c r="F869" s="115" t="inlineStr">
        <is>
          <t>7360</t>
        </is>
      </c>
      <c r="G869" s="116" t="n"/>
      <c r="H869" s="115" t="inlineStr">
        <is>
          <t>Витрати від модифікації лізингу (оренди)</t>
        </is>
      </c>
      <c r="I869" s="115" t="inlineStr">
        <is>
          <t>А</t>
        </is>
      </c>
      <c r="J869" s="117" t="n">
        <v>0</v>
      </c>
      <c r="K869" s="117" t="n">
        <v>0</v>
      </c>
      <c r="L869" s="117" t="n">
        <v>0</v>
      </c>
      <c r="M869" s="117" t="n">
        <v>0</v>
      </c>
      <c r="N869" s="116" t="n"/>
      <c r="O869" s="117" t="n">
        <v>0</v>
      </c>
      <c r="P869" s="117" t="n">
        <v>0</v>
      </c>
      <c r="Q869" s="117" t="n">
        <v>8.07274</v>
      </c>
      <c r="R869" s="117" t="n">
        <v>8.07274</v>
      </c>
      <c r="S869" s="118" t="n">
        <v>0</v>
      </c>
      <c r="T869" s="110" t="n"/>
    </row>
    <row r="870" ht="13.5" customHeight="1" s="52">
      <c r="A870" s="104" t="n">
        <v>863</v>
      </c>
      <c r="B870" s="119" t="n"/>
      <c r="C870" s="119" t="n"/>
      <c r="D870" s="119" t="n"/>
      <c r="F870" s="120" t="inlineStr">
        <is>
          <t>Група 736 - Усього</t>
        </is>
      </c>
      <c r="G870" s="116" t="n"/>
      <c r="H870" s="116" t="n"/>
      <c r="I870" s="120" t="n"/>
      <c r="J870" s="121" t="n">
        <v>0</v>
      </c>
      <c r="K870" s="121" t="n">
        <v>0</v>
      </c>
      <c r="L870" s="121" t="n">
        <v>0</v>
      </c>
      <c r="M870" s="121" t="n">
        <v>0</v>
      </c>
      <c r="N870" s="116" t="n"/>
      <c r="O870" s="121" t="n">
        <v>0</v>
      </c>
      <c r="P870" s="121" t="n">
        <v>0</v>
      </c>
      <c r="Q870" s="121" t="n">
        <v>8.07274</v>
      </c>
      <c r="R870" s="121" t="n">
        <v>8.07274</v>
      </c>
      <c r="S870" s="122" t="n">
        <v>0</v>
      </c>
      <c r="T870" s="110" t="n"/>
    </row>
    <row r="871" ht="13.5" customHeight="1" s="52">
      <c r="A871" s="104" t="n">
        <v>864</v>
      </c>
      <c r="B871" s="119" t="n"/>
      <c r="C871" s="119" t="n"/>
      <c r="D871" s="115" t="inlineStr">
        <is>
          <t>739</t>
        </is>
      </c>
      <c r="E871" s="116" t="n"/>
      <c r="F871" s="115" t="inlineStr">
        <is>
          <t>7390</t>
        </is>
      </c>
      <c r="G871" s="116" t="n"/>
      <c r="H871" s="115" t="inlineStr">
        <is>
          <t>Витрати під час первісного визнання фінансових активів за вартістю, вищою/нижчою, ніж справедлива</t>
        </is>
      </c>
      <c r="I871" s="115" t="inlineStr">
        <is>
          <t>А</t>
        </is>
      </c>
      <c r="J871" s="117" t="n">
        <v>6055.04808</v>
      </c>
      <c r="K871" s="117" t="n">
        <v>6055.04808</v>
      </c>
      <c r="L871" s="117" t="n">
        <v>0</v>
      </c>
      <c r="M871" s="117" t="n">
        <v>0</v>
      </c>
      <c r="N871" s="116" t="n"/>
      <c r="O871" s="117" t="n">
        <v>0</v>
      </c>
      <c r="P871" s="117" t="n">
        <v>0</v>
      </c>
      <c r="Q871" s="117" t="n">
        <v>355605.99348</v>
      </c>
      <c r="R871" s="117" t="n">
        <v>355605.99348</v>
      </c>
      <c r="S871" s="118" t="n">
        <v>0</v>
      </c>
      <c r="T871" s="110" t="n"/>
    </row>
    <row r="872" ht="14.25" customHeight="1" s="52">
      <c r="A872" s="104" t="n">
        <v>865</v>
      </c>
      <c r="B872" s="119" t="n"/>
      <c r="C872" s="119" t="n"/>
      <c r="D872" s="119" t="n"/>
      <c r="F872" s="115" t="inlineStr">
        <is>
          <t>7391</t>
        </is>
      </c>
      <c r="G872" s="116" t="n"/>
      <c r="H872" s="115" t="inlineStr">
        <is>
          <t>Витрати на інкасацію та перевезення цінностей</t>
        </is>
      </c>
      <c r="I872" s="115" t="inlineStr">
        <is>
          <t>А</t>
        </is>
      </c>
      <c r="J872" s="117" t="n">
        <v>1126.46</v>
      </c>
      <c r="K872" s="117" t="n">
        <v>1126.46</v>
      </c>
      <c r="L872" s="117" t="n">
        <v>0</v>
      </c>
      <c r="M872" s="117" t="n">
        <v>0</v>
      </c>
      <c r="N872" s="116" t="n"/>
      <c r="O872" s="117" t="n">
        <v>0</v>
      </c>
      <c r="P872" s="117" t="n">
        <v>0</v>
      </c>
      <c r="Q872" s="117" t="n">
        <v>14369.9421</v>
      </c>
      <c r="R872" s="117" t="n">
        <v>14369.9421</v>
      </c>
      <c r="S872" s="118" t="n">
        <v>0</v>
      </c>
      <c r="T872" s="110" t="n"/>
    </row>
    <row r="873" ht="13.5" customHeight="1" s="52">
      <c r="A873" s="104" t="n">
        <v>866</v>
      </c>
      <c r="B873" s="119" t="n"/>
      <c r="C873" s="119" t="n"/>
      <c r="D873" s="119" t="n"/>
      <c r="F873" s="115" t="inlineStr">
        <is>
          <t>7392</t>
        </is>
      </c>
      <c r="G873" s="116" t="n"/>
      <c r="H873" s="115" t="inlineStr">
        <is>
          <t>Витрати на аудит</t>
        </is>
      </c>
      <c r="I873" s="115" t="inlineStr">
        <is>
          <t>А</t>
        </is>
      </c>
      <c r="J873" s="117" t="n">
        <v>3360</v>
      </c>
      <c r="K873" s="117" t="n">
        <v>3360</v>
      </c>
      <c r="L873" s="117" t="n">
        <v>0</v>
      </c>
      <c r="M873" s="117" t="n">
        <v>0</v>
      </c>
      <c r="N873" s="116" t="n"/>
      <c r="O873" s="117" t="n">
        <v>0</v>
      </c>
      <c r="P873" s="117" t="n">
        <v>0</v>
      </c>
      <c r="Q873" s="117" t="n">
        <v>42083.15165</v>
      </c>
      <c r="R873" s="117" t="n">
        <v>42083.15165</v>
      </c>
      <c r="S873" s="118" t="n">
        <v>0</v>
      </c>
      <c r="T873" s="110" t="n"/>
    </row>
    <row r="874" ht="13.5" customHeight="1" s="52">
      <c r="A874" s="104" t="n">
        <v>867</v>
      </c>
      <c r="B874" s="119" t="n"/>
      <c r="C874" s="119" t="n"/>
      <c r="D874" s="119" t="n"/>
      <c r="F874" s="115" t="inlineStr">
        <is>
          <t>7394</t>
        </is>
      </c>
      <c r="G874" s="116" t="n"/>
      <c r="H874" s="115" t="inlineStr">
        <is>
          <t>Витрати від переоцінки об'єктів інвестиційної нерухомості</t>
        </is>
      </c>
      <c r="I874" s="115" t="inlineStr">
        <is>
          <t>А</t>
        </is>
      </c>
      <c r="J874" s="117" t="n">
        <v>22.54752</v>
      </c>
      <c r="K874" s="117" t="n">
        <v>22.54752</v>
      </c>
      <c r="L874" s="117" t="n">
        <v>0</v>
      </c>
      <c r="M874" s="117" t="n">
        <v>0</v>
      </c>
      <c r="N874" s="116" t="n"/>
      <c r="O874" s="117" t="n">
        <v>0</v>
      </c>
      <c r="P874" s="117" t="n">
        <v>0</v>
      </c>
      <c r="Q874" s="117" t="n">
        <v>32047.02552</v>
      </c>
      <c r="R874" s="117" t="n">
        <v>32047.02552</v>
      </c>
      <c r="S874" s="118" t="n">
        <v>0</v>
      </c>
      <c r="T874" s="110" t="n"/>
    </row>
    <row r="875" ht="13.5" customHeight="1" s="52">
      <c r="A875" s="104" t="n">
        <v>868</v>
      </c>
      <c r="B875" s="119" t="n"/>
      <c r="C875" s="119" t="n"/>
      <c r="D875" s="119" t="n"/>
      <c r="F875" s="115" t="inlineStr">
        <is>
          <t>7395</t>
        </is>
      </c>
      <c r="G875" s="116" t="n"/>
      <c r="H875" s="115" t="inlineStr">
        <is>
          <t>Витрати на лізинг (оренду)</t>
        </is>
      </c>
      <c r="I875" s="115" t="inlineStr">
        <is>
          <t>А</t>
        </is>
      </c>
      <c r="J875" s="117" t="n">
        <v>716.02595</v>
      </c>
      <c r="K875" s="117" t="n">
        <v>716.02595</v>
      </c>
      <c r="L875" s="117" t="n">
        <v>0</v>
      </c>
      <c r="M875" s="117" t="n">
        <v>0.02116</v>
      </c>
      <c r="N875" s="116" t="n"/>
      <c r="O875" s="117" t="n">
        <v>0.02116</v>
      </c>
      <c r="P875" s="117" t="n">
        <v>0</v>
      </c>
      <c r="Q875" s="117" t="n">
        <v>38014.73547</v>
      </c>
      <c r="R875" s="117" t="n">
        <v>38014.73547</v>
      </c>
      <c r="S875" s="118" t="n">
        <v>0</v>
      </c>
      <c r="T875" s="110" t="n"/>
    </row>
    <row r="876" ht="13.5" customHeight="1" s="52">
      <c r="A876" s="104" t="n">
        <v>869</v>
      </c>
      <c r="B876" s="119" t="n"/>
      <c r="C876" s="119" t="n"/>
      <c r="D876" s="119" t="n"/>
      <c r="F876" s="115" t="inlineStr">
        <is>
          <t>7396</t>
        </is>
      </c>
      <c r="G876" s="116" t="n"/>
      <c r="H876" s="115" t="inlineStr">
        <is>
          <t>Витрати за отриманими консультаційними послугами фінансового характеру</t>
        </is>
      </c>
      <c r="I876" s="115" t="inlineStr">
        <is>
          <t>А</t>
        </is>
      </c>
      <c r="J876" s="117" t="n">
        <v>4.5</v>
      </c>
      <c r="K876" s="117" t="n">
        <v>4.5</v>
      </c>
      <c r="L876" s="117" t="n">
        <v>0</v>
      </c>
      <c r="M876" s="117" t="n">
        <v>0</v>
      </c>
      <c r="N876" s="116" t="n"/>
      <c r="O876" s="117" t="n">
        <v>0</v>
      </c>
      <c r="P876" s="117" t="n">
        <v>0</v>
      </c>
      <c r="Q876" s="117" t="n">
        <v>265.5575</v>
      </c>
      <c r="R876" s="117" t="n">
        <v>265.5575</v>
      </c>
      <c r="S876" s="118" t="n">
        <v>0</v>
      </c>
      <c r="T876" s="110" t="n"/>
    </row>
    <row r="877" ht="14.25" customHeight="1" s="52">
      <c r="A877" s="104" t="n">
        <v>870</v>
      </c>
      <c r="B877" s="119" t="n"/>
      <c r="C877" s="119" t="n"/>
      <c r="D877" s="119" t="n"/>
      <c r="F877" s="115" t="inlineStr">
        <is>
          <t>7397</t>
        </is>
      </c>
      <c r="G877" s="116" t="n"/>
      <c r="H877" s="115" t="inlineStr">
        <is>
          <t>Штрафи, пені, що сплачені банком</t>
        </is>
      </c>
      <c r="I877" s="115" t="inlineStr">
        <is>
          <t>А</t>
        </is>
      </c>
      <c r="J877" s="117" t="n">
        <v>0</v>
      </c>
      <c r="K877" s="117" t="n">
        <v>0</v>
      </c>
      <c r="L877" s="117" t="n">
        <v>0</v>
      </c>
      <c r="M877" s="117" t="n">
        <v>0</v>
      </c>
      <c r="N877" s="116" t="n"/>
      <c r="O877" s="117" t="n">
        <v>0</v>
      </c>
      <c r="P877" s="117" t="n">
        <v>0</v>
      </c>
      <c r="Q877" s="117" t="n">
        <v>1947.765</v>
      </c>
      <c r="R877" s="117" t="n">
        <v>1947.765</v>
      </c>
      <c r="S877" s="118" t="n">
        <v>0</v>
      </c>
      <c r="T877" s="110" t="n"/>
    </row>
    <row r="878" ht="13.5" customHeight="1" s="52">
      <c r="A878" s="104" t="n">
        <v>871</v>
      </c>
      <c r="B878" s="119" t="n"/>
      <c r="C878" s="119" t="n"/>
      <c r="D878" s="119" t="n"/>
      <c r="F878" s="115" t="inlineStr">
        <is>
          <t>7398</t>
        </is>
      </c>
      <c r="G878" s="116" t="n"/>
      <c r="H878" s="115" t="inlineStr">
        <is>
          <t>Витрати під час первісного визнання фінансових зобов'язань за вартістю, вищою/нижчою, ніж справедлива</t>
        </is>
      </c>
      <c r="I878" s="115" t="inlineStr">
        <is>
          <t>А</t>
        </is>
      </c>
      <c r="J878" s="117" t="n">
        <v>0</v>
      </c>
      <c r="K878" s="117" t="n">
        <v>0</v>
      </c>
      <c r="L878" s="117" t="n">
        <v>0</v>
      </c>
      <c r="M878" s="117" t="n">
        <v>0</v>
      </c>
      <c r="N878" s="116" t="n"/>
      <c r="O878" s="117" t="n">
        <v>0</v>
      </c>
      <c r="P878" s="117" t="n">
        <v>0</v>
      </c>
      <c r="Q878" s="117" t="n">
        <v>0</v>
      </c>
      <c r="R878" s="117" t="n">
        <v>0</v>
      </c>
      <c r="S878" s="118" t="n">
        <v>0</v>
      </c>
      <c r="T878" s="110" t="n"/>
    </row>
    <row r="879" ht="13.5" customHeight="1" s="52">
      <c r="A879" s="104" t="n">
        <v>872</v>
      </c>
      <c r="B879" s="119" t="n"/>
      <c r="C879" s="119" t="n"/>
      <c r="D879" s="119" t="n"/>
      <c r="F879" s="115" t="inlineStr">
        <is>
          <t>7399</t>
        </is>
      </c>
      <c r="G879" s="116" t="n"/>
      <c r="H879" s="115" t="inlineStr">
        <is>
          <t>Інші операційні витрати</t>
        </is>
      </c>
      <c r="I879" s="115" t="inlineStr">
        <is>
          <t>А</t>
        </is>
      </c>
      <c r="J879" s="117" t="n">
        <v>10032.80039</v>
      </c>
      <c r="K879" s="117" t="n">
        <v>10032.80039</v>
      </c>
      <c r="L879" s="117" t="n">
        <v>0</v>
      </c>
      <c r="M879" s="117" t="n">
        <v>24.90125</v>
      </c>
      <c r="N879" s="116" t="n"/>
      <c r="O879" s="117" t="n">
        <v>24.90125</v>
      </c>
      <c r="P879" s="117" t="n">
        <v>0</v>
      </c>
      <c r="Q879" s="117" t="n">
        <v>179286.69304</v>
      </c>
      <c r="R879" s="117" t="n">
        <v>179286.69304</v>
      </c>
      <c r="S879" s="118" t="n">
        <v>0</v>
      </c>
      <c r="T879" s="110" t="n"/>
    </row>
    <row r="880" ht="13.5" customHeight="1" s="52">
      <c r="A880" s="104" t="n">
        <v>873</v>
      </c>
      <c r="B880" s="119" t="n"/>
      <c r="C880" s="119" t="n"/>
      <c r="D880" s="119" t="n"/>
      <c r="F880" s="120" t="inlineStr">
        <is>
          <t>Група 739 - Усього</t>
        </is>
      </c>
      <c r="G880" s="116" t="n"/>
      <c r="H880" s="116" t="n"/>
      <c r="I880" s="120" t="n"/>
      <c r="J880" s="121" t="n">
        <v>21317.38194</v>
      </c>
      <c r="K880" s="121" t="n">
        <v>21317.38194</v>
      </c>
      <c r="L880" s="121" t="n">
        <v>0</v>
      </c>
      <c r="M880" s="121" t="n">
        <v>24.92241</v>
      </c>
      <c r="N880" s="116" t="n"/>
      <c r="O880" s="121" t="n">
        <v>24.92241</v>
      </c>
      <c r="P880" s="121" t="n">
        <v>0</v>
      </c>
      <c r="Q880" s="121" t="n">
        <v>663620.86376</v>
      </c>
      <c r="R880" s="121" t="n">
        <v>663620.86376</v>
      </c>
      <c r="S880" s="122" t="n">
        <v>0</v>
      </c>
      <c r="T880" s="110" t="n"/>
    </row>
    <row r="881" ht="24" customHeight="1" s="52">
      <c r="A881" s="104" t="n">
        <v>874</v>
      </c>
      <c r="B881" s="119" t="n"/>
      <c r="C881" s="119" t="n"/>
      <c r="D881" s="120" t="inlineStr">
        <is>
          <t>Розділ 73 - Усього</t>
        </is>
      </c>
      <c r="E881" s="116" t="n"/>
      <c r="F881" s="120" t="n"/>
      <c r="G881" s="116" t="n"/>
      <c r="H881" s="116" t="n"/>
      <c r="I881" s="120" t="n"/>
      <c r="J881" s="121" t="n">
        <v>209453.28512</v>
      </c>
      <c r="K881" s="121" t="n">
        <v>209453.28512</v>
      </c>
      <c r="L881" s="121" t="n">
        <v>0</v>
      </c>
      <c r="M881" s="121" t="n">
        <v>25.00975</v>
      </c>
      <c r="N881" s="116" t="n"/>
      <c r="O881" s="121" t="n">
        <v>25.00975</v>
      </c>
      <c r="P881" s="121" t="n">
        <v>0</v>
      </c>
      <c r="Q881" s="121" t="n">
        <v>971020.42421</v>
      </c>
      <c r="R881" s="121" t="n">
        <v>971020.42421</v>
      </c>
      <c r="S881" s="122" t="n">
        <v>0</v>
      </c>
      <c r="T881" s="110" t="n"/>
    </row>
    <row r="882" ht="14.25" customHeight="1" s="52">
      <c r="A882" s="104" t="n">
        <v>875</v>
      </c>
      <c r="B882" s="119" t="n"/>
      <c r="C882" s="115" t="inlineStr">
        <is>
          <t>74</t>
        </is>
      </c>
      <c r="D882" s="115" t="inlineStr">
        <is>
          <t>740</t>
        </is>
      </c>
      <c r="E882" s="116" t="n"/>
      <c r="F882" s="115" t="inlineStr">
        <is>
          <t>7400</t>
        </is>
      </c>
      <c r="G882" s="116" t="n"/>
      <c r="H882" s="115" t="inlineStr">
        <is>
          <t>Основна і додаткова заробітна плата</t>
        </is>
      </c>
      <c r="I882" s="115" t="inlineStr">
        <is>
          <t>А</t>
        </is>
      </c>
      <c r="J882" s="117" t="n">
        <v>146459.51333</v>
      </c>
      <c r="K882" s="117" t="n">
        <v>146459.51333</v>
      </c>
      <c r="L882" s="117" t="n">
        <v>0</v>
      </c>
      <c r="M882" s="117" t="n">
        <v>0</v>
      </c>
      <c r="N882" s="116" t="n"/>
      <c r="O882" s="117" t="n">
        <v>0</v>
      </c>
      <c r="P882" s="117" t="n">
        <v>0</v>
      </c>
      <c r="Q882" s="117" t="n">
        <v>1524838.33885</v>
      </c>
      <c r="R882" s="117" t="n">
        <v>1524838.33885</v>
      </c>
      <c r="S882" s="118" t="n">
        <v>0</v>
      </c>
      <c r="T882" s="110" t="n"/>
    </row>
    <row r="883" ht="13.5" customHeight="1" s="52">
      <c r="A883" s="104" t="n">
        <v>876</v>
      </c>
      <c r="B883" s="119" t="n"/>
      <c r="C883" s="119" t="n"/>
      <c r="D883" s="119" t="n"/>
      <c r="F883" s="115" t="inlineStr">
        <is>
          <t>7401</t>
        </is>
      </c>
      <c r="G883" s="116" t="n"/>
      <c r="H883" s="115" t="inlineStr">
        <is>
          <t>Єдиний внесок на загальнообов'язкове державне соціальне страхування</t>
        </is>
      </c>
      <c r="I883" s="115" t="inlineStr">
        <is>
          <t>А</t>
        </is>
      </c>
      <c r="J883" s="117" t="n">
        <v>28069.98025</v>
      </c>
      <c r="K883" s="117" t="n">
        <v>28069.98025</v>
      </c>
      <c r="L883" s="117" t="n">
        <v>0</v>
      </c>
      <c r="M883" s="117" t="n">
        <v>0</v>
      </c>
      <c r="N883" s="116" t="n"/>
      <c r="O883" s="117" t="n">
        <v>0</v>
      </c>
      <c r="P883" s="117" t="n">
        <v>0</v>
      </c>
      <c r="Q883" s="117" t="n">
        <v>324758.29062</v>
      </c>
      <c r="R883" s="117" t="n">
        <v>324758.29062</v>
      </c>
      <c r="S883" s="118" t="n">
        <v>0</v>
      </c>
      <c r="T883" s="110" t="n"/>
    </row>
    <row r="884" ht="13.5" customHeight="1" s="52">
      <c r="A884" s="104" t="n">
        <v>877</v>
      </c>
      <c r="B884" s="119" t="n"/>
      <c r="C884" s="119" t="n"/>
      <c r="D884" s="119" t="n"/>
      <c r="F884" s="115" t="inlineStr">
        <is>
          <t>7403</t>
        </is>
      </c>
      <c r="G884" s="116" t="n"/>
      <c r="H884" s="115" t="inlineStr">
        <is>
          <t>Матеріальна допомога та інші соціальні виплати</t>
        </is>
      </c>
      <c r="I884" s="115" t="inlineStr">
        <is>
          <t>А</t>
        </is>
      </c>
      <c r="J884" s="117" t="n">
        <v>53927.80722</v>
      </c>
      <c r="K884" s="117" t="n">
        <v>53927.80722</v>
      </c>
      <c r="L884" s="117" t="n">
        <v>0</v>
      </c>
      <c r="M884" s="117" t="n">
        <v>0</v>
      </c>
      <c r="N884" s="116" t="n"/>
      <c r="O884" s="117" t="n">
        <v>0</v>
      </c>
      <c r="P884" s="117" t="n">
        <v>0</v>
      </c>
      <c r="Q884" s="117" t="n">
        <v>223034.06449</v>
      </c>
      <c r="R884" s="117" t="n">
        <v>223034.06449</v>
      </c>
      <c r="S884" s="118" t="n">
        <v>0</v>
      </c>
      <c r="T884" s="110" t="n"/>
    </row>
    <row r="885" ht="13.5" customHeight="1" s="52">
      <c r="A885" s="104" t="n">
        <v>878</v>
      </c>
      <c r="B885" s="119" t="n"/>
      <c r="C885" s="119" t="n"/>
      <c r="D885" s="119" t="n"/>
      <c r="F885" s="115" t="inlineStr">
        <is>
          <t>7404</t>
        </is>
      </c>
      <c r="G885" s="116" t="n"/>
      <c r="H885" s="115" t="inlineStr">
        <is>
          <t>Витрати на підготовку кадрів</t>
        </is>
      </c>
      <c r="I885" s="115" t="inlineStr">
        <is>
          <t>А</t>
        </is>
      </c>
      <c r="J885" s="117" t="n">
        <v>6.475</v>
      </c>
      <c r="K885" s="117" t="n">
        <v>6.475</v>
      </c>
      <c r="L885" s="117" t="n">
        <v>0</v>
      </c>
      <c r="M885" s="117" t="n">
        <v>0</v>
      </c>
      <c r="N885" s="116" t="n"/>
      <c r="O885" s="117" t="n">
        <v>0</v>
      </c>
      <c r="P885" s="117" t="n">
        <v>0</v>
      </c>
      <c r="Q885" s="117" t="n">
        <v>639.7602000000001</v>
      </c>
      <c r="R885" s="117" t="n">
        <v>639.7602000000001</v>
      </c>
      <c r="S885" s="118" t="n">
        <v>0</v>
      </c>
      <c r="T885" s="110" t="n"/>
    </row>
    <row r="886" ht="13.5" customHeight="1" s="52">
      <c r="A886" s="104" t="n">
        <v>879</v>
      </c>
      <c r="B886" s="119" t="n"/>
      <c r="C886" s="119" t="n"/>
      <c r="D886" s="119" t="n"/>
      <c r="F886" s="115" t="inlineStr">
        <is>
          <t>7405</t>
        </is>
      </c>
      <c r="G886" s="116" t="n"/>
      <c r="H886" s="115" t="inlineStr">
        <is>
          <t>Витрати на спецодяг та інші засоби захисту працівників</t>
        </is>
      </c>
      <c r="I886" s="115" t="inlineStr">
        <is>
          <t>А</t>
        </is>
      </c>
      <c r="J886" s="117" t="n">
        <v>12.72876</v>
      </c>
      <c r="K886" s="117" t="n">
        <v>12.72876</v>
      </c>
      <c r="L886" s="117" t="n">
        <v>0</v>
      </c>
      <c r="M886" s="117" t="n">
        <v>0</v>
      </c>
      <c r="N886" s="116" t="n"/>
      <c r="O886" s="117" t="n">
        <v>0</v>
      </c>
      <c r="P886" s="117" t="n">
        <v>0</v>
      </c>
      <c r="Q886" s="117" t="n">
        <v>26.71</v>
      </c>
      <c r="R886" s="117" t="n">
        <v>26.71</v>
      </c>
      <c r="S886" s="118" t="n">
        <v>0</v>
      </c>
      <c r="T886" s="110" t="n"/>
    </row>
    <row r="887" ht="14.25" customHeight="1" s="52">
      <c r="A887" s="104" t="n">
        <v>880</v>
      </c>
      <c r="B887" s="119" t="n"/>
      <c r="C887" s="119" t="n"/>
      <c r="D887" s="119" t="n"/>
      <c r="F887" s="115" t="inlineStr">
        <is>
          <t>7409</t>
        </is>
      </c>
      <c r="G887" s="116" t="n"/>
      <c r="H887" s="115" t="inlineStr">
        <is>
          <t>Інші витрати на утримання персоналу</t>
        </is>
      </c>
      <c r="I887" s="115" t="inlineStr">
        <is>
          <t>А</t>
        </is>
      </c>
      <c r="J887" s="117" t="n">
        <v>2921.71842</v>
      </c>
      <c r="K887" s="117" t="n">
        <v>2921.71842</v>
      </c>
      <c r="L887" s="117" t="n">
        <v>0</v>
      </c>
      <c r="M887" s="117" t="n">
        <v>0</v>
      </c>
      <c r="N887" s="116" t="n"/>
      <c r="O887" s="117" t="n">
        <v>0</v>
      </c>
      <c r="P887" s="117" t="n">
        <v>0</v>
      </c>
      <c r="Q887" s="117" t="n">
        <v>27678.99092</v>
      </c>
      <c r="R887" s="117" t="n">
        <v>27678.99092</v>
      </c>
      <c r="S887" s="118" t="n">
        <v>0</v>
      </c>
      <c r="T887" s="110" t="n"/>
    </row>
    <row r="888" ht="13.5" customHeight="1" s="52">
      <c r="A888" s="104" t="n">
        <v>881</v>
      </c>
      <c r="B888" s="119" t="n"/>
      <c r="C888" s="119" t="n"/>
      <c r="D888" s="119" t="n"/>
      <c r="F888" s="120" t="inlineStr">
        <is>
          <t>Група 740 - Усього</t>
        </is>
      </c>
      <c r="G888" s="116" t="n"/>
      <c r="H888" s="116" t="n"/>
      <c r="I888" s="120" t="n"/>
      <c r="J888" s="121" t="n">
        <v>231398.22298</v>
      </c>
      <c r="K888" s="121" t="n">
        <v>231398.22298</v>
      </c>
      <c r="L888" s="121" t="n">
        <v>0</v>
      </c>
      <c r="M888" s="121" t="n">
        <v>0</v>
      </c>
      <c r="N888" s="116" t="n"/>
      <c r="O888" s="121" t="n">
        <v>0</v>
      </c>
      <c r="P888" s="121" t="n">
        <v>0</v>
      </c>
      <c r="Q888" s="121" t="n">
        <v>2100976.15508</v>
      </c>
      <c r="R888" s="121" t="n">
        <v>2100976.15508</v>
      </c>
      <c r="S888" s="122" t="n">
        <v>0</v>
      </c>
      <c r="T888" s="110" t="n"/>
    </row>
    <row r="889" ht="13.5" customHeight="1" s="52">
      <c r="A889" s="104" t="n">
        <v>882</v>
      </c>
      <c r="B889" s="119" t="n"/>
      <c r="C889" s="119" t="n"/>
      <c r="D889" s="115" t="inlineStr">
        <is>
          <t>741</t>
        </is>
      </c>
      <c r="E889" s="116" t="n"/>
      <c r="F889" s="115" t="inlineStr">
        <is>
          <t>7410</t>
        </is>
      </c>
      <c r="G889" s="116" t="n"/>
      <c r="H889" s="115" t="inlineStr">
        <is>
          <t>Податок на додану вартість</t>
        </is>
      </c>
      <c r="I889" s="115" t="inlineStr">
        <is>
          <t>А</t>
        </is>
      </c>
      <c r="J889" s="117" t="n">
        <v>2207.83879</v>
      </c>
      <c r="K889" s="117" t="n">
        <v>2207.83879</v>
      </c>
      <c r="L889" s="117" t="n">
        <v>0</v>
      </c>
      <c r="M889" s="117" t="n">
        <v>0</v>
      </c>
      <c r="N889" s="116" t="n"/>
      <c r="O889" s="117" t="n">
        <v>0</v>
      </c>
      <c r="P889" s="117" t="n">
        <v>0</v>
      </c>
      <c r="Q889" s="117" t="n">
        <v>2983.33912</v>
      </c>
      <c r="R889" s="117" t="n">
        <v>2983.33912</v>
      </c>
      <c r="S889" s="118" t="n">
        <v>0</v>
      </c>
      <c r="T889" s="110" t="n"/>
    </row>
    <row r="890" ht="13.5" customHeight="1" s="52">
      <c r="A890" s="104" t="n">
        <v>883</v>
      </c>
      <c r="B890" s="119" t="n"/>
      <c r="C890" s="119" t="n"/>
      <c r="D890" s="119" t="n"/>
      <c r="F890" s="115" t="inlineStr">
        <is>
          <t>7411</t>
        </is>
      </c>
      <c r="G890" s="116" t="n"/>
      <c r="H890" s="115" t="inlineStr">
        <is>
          <t>Податок на землю</t>
        </is>
      </c>
      <c r="I890" s="115" t="inlineStr">
        <is>
          <t>А</t>
        </is>
      </c>
      <c r="J890" s="117" t="n">
        <v>1033.64173</v>
      </c>
      <c r="K890" s="117" t="n">
        <v>1033.64173</v>
      </c>
      <c r="L890" s="117" t="n">
        <v>0</v>
      </c>
      <c r="M890" s="117" t="n">
        <v>0</v>
      </c>
      <c r="N890" s="116" t="n"/>
      <c r="O890" s="117" t="n">
        <v>0</v>
      </c>
      <c r="P890" s="117" t="n">
        <v>0</v>
      </c>
      <c r="Q890" s="117" t="n">
        <v>12676.93478</v>
      </c>
      <c r="R890" s="117" t="n">
        <v>12676.93478</v>
      </c>
      <c r="S890" s="118" t="n">
        <v>0</v>
      </c>
      <c r="T890" s="110" t="n"/>
    </row>
    <row r="891" ht="13.5" customHeight="1" s="52">
      <c r="A891" s="104" t="n">
        <v>884</v>
      </c>
      <c r="B891" s="119" t="n"/>
      <c r="C891" s="119" t="n"/>
      <c r="D891" s="119" t="n"/>
      <c r="F891" s="115" t="inlineStr">
        <is>
          <t>7418</t>
        </is>
      </c>
      <c r="G891" s="116" t="n"/>
      <c r="H891" s="115" t="inlineStr">
        <is>
          <t>Відрахування до Фонду гарантування вкладів фізичних осіб</t>
        </is>
      </c>
      <c r="I891" s="115" t="inlineStr">
        <is>
          <t>А</t>
        </is>
      </c>
      <c r="J891" s="117" t="n">
        <v>20039.82527</v>
      </c>
      <c r="K891" s="117" t="n">
        <v>20039.82527</v>
      </c>
      <c r="L891" s="117" t="n">
        <v>0</v>
      </c>
      <c r="M891" s="117" t="n">
        <v>0</v>
      </c>
      <c r="N891" s="116" t="n"/>
      <c r="O891" s="117" t="n">
        <v>0</v>
      </c>
      <c r="P891" s="117" t="n">
        <v>0</v>
      </c>
      <c r="Q891" s="117" t="n">
        <v>264361.70319</v>
      </c>
      <c r="R891" s="117" t="n">
        <v>264361.70319</v>
      </c>
      <c r="S891" s="118" t="n">
        <v>0</v>
      </c>
      <c r="T891" s="110" t="n"/>
    </row>
    <row r="892" ht="14.25" customHeight="1" s="52">
      <c r="A892" s="104" t="n">
        <v>885</v>
      </c>
      <c r="B892" s="119" t="n"/>
      <c r="C892" s="119" t="n"/>
      <c r="D892" s="119" t="n"/>
      <c r="F892" s="115" t="inlineStr">
        <is>
          <t>7419</t>
        </is>
      </c>
      <c r="G892" s="116" t="n"/>
      <c r="H892" s="115" t="inlineStr">
        <is>
          <t>Сплата інших податків та обов'язкових платежів, крім податку на прибуток</t>
        </is>
      </c>
      <c r="I892" s="115" t="inlineStr">
        <is>
          <t>А</t>
        </is>
      </c>
      <c r="J892" s="117" t="n">
        <v>1023.14595</v>
      </c>
      <c r="K892" s="117" t="n">
        <v>1023.14595</v>
      </c>
      <c r="L892" s="117" t="n">
        <v>0</v>
      </c>
      <c r="M892" s="117" t="n">
        <v>3.21166</v>
      </c>
      <c r="N892" s="116" t="n"/>
      <c r="O892" s="117" t="n">
        <v>3.21166</v>
      </c>
      <c r="P892" s="117" t="n">
        <v>0</v>
      </c>
      <c r="Q892" s="117" t="n">
        <v>21514.09614</v>
      </c>
      <c r="R892" s="117" t="n">
        <v>21514.09614</v>
      </c>
      <c r="S892" s="118" t="n">
        <v>0</v>
      </c>
      <c r="T892" s="110" t="n"/>
    </row>
    <row r="893" ht="13.5" customHeight="1" s="52">
      <c r="A893" s="104" t="n">
        <v>886</v>
      </c>
      <c r="B893" s="119" t="n"/>
      <c r="C893" s="119" t="n"/>
      <c r="D893" s="119" t="n"/>
      <c r="F893" s="120" t="inlineStr">
        <is>
          <t>Група 741 - Усього</t>
        </is>
      </c>
      <c r="G893" s="116" t="n"/>
      <c r="H893" s="116" t="n"/>
      <c r="I893" s="120" t="n"/>
      <c r="J893" s="121" t="n">
        <v>24304.45174</v>
      </c>
      <c r="K893" s="121" t="n">
        <v>24304.45174</v>
      </c>
      <c r="L893" s="121" t="n">
        <v>0</v>
      </c>
      <c r="M893" s="121" t="n">
        <v>3.21166</v>
      </c>
      <c r="N893" s="116" t="n"/>
      <c r="O893" s="121" t="n">
        <v>3.21166</v>
      </c>
      <c r="P893" s="121" t="n">
        <v>0</v>
      </c>
      <c r="Q893" s="121" t="n">
        <v>301536.07323</v>
      </c>
      <c r="R893" s="121" t="n">
        <v>301536.07323</v>
      </c>
      <c r="S893" s="122" t="n">
        <v>0</v>
      </c>
      <c r="T893" s="110" t="n"/>
    </row>
    <row r="894" ht="13.5" customHeight="1" s="52">
      <c r="A894" s="104" t="n">
        <v>887</v>
      </c>
      <c r="B894" s="119" t="n"/>
      <c r="C894" s="119" t="n"/>
      <c r="D894" s="115" t="inlineStr">
        <is>
          <t>742</t>
        </is>
      </c>
      <c r="E894" s="116" t="n"/>
      <c r="F894" s="115" t="inlineStr">
        <is>
          <t>7420</t>
        </is>
      </c>
      <c r="G894" s="116" t="n"/>
      <c r="H894" s="115" t="inlineStr">
        <is>
          <t>Витрати на утримання власних основних засобів і нематеріальних активів</t>
        </is>
      </c>
      <c r="I894" s="115" t="inlineStr">
        <is>
          <t>А</t>
        </is>
      </c>
      <c r="J894" s="117" t="n">
        <v>12656.94537</v>
      </c>
      <c r="K894" s="117" t="n">
        <v>12656.94537</v>
      </c>
      <c r="L894" s="117" t="n">
        <v>0</v>
      </c>
      <c r="M894" s="117" t="n">
        <v>0.76686</v>
      </c>
      <c r="N894" s="116" t="n"/>
      <c r="O894" s="117" t="n">
        <v>0.76686</v>
      </c>
      <c r="P894" s="117" t="n">
        <v>0</v>
      </c>
      <c r="Q894" s="117" t="n">
        <v>192469.69174</v>
      </c>
      <c r="R894" s="117" t="n">
        <v>192469.69174</v>
      </c>
      <c r="S894" s="118" t="n">
        <v>0</v>
      </c>
      <c r="T894" s="110" t="n"/>
    </row>
    <row r="895" ht="13.5" customHeight="1" s="52">
      <c r="A895" s="104" t="n">
        <v>888</v>
      </c>
      <c r="B895" s="119" t="n"/>
      <c r="C895" s="119" t="n"/>
      <c r="D895" s="119" t="n"/>
      <c r="F895" s="115" t="inlineStr">
        <is>
          <t>7421</t>
        </is>
      </c>
      <c r="G895" s="116" t="n"/>
      <c r="H895" s="115" t="inlineStr">
        <is>
          <t>Витрати на утримання необоротних активів, що отримані в лізинг (оренду)</t>
        </is>
      </c>
      <c r="I895" s="115" t="inlineStr">
        <is>
          <t>А</t>
        </is>
      </c>
      <c r="J895" s="117" t="n">
        <v>78.95491</v>
      </c>
      <c r="K895" s="117" t="n">
        <v>78.95491</v>
      </c>
      <c r="L895" s="117" t="n">
        <v>0</v>
      </c>
      <c r="M895" s="117" t="n">
        <v>0</v>
      </c>
      <c r="N895" s="116" t="n"/>
      <c r="O895" s="117" t="n">
        <v>0</v>
      </c>
      <c r="P895" s="117" t="n">
        <v>0</v>
      </c>
      <c r="Q895" s="117" t="n">
        <v>1195.61672</v>
      </c>
      <c r="R895" s="117" t="n">
        <v>1195.61672</v>
      </c>
      <c r="S895" s="118" t="n">
        <v>0</v>
      </c>
      <c r="T895" s="110" t="n"/>
    </row>
    <row r="896" ht="13.5" customHeight="1" s="52">
      <c r="A896" s="104" t="n">
        <v>889</v>
      </c>
      <c r="B896" s="119" t="n"/>
      <c r="C896" s="119" t="n"/>
      <c r="D896" s="119" t="n"/>
      <c r="F896" s="115" t="inlineStr">
        <is>
          <t>7423</t>
        </is>
      </c>
      <c r="G896" s="116" t="n"/>
      <c r="H896" s="115" t="inlineStr">
        <is>
          <t>Амортизація</t>
        </is>
      </c>
      <c r="I896" s="115" t="inlineStr">
        <is>
          <t>А</t>
        </is>
      </c>
      <c r="J896" s="117" t="n">
        <v>9296.7539</v>
      </c>
      <c r="K896" s="117" t="n">
        <v>9296.7539</v>
      </c>
      <c r="L896" s="117" t="n">
        <v>0</v>
      </c>
      <c r="M896" s="117" t="n">
        <v>0</v>
      </c>
      <c r="N896" s="116" t="n"/>
      <c r="O896" s="117" t="n">
        <v>0</v>
      </c>
      <c r="P896" s="117" t="n">
        <v>0</v>
      </c>
      <c r="Q896" s="117" t="n">
        <v>98503.91204</v>
      </c>
      <c r="R896" s="117" t="n">
        <v>98503.91204</v>
      </c>
      <c r="S896" s="118" t="n">
        <v>0</v>
      </c>
      <c r="T896" s="110" t="n"/>
    </row>
    <row r="897" ht="14.25" customHeight="1" s="52">
      <c r="A897" s="104" t="n">
        <v>890</v>
      </c>
      <c r="B897" s="119" t="n"/>
      <c r="C897" s="119" t="n"/>
      <c r="D897" s="119" t="n"/>
      <c r="F897" s="115" t="inlineStr">
        <is>
          <t>7424</t>
        </is>
      </c>
      <c r="G897" s="116" t="n"/>
      <c r="H897" s="115" t="inlineStr">
        <is>
          <t>Амортизація активів з права користування</t>
        </is>
      </c>
      <c r="I897" s="115" t="inlineStr">
        <is>
          <t>А</t>
        </is>
      </c>
      <c r="J897" s="117" t="n">
        <v>917.6734</v>
      </c>
      <c r="K897" s="117" t="n">
        <v>917.6734</v>
      </c>
      <c r="L897" s="117" t="n">
        <v>0</v>
      </c>
      <c r="M897" s="117" t="n">
        <v>0</v>
      </c>
      <c r="N897" s="116" t="n"/>
      <c r="O897" s="117" t="n">
        <v>0</v>
      </c>
      <c r="P897" s="117" t="n">
        <v>0</v>
      </c>
      <c r="Q897" s="117" t="n">
        <v>9517.191339999999</v>
      </c>
      <c r="R897" s="117" t="n">
        <v>9517.191339999999</v>
      </c>
      <c r="S897" s="118" t="n">
        <v>0</v>
      </c>
      <c r="T897" s="110" t="n"/>
    </row>
    <row r="898" ht="13.5" customHeight="1" s="52">
      <c r="A898" s="104" t="n">
        <v>891</v>
      </c>
      <c r="B898" s="119" t="n"/>
      <c r="C898" s="119" t="n"/>
      <c r="D898" s="119" t="n"/>
      <c r="F898" s="120" t="inlineStr">
        <is>
          <t>Група 742 - Усього</t>
        </is>
      </c>
      <c r="G898" s="116" t="n"/>
      <c r="H898" s="116" t="n"/>
      <c r="I898" s="120" t="n"/>
      <c r="J898" s="121" t="n">
        <v>22950.32758</v>
      </c>
      <c r="K898" s="121" t="n">
        <v>22950.32758</v>
      </c>
      <c r="L898" s="121" t="n">
        <v>0</v>
      </c>
      <c r="M898" s="121" t="n">
        <v>0.76686</v>
      </c>
      <c r="N898" s="116" t="n"/>
      <c r="O898" s="121" t="n">
        <v>0.76686</v>
      </c>
      <c r="P898" s="121" t="n">
        <v>0</v>
      </c>
      <c r="Q898" s="121" t="n">
        <v>301686.41184</v>
      </c>
      <c r="R898" s="121" t="n">
        <v>301686.41184</v>
      </c>
      <c r="S898" s="122" t="n">
        <v>0</v>
      </c>
      <c r="T898" s="110" t="n"/>
    </row>
    <row r="899" ht="13.5" customHeight="1" s="52">
      <c r="A899" s="104" t="n">
        <v>892</v>
      </c>
      <c r="B899" s="119" t="n"/>
      <c r="C899" s="119" t="n"/>
      <c r="D899" s="115" t="inlineStr">
        <is>
          <t>743</t>
        </is>
      </c>
      <c r="E899" s="116" t="n"/>
      <c r="F899" s="115" t="inlineStr">
        <is>
          <t>7430</t>
        </is>
      </c>
      <c r="G899" s="116" t="n"/>
      <c r="H899" s="115" t="inlineStr">
        <is>
          <t>Витрати на комунальні послуги</t>
        </is>
      </c>
      <c r="I899" s="115" t="inlineStr">
        <is>
          <t>А</t>
        </is>
      </c>
      <c r="J899" s="117" t="n">
        <v>5196.50645</v>
      </c>
      <c r="K899" s="117" t="n">
        <v>5196.50645</v>
      </c>
      <c r="L899" s="117" t="n">
        <v>0</v>
      </c>
      <c r="M899" s="117" t="n">
        <v>0</v>
      </c>
      <c r="N899" s="116" t="n"/>
      <c r="O899" s="117" t="n">
        <v>0</v>
      </c>
      <c r="P899" s="117" t="n">
        <v>0</v>
      </c>
      <c r="Q899" s="117" t="n">
        <v>58602.77857</v>
      </c>
      <c r="R899" s="117" t="n">
        <v>58602.77857</v>
      </c>
      <c r="S899" s="118" t="n">
        <v>0</v>
      </c>
      <c r="T899" s="110" t="n"/>
    </row>
    <row r="900" ht="13.5" customHeight="1" s="52">
      <c r="A900" s="104" t="n">
        <v>893</v>
      </c>
      <c r="B900" s="119" t="n"/>
      <c r="C900" s="119" t="n"/>
      <c r="D900" s="119" t="n"/>
      <c r="F900" s="115" t="inlineStr">
        <is>
          <t>7431</t>
        </is>
      </c>
      <c r="G900" s="116" t="n"/>
      <c r="H900" s="115" t="inlineStr">
        <is>
          <t>Господарські витрати</t>
        </is>
      </c>
      <c r="I900" s="115" t="inlineStr">
        <is>
          <t>А</t>
        </is>
      </c>
      <c r="J900" s="117" t="n">
        <v>6072.42212</v>
      </c>
      <c r="K900" s="117" t="n">
        <v>6072.42212</v>
      </c>
      <c r="L900" s="117" t="n">
        <v>0</v>
      </c>
      <c r="M900" s="117" t="n">
        <v>0</v>
      </c>
      <c r="N900" s="116" t="n"/>
      <c r="O900" s="117" t="n">
        <v>0</v>
      </c>
      <c r="P900" s="117" t="n">
        <v>0</v>
      </c>
      <c r="Q900" s="117" t="n">
        <v>71920.13408</v>
      </c>
      <c r="R900" s="117" t="n">
        <v>71920.13408</v>
      </c>
      <c r="S900" s="118" t="n">
        <v>0</v>
      </c>
      <c r="T900" s="110" t="n"/>
    </row>
    <row r="901" ht="13.5" customHeight="1" s="52">
      <c r="A901" s="104" t="n">
        <v>894</v>
      </c>
      <c r="B901" s="119" t="n"/>
      <c r="C901" s="119" t="n"/>
      <c r="D901" s="119" t="n"/>
      <c r="F901" s="115" t="inlineStr">
        <is>
          <t>7432</t>
        </is>
      </c>
      <c r="G901" s="116" t="n"/>
      <c r="H901" s="115" t="inlineStr">
        <is>
          <t>Витрати на охорону</t>
        </is>
      </c>
      <c r="I901" s="115" t="inlineStr">
        <is>
          <t>А</t>
        </is>
      </c>
      <c r="J901" s="117" t="n">
        <v>5302.00347</v>
      </c>
      <c r="K901" s="117" t="n">
        <v>5302.00347</v>
      </c>
      <c r="L901" s="117" t="n">
        <v>0</v>
      </c>
      <c r="M901" s="117" t="n">
        <v>3.35382</v>
      </c>
      <c r="N901" s="116" t="n"/>
      <c r="O901" s="117" t="n">
        <v>3.35382</v>
      </c>
      <c r="P901" s="117" t="n">
        <v>0</v>
      </c>
      <c r="Q901" s="117" t="n">
        <v>63495.86041</v>
      </c>
      <c r="R901" s="117" t="n">
        <v>63495.86041</v>
      </c>
      <c r="S901" s="118" t="n">
        <v>0</v>
      </c>
      <c r="T901" s="110" t="n"/>
    </row>
    <row r="902" ht="14.25" customHeight="1" s="52">
      <c r="A902" s="104" t="n">
        <v>895</v>
      </c>
      <c r="B902" s="119" t="n"/>
      <c r="C902" s="119" t="n"/>
      <c r="D902" s="119" t="n"/>
      <c r="F902" s="115" t="inlineStr">
        <is>
          <t>7433</t>
        </is>
      </c>
      <c r="G902" s="116" t="n"/>
      <c r="H902" s="115" t="inlineStr">
        <is>
          <t>Інші експлуатаційні витрати</t>
        </is>
      </c>
      <c r="I902" s="115" t="inlineStr">
        <is>
          <t>А</t>
        </is>
      </c>
      <c r="J902" s="117" t="n">
        <v>82.39085</v>
      </c>
      <c r="K902" s="117" t="n">
        <v>82.39085</v>
      </c>
      <c r="L902" s="117" t="n">
        <v>0</v>
      </c>
      <c r="M902" s="117" t="n">
        <v>0</v>
      </c>
      <c r="N902" s="116" t="n"/>
      <c r="O902" s="117" t="n">
        <v>0</v>
      </c>
      <c r="P902" s="117" t="n">
        <v>0</v>
      </c>
      <c r="Q902" s="117" t="n">
        <v>692.21236</v>
      </c>
      <c r="R902" s="117" t="n">
        <v>692.21236</v>
      </c>
      <c r="S902" s="118" t="n">
        <v>0</v>
      </c>
      <c r="T902" s="110" t="n"/>
    </row>
    <row r="903" ht="13.5" customHeight="1" s="52">
      <c r="A903" s="104" t="n">
        <v>896</v>
      </c>
      <c r="B903" s="119" t="n"/>
      <c r="C903" s="119" t="n"/>
      <c r="D903" s="119" t="n"/>
      <c r="F903" s="120" t="inlineStr">
        <is>
          <t>Група 743 - Усього</t>
        </is>
      </c>
      <c r="G903" s="116" t="n"/>
      <c r="H903" s="116" t="n"/>
      <c r="I903" s="120" t="n"/>
      <c r="J903" s="121" t="n">
        <v>16653.32289</v>
      </c>
      <c r="K903" s="121" t="n">
        <v>16653.32289</v>
      </c>
      <c r="L903" s="121" t="n">
        <v>0</v>
      </c>
      <c r="M903" s="121" t="n">
        <v>3.35382</v>
      </c>
      <c r="N903" s="116" t="n"/>
      <c r="O903" s="121" t="n">
        <v>3.35382</v>
      </c>
      <c r="P903" s="121" t="n">
        <v>0</v>
      </c>
      <c r="Q903" s="121" t="n">
        <v>194710.98542</v>
      </c>
      <c r="R903" s="121" t="n">
        <v>194710.98542</v>
      </c>
      <c r="S903" s="122" t="n">
        <v>0</v>
      </c>
      <c r="T903" s="110" t="n"/>
    </row>
    <row r="904" ht="13.5" customHeight="1" s="52">
      <c r="A904" s="104" t="n">
        <v>897</v>
      </c>
      <c r="B904" s="119" t="n"/>
      <c r="C904" s="119" t="n"/>
      <c r="D904" s="115" t="inlineStr">
        <is>
          <t>745</t>
        </is>
      </c>
      <c r="E904" s="116" t="n"/>
      <c r="F904" s="115" t="inlineStr">
        <is>
          <t>7450</t>
        </is>
      </c>
      <c r="G904" s="116" t="n"/>
      <c r="H904" s="115" t="inlineStr">
        <is>
          <t>Поштово-телефонні витрати</t>
        </is>
      </c>
      <c r="I904" s="115" t="inlineStr">
        <is>
          <t>А</t>
        </is>
      </c>
      <c r="J904" s="117" t="n">
        <v>959.20343</v>
      </c>
      <c r="K904" s="117" t="n">
        <v>959.20343</v>
      </c>
      <c r="L904" s="117" t="n">
        <v>0</v>
      </c>
      <c r="M904" s="117" t="n">
        <v>0</v>
      </c>
      <c r="N904" s="116" t="n"/>
      <c r="O904" s="117" t="n">
        <v>0</v>
      </c>
      <c r="P904" s="117" t="n">
        <v>0</v>
      </c>
      <c r="Q904" s="117" t="n">
        <v>9990.820030000001</v>
      </c>
      <c r="R904" s="117" t="n">
        <v>9990.820030000001</v>
      </c>
      <c r="S904" s="118" t="n">
        <v>0</v>
      </c>
      <c r="T904" s="110" t="n"/>
    </row>
    <row r="905" ht="13.5" customHeight="1" s="52">
      <c r="A905" s="104" t="n">
        <v>898</v>
      </c>
      <c r="B905" s="119" t="n"/>
      <c r="C905" s="119" t="n"/>
      <c r="D905" s="119" t="n"/>
      <c r="F905" s="115" t="inlineStr">
        <is>
          <t>7452</t>
        </is>
      </c>
      <c r="G905" s="116" t="n"/>
      <c r="H905" s="115" t="inlineStr">
        <is>
          <t>Витрати на відрядження</t>
        </is>
      </c>
      <c r="I905" s="115" t="inlineStr">
        <is>
          <t>А</t>
        </is>
      </c>
      <c r="J905" s="117" t="n">
        <v>443.3292</v>
      </c>
      <c r="K905" s="117" t="n">
        <v>443.3292</v>
      </c>
      <c r="L905" s="117" t="n">
        <v>0</v>
      </c>
      <c r="M905" s="117" t="n">
        <v>0</v>
      </c>
      <c r="N905" s="116" t="n"/>
      <c r="O905" s="117" t="n">
        <v>0</v>
      </c>
      <c r="P905" s="117" t="n">
        <v>0</v>
      </c>
      <c r="Q905" s="117" t="n">
        <v>6913.47784</v>
      </c>
      <c r="R905" s="117" t="n">
        <v>6913.47784</v>
      </c>
      <c r="S905" s="118" t="n">
        <v>0</v>
      </c>
      <c r="T905" s="110" t="n"/>
    </row>
    <row r="906" ht="13.5" customHeight="1" s="52">
      <c r="A906" s="104" t="n">
        <v>899</v>
      </c>
      <c r="B906" s="119" t="n"/>
      <c r="C906" s="119" t="n"/>
      <c r="D906" s="119" t="n"/>
      <c r="F906" s="115" t="inlineStr">
        <is>
          <t>7454</t>
        </is>
      </c>
      <c r="G906" s="116" t="n"/>
      <c r="H906" s="115" t="inlineStr">
        <is>
          <t>Представницькі витрати</t>
        </is>
      </c>
      <c r="I906" s="115" t="inlineStr">
        <is>
          <t>А</t>
        </is>
      </c>
      <c r="J906" s="117" t="n">
        <v>134.32776</v>
      </c>
      <c r="K906" s="117" t="n">
        <v>134.32776</v>
      </c>
      <c r="L906" s="117" t="n">
        <v>0</v>
      </c>
      <c r="M906" s="117" t="n">
        <v>0</v>
      </c>
      <c r="N906" s="116" t="n"/>
      <c r="O906" s="117" t="n">
        <v>0</v>
      </c>
      <c r="P906" s="117" t="n">
        <v>0</v>
      </c>
      <c r="Q906" s="117" t="n">
        <v>1038.20941</v>
      </c>
      <c r="R906" s="117" t="n">
        <v>1038.20941</v>
      </c>
      <c r="S906" s="118" t="n">
        <v>0</v>
      </c>
      <c r="T906" s="110" t="n"/>
    </row>
    <row r="907" ht="14.25" customHeight="1" s="52">
      <c r="A907" s="104" t="n">
        <v>900</v>
      </c>
      <c r="B907" s="119" t="n"/>
      <c r="C907" s="119" t="n"/>
      <c r="D907" s="119" t="n"/>
      <c r="F907" s="115" t="inlineStr">
        <is>
          <t>7455</t>
        </is>
      </c>
      <c r="G907" s="116" t="n"/>
      <c r="H907" s="115" t="inlineStr">
        <is>
          <t xml:space="preserve">Витрати на маркетинг і рекламу </t>
        </is>
      </c>
      <c r="I907" s="115" t="inlineStr">
        <is>
          <t>А</t>
        </is>
      </c>
      <c r="J907" s="117" t="n">
        <v>939.23128</v>
      </c>
      <c r="K907" s="117" t="n">
        <v>939.23128</v>
      </c>
      <c r="L907" s="117" t="n">
        <v>0</v>
      </c>
      <c r="M907" s="117" t="n">
        <v>0</v>
      </c>
      <c r="N907" s="116" t="n"/>
      <c r="O907" s="117" t="n">
        <v>0</v>
      </c>
      <c r="P907" s="117" t="n">
        <v>0</v>
      </c>
      <c r="Q907" s="117" t="n">
        <v>6152.46739</v>
      </c>
      <c r="R907" s="117" t="n">
        <v>6152.46739</v>
      </c>
      <c r="S907" s="118" t="n">
        <v>0</v>
      </c>
      <c r="T907" s="110" t="n"/>
    </row>
    <row r="908" ht="13.5" customHeight="1" s="52">
      <c r="A908" s="104" t="n">
        <v>901</v>
      </c>
      <c r="B908" s="119" t="n"/>
      <c r="C908" s="119" t="n"/>
      <c r="D908" s="119" t="n"/>
      <c r="F908" s="115" t="inlineStr">
        <is>
          <t>7456</t>
        </is>
      </c>
      <c r="G908" s="116" t="n"/>
      <c r="H908" s="115" t="inlineStr">
        <is>
          <t>Спонсорство та доброчинність</t>
        </is>
      </c>
      <c r="I908" s="115" t="inlineStr">
        <is>
          <t>А</t>
        </is>
      </c>
      <c r="J908" s="117" t="n">
        <v>49.99902</v>
      </c>
      <c r="K908" s="117" t="n">
        <v>49.99902</v>
      </c>
      <c r="L908" s="117" t="n">
        <v>0</v>
      </c>
      <c r="M908" s="117" t="n">
        <v>0</v>
      </c>
      <c r="N908" s="116" t="n"/>
      <c r="O908" s="117" t="n">
        <v>0</v>
      </c>
      <c r="P908" s="117" t="n">
        <v>0</v>
      </c>
      <c r="Q908" s="117" t="n">
        <v>2313.39406</v>
      </c>
      <c r="R908" s="117" t="n">
        <v>2313.39406</v>
      </c>
      <c r="S908" s="118" t="n">
        <v>0</v>
      </c>
      <c r="T908" s="110" t="n"/>
    </row>
    <row r="909" ht="13.5" customHeight="1" s="52">
      <c r="A909" s="104" t="n">
        <v>902</v>
      </c>
      <c r="B909" s="119" t="n"/>
      <c r="C909" s="119" t="n"/>
      <c r="D909" s="119" t="n"/>
      <c r="F909" s="115" t="inlineStr">
        <is>
          <t>7457</t>
        </is>
      </c>
      <c r="G909" s="116" t="n"/>
      <c r="H909" s="115" t="inlineStr">
        <is>
          <t>Інші адміністративні витрати</t>
        </is>
      </c>
      <c r="I909" s="115" t="inlineStr">
        <is>
          <t>А</t>
        </is>
      </c>
      <c r="J909" s="117" t="n">
        <v>9259.380230000001</v>
      </c>
      <c r="K909" s="117" t="n">
        <v>9259.380230000001</v>
      </c>
      <c r="L909" s="117" t="n">
        <v>0</v>
      </c>
      <c r="M909" s="117" t="n">
        <v>0</v>
      </c>
      <c r="N909" s="116" t="n"/>
      <c r="O909" s="117" t="n">
        <v>0</v>
      </c>
      <c r="P909" s="117" t="n">
        <v>0</v>
      </c>
      <c r="Q909" s="117" t="n">
        <v>91488.66247</v>
      </c>
      <c r="R909" s="117" t="n">
        <v>91488.66247</v>
      </c>
      <c r="S909" s="118" t="n">
        <v>0</v>
      </c>
      <c r="T909" s="110" t="n"/>
    </row>
    <row r="910" ht="13.5" customHeight="1" s="52">
      <c r="A910" s="104" t="n">
        <v>903</v>
      </c>
      <c r="B910" s="119" t="n"/>
      <c r="C910" s="119" t="n"/>
      <c r="D910" s="119" t="n"/>
      <c r="F910" s="120" t="inlineStr">
        <is>
          <t>Група 745 - Усього</t>
        </is>
      </c>
      <c r="G910" s="116" t="n"/>
      <c r="H910" s="116" t="n"/>
      <c r="I910" s="120" t="n"/>
      <c r="J910" s="121" t="n">
        <v>11785.47092</v>
      </c>
      <c r="K910" s="121" t="n">
        <v>11785.47092</v>
      </c>
      <c r="L910" s="121" t="n">
        <v>0</v>
      </c>
      <c r="M910" s="121" t="n">
        <v>0</v>
      </c>
      <c r="N910" s="116" t="n"/>
      <c r="O910" s="121" t="n">
        <v>0</v>
      </c>
      <c r="P910" s="121" t="n">
        <v>0</v>
      </c>
      <c r="Q910" s="121" t="n">
        <v>117897.0312</v>
      </c>
      <c r="R910" s="121" t="n">
        <v>117897.0312</v>
      </c>
      <c r="S910" s="122" t="n">
        <v>0</v>
      </c>
      <c r="T910" s="110" t="n"/>
    </row>
    <row r="911" ht="13.5" customHeight="1" s="52">
      <c r="A911" s="104" t="n">
        <v>904</v>
      </c>
      <c r="B911" s="119" t="n"/>
      <c r="C911" s="119" t="n"/>
      <c r="D911" s="115" t="inlineStr">
        <is>
          <t>749</t>
        </is>
      </c>
      <c r="E911" s="116" t="n"/>
      <c r="F911" s="115" t="inlineStr">
        <is>
          <t>7490</t>
        </is>
      </c>
      <c r="G911" s="116" t="n"/>
      <c r="H911" s="115" t="inlineStr">
        <is>
          <t>Негативний результат від вибуття нематеріальних активів та основних засобів</t>
        </is>
      </c>
      <c r="I911" s="115" t="inlineStr">
        <is>
          <t>А</t>
        </is>
      </c>
      <c r="J911" s="117" t="n">
        <v>0</v>
      </c>
      <c r="K911" s="117" t="n">
        <v>0</v>
      </c>
      <c r="L911" s="117" t="n">
        <v>0</v>
      </c>
      <c r="M911" s="117" t="n">
        <v>0</v>
      </c>
      <c r="N911" s="116" t="n"/>
      <c r="O911" s="117" t="n">
        <v>0</v>
      </c>
      <c r="P911" s="117" t="n">
        <v>0</v>
      </c>
      <c r="Q911" s="117" t="n">
        <v>185.8621</v>
      </c>
      <c r="R911" s="117" t="n">
        <v>185.8621</v>
      </c>
      <c r="S911" s="118" t="n">
        <v>0</v>
      </c>
      <c r="T911" s="110" t="n"/>
    </row>
    <row r="912" ht="14.25" customHeight="1" s="52">
      <c r="A912" s="104" t="n">
        <v>905</v>
      </c>
      <c r="B912" s="119" t="n"/>
      <c r="C912" s="119" t="n"/>
      <c r="D912" s="119" t="n"/>
      <c r="F912" s="115" t="inlineStr">
        <is>
          <t>7491</t>
        </is>
      </c>
      <c r="G912" s="116" t="n"/>
      <c r="H912" s="115" t="inlineStr">
        <is>
          <t>Втрати від уцінки запасів на продаж</t>
        </is>
      </c>
      <c r="I912" s="115" t="inlineStr">
        <is>
          <t>А</t>
        </is>
      </c>
      <c r="J912" s="117" t="n">
        <v>0</v>
      </c>
      <c r="K912" s="117" t="n">
        <v>0</v>
      </c>
      <c r="L912" s="117" t="n">
        <v>0</v>
      </c>
      <c r="M912" s="117" t="n">
        <v>0</v>
      </c>
      <c r="N912" s="116" t="n"/>
      <c r="O912" s="117" t="n">
        <v>0</v>
      </c>
      <c r="P912" s="117" t="n">
        <v>0</v>
      </c>
      <c r="Q912" s="117" t="n">
        <v>0</v>
      </c>
      <c r="R912" s="117" t="n">
        <v>0</v>
      </c>
      <c r="S912" s="118" t="n">
        <v>0</v>
      </c>
      <c r="T912" s="110" t="n"/>
    </row>
    <row r="913" ht="13.5" customHeight="1" s="52">
      <c r="A913" s="104" t="n">
        <v>906</v>
      </c>
      <c r="B913" s="119" t="n"/>
      <c r="C913" s="119" t="n"/>
      <c r="D913" s="119" t="n"/>
      <c r="F913" s="119" t="n"/>
      <c r="H913" s="119" t="n"/>
      <c r="I913" s="115" t="inlineStr">
        <is>
          <t>П</t>
        </is>
      </c>
      <c r="J913" s="117" t="n">
        <v>0</v>
      </c>
      <c r="K913" s="117" t="n">
        <v>0</v>
      </c>
      <c r="L913" s="117" t="n">
        <v>0</v>
      </c>
      <c r="M913" s="117" t="n">
        <v>0</v>
      </c>
      <c r="N913" s="116" t="n"/>
      <c r="O913" s="117" t="n">
        <v>0</v>
      </c>
      <c r="P913" s="117" t="n">
        <v>0</v>
      </c>
      <c r="Q913" s="117" t="n">
        <v>0</v>
      </c>
      <c r="R913" s="117" t="n">
        <v>0</v>
      </c>
      <c r="S913" s="118" t="n">
        <v>0</v>
      </c>
      <c r="T913" s="110" t="n"/>
    </row>
    <row r="914" ht="13.5" customHeight="1" s="52">
      <c r="A914" s="104" t="n">
        <v>907</v>
      </c>
      <c r="B914" s="119" t="n"/>
      <c r="C914" s="119" t="n"/>
      <c r="D914" s="119" t="n"/>
      <c r="F914" s="115" t="inlineStr">
        <is>
          <t>7499</t>
        </is>
      </c>
      <c r="G914" s="116" t="n"/>
      <c r="H914" s="115" t="inlineStr">
        <is>
          <t>Інші витрати</t>
        </is>
      </c>
      <c r="I914" s="115" t="inlineStr">
        <is>
          <t>А</t>
        </is>
      </c>
      <c r="J914" s="117" t="n">
        <v>518.54003</v>
      </c>
      <c r="K914" s="117" t="n">
        <v>518.54003</v>
      </c>
      <c r="L914" s="117" t="n">
        <v>0</v>
      </c>
      <c r="M914" s="117" t="n">
        <v>0</v>
      </c>
      <c r="N914" s="116" t="n"/>
      <c r="O914" s="117" t="n">
        <v>0</v>
      </c>
      <c r="P914" s="117" t="n">
        <v>0</v>
      </c>
      <c r="Q914" s="117" t="n">
        <v>11121.41052</v>
      </c>
      <c r="R914" s="117" t="n">
        <v>11121.41052</v>
      </c>
      <c r="S914" s="118" t="n">
        <v>0</v>
      </c>
      <c r="T914" s="110" t="n"/>
    </row>
    <row r="915" ht="13.5" customHeight="1" s="52">
      <c r="A915" s="104" t="n">
        <v>908</v>
      </c>
      <c r="B915" s="119" t="n"/>
      <c r="C915" s="119" t="n"/>
      <c r="D915" s="119" t="n"/>
      <c r="F915" s="120" t="inlineStr">
        <is>
          <t>Група 749 - Усього</t>
        </is>
      </c>
      <c r="G915" s="116" t="n"/>
      <c r="H915" s="116" t="n"/>
      <c r="I915" s="120" t="n"/>
      <c r="J915" s="121" t="n">
        <v>518.54003</v>
      </c>
      <c r="K915" s="121" t="n">
        <v>518.54003</v>
      </c>
      <c r="L915" s="121" t="n">
        <v>0</v>
      </c>
      <c r="M915" s="121" t="n">
        <v>0</v>
      </c>
      <c r="N915" s="116" t="n"/>
      <c r="O915" s="121" t="n">
        <v>0</v>
      </c>
      <c r="P915" s="121" t="n">
        <v>0</v>
      </c>
      <c r="Q915" s="121" t="n">
        <v>11307.27262</v>
      </c>
      <c r="R915" s="121" t="n">
        <v>11307.27262</v>
      </c>
      <c r="S915" s="122" t="n">
        <v>0</v>
      </c>
      <c r="T915" s="110" t="n"/>
    </row>
    <row r="916" ht="21" customHeight="1" s="52">
      <c r="A916" s="104" t="n">
        <v>909</v>
      </c>
      <c r="B916" s="119" t="n"/>
      <c r="C916" s="119" t="n"/>
      <c r="D916" s="120" t="inlineStr">
        <is>
          <t>Розділ 74 - Усього</t>
        </is>
      </c>
      <c r="E916" s="116" t="n"/>
      <c r="F916" s="120" t="n"/>
      <c r="G916" s="116" t="n"/>
      <c r="H916" s="116" t="n"/>
      <c r="I916" s="120" t="n"/>
      <c r="J916" s="121" t="n">
        <v>307610.33614</v>
      </c>
      <c r="K916" s="121" t="n">
        <v>307610.33614</v>
      </c>
      <c r="L916" s="121" t="n">
        <v>0</v>
      </c>
      <c r="M916" s="121" t="n">
        <v>7.33234</v>
      </c>
      <c r="N916" s="116" t="n"/>
      <c r="O916" s="121" t="n">
        <v>7.33234</v>
      </c>
      <c r="P916" s="121" t="n">
        <v>0</v>
      </c>
      <c r="Q916" s="121" t="n">
        <v>3028113.92939</v>
      </c>
      <c r="R916" s="121" t="n">
        <v>3028113.92939</v>
      </c>
      <c r="S916" s="122" t="n">
        <v>0</v>
      </c>
      <c r="T916" s="110" t="n"/>
    </row>
    <row r="917" ht="14.25" customHeight="1" s="52">
      <c r="A917" s="104" t="n">
        <v>910</v>
      </c>
      <c r="B917" s="119" t="n"/>
      <c r="C917" s="115" t="inlineStr">
        <is>
          <t>75</t>
        </is>
      </c>
      <c r="D917" s="115" t="inlineStr">
        <is>
          <t>750</t>
        </is>
      </c>
      <c r="E917" s="116" t="n"/>
      <c r="F917" s="115" t="inlineStr">
        <is>
          <t>7500</t>
        </is>
      </c>
      <c r="G917" s="116" t="n"/>
      <c r="H917" s="115" t="inlineStr">
        <is>
          <t>Комісійні витрати на розрахунково-касове обслуговування</t>
        </is>
      </c>
      <c r="I917" s="115" t="inlineStr">
        <is>
          <t>А</t>
        </is>
      </c>
      <c r="J917" s="117" t="n">
        <v>21855.78617</v>
      </c>
      <c r="K917" s="117" t="n">
        <v>21855.78617</v>
      </c>
      <c r="L917" s="117" t="n">
        <v>0</v>
      </c>
      <c r="M917" s="117" t="n">
        <v>340.85163</v>
      </c>
      <c r="N917" s="116" t="n"/>
      <c r="O917" s="117" t="n">
        <v>340.85163</v>
      </c>
      <c r="P917" s="117" t="n">
        <v>0</v>
      </c>
      <c r="Q917" s="117" t="n">
        <v>251398.97173</v>
      </c>
      <c r="R917" s="117" t="n">
        <v>251398.97173</v>
      </c>
      <c r="S917" s="118" t="n">
        <v>0</v>
      </c>
      <c r="T917" s="110" t="n"/>
    </row>
    <row r="918" ht="13.5" customHeight="1" s="52">
      <c r="A918" s="104" t="n">
        <v>911</v>
      </c>
      <c r="B918" s="119" t="n"/>
      <c r="C918" s="119" t="n"/>
      <c r="D918" s="119" t="n"/>
      <c r="F918" s="115" t="inlineStr">
        <is>
          <t>7501</t>
        </is>
      </c>
      <c r="G918" s="116" t="n"/>
      <c r="H918" s="115" t="inlineStr">
        <is>
          <t>Комісійні витрати на кредитне обслуговування</t>
        </is>
      </c>
      <c r="I918" s="115" t="inlineStr">
        <is>
          <t>А</t>
        </is>
      </c>
      <c r="J918" s="117" t="n">
        <v>0</v>
      </c>
      <c r="K918" s="117" t="n">
        <v>0</v>
      </c>
      <c r="L918" s="117" t="n">
        <v>0</v>
      </c>
      <c r="M918" s="117" t="n">
        <v>0</v>
      </c>
      <c r="N918" s="116" t="n"/>
      <c r="O918" s="117" t="n">
        <v>0</v>
      </c>
      <c r="P918" s="117" t="n">
        <v>0</v>
      </c>
      <c r="Q918" s="117" t="n">
        <v>0</v>
      </c>
      <c r="R918" s="117" t="n">
        <v>0</v>
      </c>
      <c r="S918" s="118" t="n">
        <v>0</v>
      </c>
      <c r="T918" s="110" t="n"/>
    </row>
    <row r="919" ht="13.5" customHeight="1" s="52">
      <c r="A919" s="104" t="n">
        <v>912</v>
      </c>
      <c r="B919" s="119" t="n"/>
      <c r="C919" s="119" t="n"/>
      <c r="D919" s="119" t="n"/>
      <c r="F919" s="115" t="inlineStr">
        <is>
          <t>7503</t>
        </is>
      </c>
      <c r="G919" s="116" t="n"/>
      <c r="H919" s="115" t="inlineStr">
        <is>
          <t>Комісійні витрати за операціями з цінними паперами</t>
        </is>
      </c>
      <c r="I919" s="115" t="inlineStr">
        <is>
          <t>А</t>
        </is>
      </c>
      <c r="J919" s="117" t="n">
        <v>1307.33518</v>
      </c>
      <c r="K919" s="117" t="n">
        <v>1307.33518</v>
      </c>
      <c r="L919" s="117" t="n">
        <v>0</v>
      </c>
      <c r="M919" s="117" t="n">
        <v>0</v>
      </c>
      <c r="N919" s="116" t="n"/>
      <c r="O919" s="117" t="n">
        <v>0</v>
      </c>
      <c r="P919" s="117" t="n">
        <v>0</v>
      </c>
      <c r="Q919" s="117" t="n">
        <v>12261.49989</v>
      </c>
      <c r="R919" s="117" t="n">
        <v>12261.49989</v>
      </c>
      <c r="S919" s="118" t="n">
        <v>0</v>
      </c>
      <c r="T919" s="110" t="n"/>
    </row>
    <row r="920" ht="13.5" customHeight="1" s="52">
      <c r="A920" s="104" t="n">
        <v>913</v>
      </c>
      <c r="B920" s="119" t="n"/>
      <c r="C920" s="119" t="n"/>
      <c r="D920" s="119" t="n"/>
      <c r="F920" s="115" t="inlineStr">
        <is>
          <t>7504</t>
        </is>
      </c>
      <c r="G920" s="116" t="n"/>
      <c r="H920" s="115" t="inlineStr">
        <is>
          <t>Комісійні витрати за операціями на валютному ринку та ринку банківських металів</t>
        </is>
      </c>
      <c r="I920" s="115" t="inlineStr">
        <is>
          <t>А</t>
        </is>
      </c>
      <c r="J920" s="117" t="n">
        <v>3339.22814</v>
      </c>
      <c r="K920" s="117" t="n">
        <v>3339.22814</v>
      </c>
      <c r="L920" s="117" t="n">
        <v>0</v>
      </c>
      <c r="M920" s="117" t="n">
        <v>19.0788</v>
      </c>
      <c r="N920" s="116" t="n"/>
      <c r="O920" s="117" t="n">
        <v>19.0788</v>
      </c>
      <c r="P920" s="117" t="n">
        <v>0</v>
      </c>
      <c r="Q920" s="117" t="n">
        <v>34851.6051</v>
      </c>
      <c r="R920" s="117" t="n">
        <v>34851.6051</v>
      </c>
      <c r="S920" s="118" t="n">
        <v>0</v>
      </c>
      <c r="T920" s="110" t="n"/>
    </row>
    <row r="921" ht="13.5" customHeight="1" s="52">
      <c r="A921" s="104" t="n">
        <v>914</v>
      </c>
      <c r="B921" s="119" t="n"/>
      <c r="C921" s="119" t="n"/>
      <c r="D921" s="119" t="n"/>
      <c r="F921" s="115" t="inlineStr">
        <is>
          <t>7508</t>
        </is>
      </c>
      <c r="G921" s="116" t="n"/>
      <c r="H921" s="115" t="inlineStr">
        <is>
          <t>Комісійні витрати за позабалансовими операціями</t>
        </is>
      </c>
      <c r="I921" s="115" t="inlineStr">
        <is>
          <t>А</t>
        </is>
      </c>
      <c r="J921" s="117" t="n">
        <v>28340.87849</v>
      </c>
      <c r="K921" s="117" t="n">
        <v>28340.87849</v>
      </c>
      <c r="L921" s="117" t="n">
        <v>0</v>
      </c>
      <c r="M921" s="117" t="n">
        <v>1.3752</v>
      </c>
      <c r="N921" s="116" t="n"/>
      <c r="O921" s="117" t="n">
        <v>1.3752</v>
      </c>
      <c r="P921" s="117" t="n">
        <v>0</v>
      </c>
      <c r="Q921" s="117" t="n">
        <v>228152.57183</v>
      </c>
      <c r="R921" s="117" t="n">
        <v>228152.57183</v>
      </c>
      <c r="S921" s="118" t="n">
        <v>0</v>
      </c>
      <c r="T921" s="110" t="n"/>
    </row>
    <row r="922" ht="14.25" customHeight="1" s="52">
      <c r="A922" s="104" t="n">
        <v>915</v>
      </c>
      <c r="B922" s="119" t="n"/>
      <c r="C922" s="119" t="n"/>
      <c r="D922" s="119" t="n"/>
      <c r="F922" s="115" t="inlineStr">
        <is>
          <t>7509</t>
        </is>
      </c>
      <c r="G922" s="116" t="n"/>
      <c r="H922" s="115" t="inlineStr">
        <is>
          <t>Інші комісійні витрати</t>
        </is>
      </c>
      <c r="I922" s="115" t="inlineStr">
        <is>
          <t>А</t>
        </is>
      </c>
      <c r="J922" s="117" t="n">
        <v>3092.50703</v>
      </c>
      <c r="K922" s="117" t="n">
        <v>3092.50703</v>
      </c>
      <c r="L922" s="117" t="n">
        <v>0</v>
      </c>
      <c r="M922" s="117" t="n">
        <v>0</v>
      </c>
      <c r="N922" s="116" t="n"/>
      <c r="O922" s="117" t="n">
        <v>0</v>
      </c>
      <c r="P922" s="117" t="n">
        <v>0</v>
      </c>
      <c r="Q922" s="117" t="n">
        <v>31217.39739</v>
      </c>
      <c r="R922" s="117" t="n">
        <v>31217.39739</v>
      </c>
      <c r="S922" s="118" t="n">
        <v>0</v>
      </c>
      <c r="T922" s="110" t="n"/>
    </row>
    <row r="923" ht="13.5" customHeight="1" s="52">
      <c r="A923" s="104" t="n">
        <v>916</v>
      </c>
      <c r="B923" s="119" t="n"/>
      <c r="C923" s="119" t="n"/>
      <c r="D923" s="119" t="n"/>
      <c r="F923" s="120" t="inlineStr">
        <is>
          <t>Група 750 - Усього</t>
        </is>
      </c>
      <c r="G923" s="116" t="n"/>
      <c r="H923" s="116" t="n"/>
      <c r="I923" s="120" t="n"/>
      <c r="J923" s="121" t="n">
        <v>57935.73501</v>
      </c>
      <c r="K923" s="121" t="n">
        <v>57935.73501</v>
      </c>
      <c r="L923" s="121" t="n">
        <v>0</v>
      </c>
      <c r="M923" s="121" t="n">
        <v>361.30563</v>
      </c>
      <c r="N923" s="116" t="n"/>
      <c r="O923" s="121" t="n">
        <v>361.30563</v>
      </c>
      <c r="P923" s="121" t="n">
        <v>0</v>
      </c>
      <c r="Q923" s="121" t="n">
        <v>557882.04594</v>
      </c>
      <c r="R923" s="121" t="n">
        <v>557882.04594</v>
      </c>
      <c r="S923" s="122" t="n">
        <v>0</v>
      </c>
      <c r="T923" s="110" t="n"/>
    </row>
    <row r="924" ht="13.5" customHeight="1" s="52">
      <c r="A924" s="104" t="n">
        <v>917</v>
      </c>
      <c r="B924" s="119" t="n"/>
      <c r="C924" s="119" t="n"/>
      <c r="D924" s="115" t="inlineStr">
        <is>
          <t>752</t>
        </is>
      </c>
      <c r="E924" s="116" t="n"/>
      <c r="F924" s="115" t="inlineStr">
        <is>
          <t>7520</t>
        </is>
      </c>
      <c r="G924" s="116" t="n"/>
      <c r="H924" s="115" t="inlineStr">
        <is>
          <t>Комісійні витрати за операціями з філіями банку</t>
        </is>
      </c>
      <c r="I924" s="115" t="inlineStr">
        <is>
          <t>А</t>
        </is>
      </c>
      <c r="J924" s="117" t="n">
        <v>0</v>
      </c>
      <c r="K924" s="117" t="n">
        <v>0</v>
      </c>
      <c r="L924" s="117" t="n">
        <v>0</v>
      </c>
      <c r="M924" s="117" t="n">
        <v>0</v>
      </c>
      <c r="N924" s="116" t="n"/>
      <c r="O924" s="117" t="n">
        <v>0</v>
      </c>
      <c r="P924" s="117" t="n">
        <v>0</v>
      </c>
      <c r="Q924" s="117" t="n">
        <v>0</v>
      </c>
      <c r="R924" s="117" t="n">
        <v>0</v>
      </c>
      <c r="S924" s="118" t="n">
        <v>0</v>
      </c>
      <c r="T924" s="110" t="n"/>
    </row>
    <row r="925" ht="13.5" customHeight="1" s="52">
      <c r="A925" s="104" t="n">
        <v>918</v>
      </c>
      <c r="B925" s="119" t="n"/>
      <c r="C925" s="119" t="n"/>
      <c r="D925" s="119" t="n"/>
      <c r="F925" s="120" t="inlineStr">
        <is>
          <t>Група 752 - Усього</t>
        </is>
      </c>
      <c r="G925" s="116" t="n"/>
      <c r="H925" s="116" t="n"/>
      <c r="I925" s="120" t="n"/>
      <c r="J925" s="121" t="n">
        <v>0</v>
      </c>
      <c r="K925" s="121" t="n">
        <v>0</v>
      </c>
      <c r="L925" s="121" t="n">
        <v>0</v>
      </c>
      <c r="M925" s="121" t="n">
        <v>0</v>
      </c>
      <c r="N925" s="116" t="n"/>
      <c r="O925" s="121" t="n">
        <v>0</v>
      </c>
      <c r="P925" s="121" t="n">
        <v>0</v>
      </c>
      <c r="Q925" s="121" t="n">
        <v>0</v>
      </c>
      <c r="R925" s="121" t="n">
        <v>0</v>
      </c>
      <c r="S925" s="122" t="n">
        <v>0</v>
      </c>
      <c r="T925" s="110" t="n"/>
    </row>
    <row r="926" ht="21" customHeight="1" s="52">
      <c r="A926" s="104" t="n">
        <v>919</v>
      </c>
      <c r="B926" s="119" t="n"/>
      <c r="C926" s="119" t="n"/>
      <c r="D926" s="120" t="inlineStr">
        <is>
          <t>Розділ 75 - Усього</t>
        </is>
      </c>
      <c r="E926" s="116" t="n"/>
      <c r="F926" s="120" t="n"/>
      <c r="G926" s="116" t="n"/>
      <c r="H926" s="116" t="n"/>
      <c r="I926" s="120" t="n"/>
      <c r="J926" s="121" t="n">
        <v>57935.73501</v>
      </c>
      <c r="K926" s="121" t="n">
        <v>57935.73501</v>
      </c>
      <c r="L926" s="121" t="n">
        <v>0</v>
      </c>
      <c r="M926" s="121" t="n">
        <v>361.30563</v>
      </c>
      <c r="N926" s="116" t="n"/>
      <c r="O926" s="121" t="n">
        <v>361.30563</v>
      </c>
      <c r="P926" s="121" t="n">
        <v>0</v>
      </c>
      <c r="Q926" s="121" t="n">
        <v>557882.04594</v>
      </c>
      <c r="R926" s="121" t="n">
        <v>557882.04594</v>
      </c>
      <c r="S926" s="122" t="n">
        <v>0</v>
      </c>
      <c r="T926" s="110" t="n"/>
    </row>
    <row r="927" ht="14.25" customHeight="1" s="52">
      <c r="A927" s="104" t="n">
        <v>920</v>
      </c>
      <c r="B927" s="119" t="n"/>
      <c r="C927" s="115" t="inlineStr">
        <is>
          <t>77</t>
        </is>
      </c>
      <c r="D927" s="115" t="inlineStr">
        <is>
          <t>770</t>
        </is>
      </c>
      <c r="E927" s="116" t="n"/>
      <c r="F927" s="115" t="inlineStr">
        <is>
          <t>7700</t>
        </is>
      </c>
      <c r="G927" s="116" t="n"/>
      <c r="H927" s="115" t="inlineStr">
        <is>
          <t>Відрахування в резерви під дебіторську заборгованість за операціями з банками</t>
        </is>
      </c>
      <c r="I927" s="115" t="inlineStr">
        <is>
          <t>А</t>
        </is>
      </c>
      <c r="J927" s="117" t="n">
        <v>1487.27205</v>
      </c>
      <c r="K927" s="117" t="n">
        <v>1487.27205</v>
      </c>
      <c r="L927" s="117" t="n">
        <v>0</v>
      </c>
      <c r="M927" s="117" t="n">
        <v>262.3</v>
      </c>
      <c r="N927" s="116" t="n"/>
      <c r="O927" s="117" t="n">
        <v>262.3</v>
      </c>
      <c r="P927" s="117" t="n">
        <v>0</v>
      </c>
      <c r="Q927" s="117" t="n">
        <v>1399.79059</v>
      </c>
      <c r="R927" s="117" t="n">
        <v>1399.79059</v>
      </c>
      <c r="S927" s="118" t="n">
        <v>0</v>
      </c>
      <c r="T927" s="110" t="n"/>
    </row>
    <row r="928" ht="13.5" customHeight="1" s="52">
      <c r="A928" s="104" t="n">
        <v>921</v>
      </c>
      <c r="B928" s="119" t="n"/>
      <c r="C928" s="119" t="n"/>
      <c r="D928" s="119" t="n"/>
      <c r="F928" s="119" t="n"/>
      <c r="H928" s="119" t="n"/>
      <c r="I928" s="115" t="inlineStr">
        <is>
          <t>П</t>
        </is>
      </c>
      <c r="J928" s="117" t="n">
        <v>0</v>
      </c>
      <c r="K928" s="117" t="n">
        <v>0</v>
      </c>
      <c r="L928" s="117" t="n">
        <v>0</v>
      </c>
      <c r="M928" s="117" t="n">
        <v>0</v>
      </c>
      <c r="N928" s="116" t="n"/>
      <c r="O928" s="117" t="n">
        <v>0</v>
      </c>
      <c r="P928" s="117" t="n">
        <v>0</v>
      </c>
      <c r="Q928" s="117" t="n">
        <v>0</v>
      </c>
      <c r="R928" s="117" t="n">
        <v>0</v>
      </c>
      <c r="S928" s="118" t="n">
        <v>0</v>
      </c>
      <c r="T928" s="110" t="n"/>
    </row>
    <row r="929" ht="13.5" customHeight="1" s="52">
      <c r="A929" s="104" t="n">
        <v>922</v>
      </c>
      <c r="B929" s="119" t="n"/>
      <c r="C929" s="119" t="n"/>
      <c r="D929" s="119" t="n"/>
      <c r="F929" s="115" t="inlineStr">
        <is>
          <t>7701</t>
        </is>
      </c>
      <c r="G929" s="116" t="n"/>
      <c r="H929" s="115" t="inlineStr">
        <is>
          <t>Відрахування в резерви під заборгованість інших банків</t>
        </is>
      </c>
      <c r="I929" s="115" t="inlineStr">
        <is>
          <t>А</t>
        </is>
      </c>
      <c r="J929" s="117" t="n">
        <v>16497.94763</v>
      </c>
      <c r="K929" s="117" t="n">
        <v>16497.94763</v>
      </c>
      <c r="L929" s="117" t="n">
        <v>0</v>
      </c>
      <c r="M929" s="117" t="n">
        <v>26143.24363</v>
      </c>
      <c r="N929" s="116" t="n"/>
      <c r="O929" s="117" t="n">
        <v>26143.24363</v>
      </c>
      <c r="P929" s="117" t="n">
        <v>0</v>
      </c>
      <c r="Q929" s="117" t="n">
        <v>18830.91516</v>
      </c>
      <c r="R929" s="117" t="n">
        <v>18830.91516</v>
      </c>
      <c r="S929" s="118" t="n">
        <v>0</v>
      </c>
      <c r="T929" s="110" t="n"/>
    </row>
    <row r="930" ht="13.5" customHeight="1" s="52">
      <c r="A930" s="104" t="n">
        <v>923</v>
      </c>
      <c r="B930" s="119" t="n"/>
      <c r="C930" s="119" t="n"/>
      <c r="D930" s="119" t="n"/>
      <c r="F930" s="119" t="n"/>
      <c r="H930" s="119" t="n"/>
      <c r="I930" s="115" t="inlineStr">
        <is>
          <t>П</t>
        </is>
      </c>
      <c r="J930" s="117" t="n">
        <v>0</v>
      </c>
      <c r="K930" s="117" t="n">
        <v>0</v>
      </c>
      <c r="L930" s="117" t="n">
        <v>0</v>
      </c>
      <c r="M930" s="117" t="n">
        <v>0</v>
      </c>
      <c r="N930" s="116" t="n"/>
      <c r="O930" s="117" t="n">
        <v>0</v>
      </c>
      <c r="P930" s="117" t="n">
        <v>0</v>
      </c>
      <c r="Q930" s="117" t="n">
        <v>0</v>
      </c>
      <c r="R930" s="117" t="n">
        <v>0</v>
      </c>
      <c r="S930" s="118" t="n">
        <v>0</v>
      </c>
      <c r="T930" s="110" t="n"/>
    </row>
    <row r="931" ht="13.5" customHeight="1" s="52">
      <c r="A931" s="104" t="n">
        <v>924</v>
      </c>
      <c r="B931" s="119" t="n"/>
      <c r="C931" s="119" t="n"/>
      <c r="D931" s="119" t="n"/>
      <c r="F931" s="115" t="inlineStr">
        <is>
          <t>7702</t>
        </is>
      </c>
      <c r="G931" s="116" t="n"/>
      <c r="H931" s="115" t="inlineStr">
        <is>
          <t>Відрахування в резерви під заборгованість за наданими кредитами клієнтам</t>
        </is>
      </c>
      <c r="I931" s="115" t="inlineStr">
        <is>
          <t>А</t>
        </is>
      </c>
      <c r="J931" s="117" t="n">
        <v>101316.55146</v>
      </c>
      <c r="K931" s="117" t="n">
        <v>101316.55146</v>
      </c>
      <c r="L931" s="117" t="n">
        <v>0</v>
      </c>
      <c r="M931" s="117" t="n">
        <v>560378.75462</v>
      </c>
      <c r="N931" s="116" t="n"/>
      <c r="O931" s="117" t="n">
        <v>560378.75462</v>
      </c>
      <c r="P931" s="117" t="n">
        <v>0</v>
      </c>
      <c r="Q931" s="117" t="n">
        <v>0</v>
      </c>
      <c r="R931" s="117" t="n">
        <v>0</v>
      </c>
      <c r="S931" s="118" t="n">
        <v>0</v>
      </c>
      <c r="T931" s="110" t="n"/>
    </row>
    <row r="932" ht="14.25" customHeight="1" s="52">
      <c r="A932" s="104" t="n">
        <v>925</v>
      </c>
      <c r="B932" s="119" t="n"/>
      <c r="C932" s="119" t="n"/>
      <c r="D932" s="119" t="n"/>
      <c r="F932" s="119" t="n"/>
      <c r="H932" s="119" t="n"/>
      <c r="I932" s="115" t="inlineStr">
        <is>
          <t>П</t>
        </is>
      </c>
      <c r="J932" s="117" t="n">
        <v>0</v>
      </c>
      <c r="K932" s="117" t="n">
        <v>0</v>
      </c>
      <c r="L932" s="117" t="n">
        <v>0</v>
      </c>
      <c r="M932" s="117" t="n">
        <v>0</v>
      </c>
      <c r="N932" s="116" t="n"/>
      <c r="O932" s="117" t="n">
        <v>0</v>
      </c>
      <c r="P932" s="117" t="n">
        <v>0</v>
      </c>
      <c r="Q932" s="117" t="n">
        <v>-797389.2154700001</v>
      </c>
      <c r="R932" s="117" t="n">
        <v>-797389.2154700001</v>
      </c>
      <c r="S932" s="118" t="n">
        <v>0</v>
      </c>
      <c r="T932" s="110" t="n"/>
    </row>
    <row r="933" ht="13.5" customHeight="1" s="52">
      <c r="A933" s="104" t="n">
        <v>926</v>
      </c>
      <c r="B933" s="119" t="n"/>
      <c r="C933" s="119" t="n"/>
      <c r="D933" s="119" t="n"/>
      <c r="F933" s="115" t="inlineStr">
        <is>
          <t>7703</t>
        </is>
      </c>
      <c r="G933" s="116" t="n"/>
      <c r="H933" s="115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33" s="115" t="inlineStr">
        <is>
          <t>А</t>
        </is>
      </c>
      <c r="J933" s="117" t="n">
        <v>5274.73071</v>
      </c>
      <c r="K933" s="117" t="n">
        <v>5274.73071</v>
      </c>
      <c r="L933" s="117" t="n">
        <v>0</v>
      </c>
      <c r="M933" s="117" t="n">
        <v>15901.21284</v>
      </c>
      <c r="N933" s="116" t="n"/>
      <c r="O933" s="117" t="n">
        <v>15901.21284</v>
      </c>
      <c r="P933" s="117" t="n">
        <v>0</v>
      </c>
      <c r="Q933" s="117" t="n">
        <v>0</v>
      </c>
      <c r="R933" s="117" t="n">
        <v>0</v>
      </c>
      <c r="S933" s="118" t="n">
        <v>0</v>
      </c>
      <c r="T933" s="110" t="n"/>
    </row>
    <row r="934" ht="13.5" customHeight="1" s="52">
      <c r="A934" s="104" t="n">
        <v>927</v>
      </c>
      <c r="B934" s="119" t="n"/>
      <c r="C934" s="119" t="n"/>
      <c r="D934" s="119" t="n"/>
      <c r="F934" s="119" t="n"/>
      <c r="H934" s="119" t="n"/>
      <c r="I934" s="115" t="inlineStr">
        <is>
          <t>П</t>
        </is>
      </c>
      <c r="J934" s="117" t="n">
        <v>0</v>
      </c>
      <c r="K934" s="117" t="n">
        <v>0</v>
      </c>
      <c r="L934" s="117" t="n">
        <v>0</v>
      </c>
      <c r="M934" s="117" t="n">
        <v>0</v>
      </c>
      <c r="N934" s="116" t="n"/>
      <c r="O934" s="117" t="n">
        <v>0</v>
      </c>
      <c r="P934" s="117" t="n">
        <v>0</v>
      </c>
      <c r="Q934" s="117" t="n">
        <v>-168225.82776</v>
      </c>
      <c r="R934" s="117" t="n">
        <v>-168225.82776</v>
      </c>
      <c r="S934" s="118" t="n">
        <v>0</v>
      </c>
      <c r="T934" s="110" t="n"/>
    </row>
    <row r="935" ht="13.5" customHeight="1" s="52">
      <c r="A935" s="104" t="n">
        <v>928</v>
      </c>
      <c r="B935" s="119" t="n"/>
      <c r="C935" s="119" t="n"/>
      <c r="D935" s="119" t="n"/>
      <c r="F935" s="115" t="inlineStr">
        <is>
          <t>7704</t>
        </is>
      </c>
      <c r="G935" s="116" t="n"/>
      <c r="H935" s="11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35" s="115" t="inlineStr">
        <is>
          <t>А</t>
        </is>
      </c>
      <c r="J935" s="117" t="n">
        <v>9070.733630000001</v>
      </c>
      <c r="K935" s="117" t="n">
        <v>9070.733630000001</v>
      </c>
      <c r="L935" s="117" t="n">
        <v>0</v>
      </c>
      <c r="M935" s="117" t="n">
        <v>18913.32162</v>
      </c>
      <c r="N935" s="116" t="n"/>
      <c r="O935" s="117" t="n">
        <v>18913.32162</v>
      </c>
      <c r="P935" s="117" t="n">
        <v>0</v>
      </c>
      <c r="Q935" s="117" t="n">
        <v>494440.2016</v>
      </c>
      <c r="R935" s="117" t="n">
        <v>494440.2016</v>
      </c>
      <c r="S935" s="118" t="n">
        <v>0</v>
      </c>
      <c r="T935" s="110" t="n"/>
    </row>
    <row r="936" ht="13.5" customHeight="1" s="52">
      <c r="A936" s="104" t="n">
        <v>929</v>
      </c>
      <c r="B936" s="119" t="n"/>
      <c r="C936" s="119" t="n"/>
      <c r="D936" s="119" t="n"/>
      <c r="F936" s="119" t="n"/>
      <c r="H936" s="119" t="n"/>
      <c r="I936" s="115" t="inlineStr">
        <is>
          <t>П</t>
        </is>
      </c>
      <c r="J936" s="117" t="n">
        <v>0</v>
      </c>
      <c r="K936" s="117" t="n">
        <v>0</v>
      </c>
      <c r="L936" s="117" t="n">
        <v>0</v>
      </c>
      <c r="M936" s="117" t="n">
        <v>0</v>
      </c>
      <c r="N936" s="116" t="n"/>
      <c r="O936" s="117" t="n">
        <v>0</v>
      </c>
      <c r="P936" s="117" t="n">
        <v>0</v>
      </c>
      <c r="Q936" s="117" t="n">
        <v>0</v>
      </c>
      <c r="R936" s="117" t="n">
        <v>0</v>
      </c>
      <c r="S936" s="118" t="n">
        <v>0</v>
      </c>
      <c r="T936" s="110" t="n"/>
    </row>
    <row r="937" ht="14.25" customHeight="1" s="52">
      <c r="A937" s="104" t="n">
        <v>930</v>
      </c>
      <c r="B937" s="119" t="n"/>
      <c r="C937" s="119" t="n"/>
      <c r="D937" s="119" t="n"/>
      <c r="F937" s="115" t="inlineStr">
        <is>
          <t>7705</t>
        </is>
      </c>
      <c r="G937" s="116" t="n"/>
      <c r="H937" s="115" t="inlineStr">
        <is>
          <t>Відрахування в резерви за нефінансовою дебіторською заборгованістю банку</t>
        </is>
      </c>
      <c r="I937" s="115" t="inlineStr">
        <is>
          <t>А</t>
        </is>
      </c>
      <c r="J937" s="117" t="n">
        <v>3021.54418</v>
      </c>
      <c r="K937" s="117" t="n">
        <v>3021.54418</v>
      </c>
      <c r="L937" s="117" t="n">
        <v>0</v>
      </c>
      <c r="M937" s="117" t="n">
        <v>6769.49394</v>
      </c>
      <c r="N937" s="116" t="n"/>
      <c r="O937" s="117" t="n">
        <v>6769.49394</v>
      </c>
      <c r="P937" s="117" t="n">
        <v>0</v>
      </c>
      <c r="Q937" s="117" t="n">
        <v>0</v>
      </c>
      <c r="R937" s="117" t="n">
        <v>0</v>
      </c>
      <c r="S937" s="118" t="n">
        <v>0</v>
      </c>
      <c r="T937" s="110" t="n"/>
    </row>
    <row r="938" ht="13.5" customHeight="1" s="52">
      <c r="A938" s="104" t="n">
        <v>931</v>
      </c>
      <c r="B938" s="119" t="n"/>
      <c r="C938" s="119" t="n"/>
      <c r="D938" s="119" t="n"/>
      <c r="F938" s="119" t="n"/>
      <c r="H938" s="119" t="n"/>
      <c r="I938" s="115" t="inlineStr">
        <is>
          <t>П</t>
        </is>
      </c>
      <c r="J938" s="117" t="n">
        <v>0</v>
      </c>
      <c r="K938" s="117" t="n">
        <v>0</v>
      </c>
      <c r="L938" s="117" t="n">
        <v>0</v>
      </c>
      <c r="M938" s="117" t="n">
        <v>0</v>
      </c>
      <c r="N938" s="116" t="n"/>
      <c r="O938" s="117" t="n">
        <v>0</v>
      </c>
      <c r="P938" s="117" t="n">
        <v>0</v>
      </c>
      <c r="Q938" s="117" t="n">
        <v>-1992.25294</v>
      </c>
      <c r="R938" s="117" t="n">
        <v>-1992.25294</v>
      </c>
      <c r="S938" s="118" t="n">
        <v>0</v>
      </c>
      <c r="T938" s="110" t="n"/>
    </row>
    <row r="939" ht="13.5" customHeight="1" s="52">
      <c r="A939" s="104" t="n">
        <v>932</v>
      </c>
      <c r="B939" s="119" t="n"/>
      <c r="C939" s="119" t="n"/>
      <c r="D939" s="119" t="n"/>
      <c r="F939" s="115" t="inlineStr">
        <is>
          <t>7706</t>
        </is>
      </c>
      <c r="G939" s="116" t="n"/>
      <c r="H939" s="115" t="inlineStr">
        <is>
          <t>Відрахування в банківські резерви на покриття ризиків і втрат</t>
        </is>
      </c>
      <c r="I939" s="115" t="inlineStr">
        <is>
          <t>А</t>
        </is>
      </c>
      <c r="J939" s="117" t="n">
        <v>31608.271</v>
      </c>
      <c r="K939" s="117" t="n">
        <v>31608.271</v>
      </c>
      <c r="L939" s="117" t="n">
        <v>0</v>
      </c>
      <c r="M939" s="117" t="n">
        <v>29238.7047</v>
      </c>
      <c r="N939" s="116" t="n"/>
      <c r="O939" s="117" t="n">
        <v>29238.7047</v>
      </c>
      <c r="P939" s="117" t="n">
        <v>0</v>
      </c>
      <c r="Q939" s="117" t="n">
        <v>70593.5756</v>
      </c>
      <c r="R939" s="117" t="n">
        <v>70593.5756</v>
      </c>
      <c r="S939" s="118" t="n">
        <v>0</v>
      </c>
      <c r="T939" s="110" t="n"/>
    </row>
    <row r="940" ht="13.5" customHeight="1" s="52">
      <c r="A940" s="104" t="n">
        <v>933</v>
      </c>
      <c r="B940" s="119" t="n"/>
      <c r="C940" s="119" t="n"/>
      <c r="D940" s="119" t="n"/>
      <c r="F940" s="119" t="n"/>
      <c r="H940" s="119" t="n"/>
      <c r="I940" s="115" t="inlineStr">
        <is>
          <t>П</t>
        </is>
      </c>
      <c r="J940" s="117" t="n">
        <v>0</v>
      </c>
      <c r="K940" s="117" t="n">
        <v>0</v>
      </c>
      <c r="L940" s="117" t="n">
        <v>0</v>
      </c>
      <c r="M940" s="117" t="n">
        <v>0</v>
      </c>
      <c r="N940" s="116" t="n"/>
      <c r="O940" s="117" t="n">
        <v>0</v>
      </c>
      <c r="P940" s="117" t="n">
        <v>0</v>
      </c>
      <c r="Q940" s="117" t="n">
        <v>0</v>
      </c>
      <c r="R940" s="117" t="n">
        <v>0</v>
      </c>
      <c r="S940" s="118" t="n">
        <v>0</v>
      </c>
      <c r="T940" s="110" t="n"/>
    </row>
    <row r="941" ht="13.5" customHeight="1" s="52">
      <c r="A941" s="104" t="n">
        <v>934</v>
      </c>
      <c r="B941" s="119" t="n"/>
      <c r="C941" s="119" t="n"/>
      <c r="D941" s="119" t="n"/>
      <c r="F941" s="115" t="inlineStr">
        <is>
          <t>7707</t>
        </is>
      </c>
      <c r="G941" s="116" t="n"/>
      <c r="H941" s="115" t="inlineStr">
        <is>
          <t>Відрахування в резерви за фінансовою дебіторською заборгованістю банку</t>
        </is>
      </c>
      <c r="I941" s="115" t="inlineStr">
        <is>
          <t>А</t>
        </is>
      </c>
      <c r="J941" s="117" t="n">
        <v>3599.9287</v>
      </c>
      <c r="K941" s="117" t="n">
        <v>3599.9287</v>
      </c>
      <c r="L941" s="117" t="n">
        <v>0</v>
      </c>
      <c r="M941" s="117" t="n">
        <v>1823.16849</v>
      </c>
      <c r="N941" s="116" t="n"/>
      <c r="O941" s="117" t="n">
        <v>1823.16849</v>
      </c>
      <c r="P941" s="117" t="n">
        <v>0</v>
      </c>
      <c r="Q941" s="117" t="n">
        <v>1330.79177</v>
      </c>
      <c r="R941" s="117" t="n">
        <v>1330.79177</v>
      </c>
      <c r="S941" s="118" t="n">
        <v>0</v>
      </c>
      <c r="T941" s="110" t="n"/>
    </row>
    <row r="942" ht="14.25" customHeight="1" s="52">
      <c r="A942" s="104" t="n">
        <v>935</v>
      </c>
      <c r="B942" s="119" t="n"/>
      <c r="C942" s="119" t="n"/>
      <c r="D942" s="119" t="n"/>
      <c r="F942" s="119" t="n"/>
      <c r="H942" s="119" t="n"/>
      <c r="I942" s="115" t="inlineStr">
        <is>
          <t>П</t>
        </is>
      </c>
      <c r="J942" s="117" t="n">
        <v>0</v>
      </c>
      <c r="K942" s="117" t="n">
        <v>0</v>
      </c>
      <c r="L942" s="117" t="n">
        <v>0</v>
      </c>
      <c r="M942" s="117" t="n">
        <v>0</v>
      </c>
      <c r="N942" s="116" t="n"/>
      <c r="O942" s="117" t="n">
        <v>0</v>
      </c>
      <c r="P942" s="117" t="n">
        <v>0</v>
      </c>
      <c r="Q942" s="117" t="n">
        <v>-226.4659</v>
      </c>
      <c r="R942" s="117" t="n">
        <v>-226.4659</v>
      </c>
      <c r="S942" s="118" t="n">
        <v>0</v>
      </c>
      <c r="T942" s="110" t="n"/>
    </row>
    <row r="943" ht="13.5" customHeight="1" s="52">
      <c r="A943" s="104" t="n">
        <v>936</v>
      </c>
      <c r="B943" s="119" t="n"/>
      <c r="C943" s="119" t="n"/>
      <c r="D943" s="119" t="n"/>
      <c r="F943" s="120" t="inlineStr">
        <is>
          <t>Група 770 - Усього</t>
        </is>
      </c>
      <c r="G943" s="116" t="n"/>
      <c r="H943" s="116" t="n"/>
      <c r="I943" s="120" t="n"/>
      <c r="J943" s="121" t="n">
        <v>171876.97936</v>
      </c>
      <c r="K943" s="121" t="n">
        <v>171876.97936</v>
      </c>
      <c r="L943" s="121" t="n">
        <v>0</v>
      </c>
      <c r="M943" s="121" t="n">
        <v>659430.19984</v>
      </c>
      <c r="N943" s="116" t="n"/>
      <c r="O943" s="121" t="n">
        <v>659430.19984</v>
      </c>
      <c r="P943" s="121" t="n">
        <v>0</v>
      </c>
      <c r="Q943" s="121" t="n">
        <v>-381238.48735</v>
      </c>
      <c r="R943" s="121" t="n">
        <v>-381238.48735</v>
      </c>
      <c r="S943" s="122" t="n">
        <v>0</v>
      </c>
      <c r="T943" s="110" t="n"/>
    </row>
    <row r="944" ht="17.25" customHeight="1" s="52">
      <c r="A944" s="104" t="n">
        <v>937</v>
      </c>
      <c r="B944" s="119" t="n"/>
      <c r="C944" s="119" t="n"/>
      <c r="D944" s="120" t="inlineStr">
        <is>
          <t>Розділ 77 - Усього</t>
        </is>
      </c>
      <c r="E944" s="116" t="n"/>
      <c r="F944" s="120" t="n"/>
      <c r="G944" s="116" t="n"/>
      <c r="H944" s="116" t="n"/>
      <c r="I944" s="120" t="n"/>
      <c r="J944" s="121" t="n">
        <v>171876.97936</v>
      </c>
      <c r="K944" s="121" t="n">
        <v>171876.97936</v>
      </c>
      <c r="L944" s="121" t="n">
        <v>0</v>
      </c>
      <c r="M944" s="121" t="n">
        <v>659430.19984</v>
      </c>
      <c r="N944" s="116" t="n"/>
      <c r="O944" s="121" t="n">
        <v>659430.19984</v>
      </c>
      <c r="P944" s="121" t="n">
        <v>0</v>
      </c>
      <c r="Q944" s="121" t="n">
        <v>-381238.48735</v>
      </c>
      <c r="R944" s="121" t="n">
        <v>-381238.48735</v>
      </c>
      <c r="S944" s="122" t="n">
        <v>0</v>
      </c>
      <c r="T944" s="110" t="n"/>
    </row>
    <row r="945" ht="13.5" customHeight="1" s="52">
      <c r="A945" s="104" t="n">
        <v>938</v>
      </c>
      <c r="B945" s="119" t="n"/>
      <c r="C945" s="115" t="inlineStr">
        <is>
          <t>79</t>
        </is>
      </c>
      <c r="D945" s="115" t="inlineStr">
        <is>
          <t>790</t>
        </is>
      </c>
      <c r="E945" s="116" t="n"/>
      <c r="F945" s="115" t="inlineStr">
        <is>
          <t>7900</t>
        </is>
      </c>
      <c r="G945" s="116" t="n"/>
      <c r="H945" s="115" t="inlineStr">
        <is>
          <t>Податок на прибуток</t>
        </is>
      </c>
      <c r="I945" s="115" t="inlineStr">
        <is>
          <t>А</t>
        </is>
      </c>
      <c r="J945" s="117" t="n">
        <v>0</v>
      </c>
      <c r="K945" s="117" t="n">
        <v>0</v>
      </c>
      <c r="L945" s="117" t="n">
        <v>0</v>
      </c>
      <c r="M945" s="117" t="n">
        <v>0</v>
      </c>
      <c r="N945" s="116" t="n"/>
      <c r="O945" s="117" t="n">
        <v>0</v>
      </c>
      <c r="P945" s="117" t="n">
        <v>0</v>
      </c>
      <c r="Q945" s="117" t="n">
        <v>82.985</v>
      </c>
      <c r="R945" s="117" t="n">
        <v>82.985</v>
      </c>
      <c r="S945" s="118" t="n">
        <v>0</v>
      </c>
      <c r="T945" s="110" t="n"/>
    </row>
    <row r="946" ht="13.5" customHeight="1" s="52">
      <c r="A946" s="104" t="n">
        <v>939</v>
      </c>
      <c r="B946" s="119" t="n"/>
      <c r="C946" s="119" t="n"/>
      <c r="D946" s="119" t="n"/>
      <c r="F946" s="119" t="n"/>
      <c r="H946" s="119" t="n"/>
      <c r="I946" s="115" t="inlineStr">
        <is>
          <t>П</t>
        </is>
      </c>
      <c r="J946" s="117" t="n">
        <v>0</v>
      </c>
      <c r="K946" s="117" t="n">
        <v>0</v>
      </c>
      <c r="L946" s="117" t="n">
        <v>0</v>
      </c>
      <c r="M946" s="117" t="n">
        <v>0</v>
      </c>
      <c r="N946" s="116" t="n"/>
      <c r="O946" s="117" t="n">
        <v>0</v>
      </c>
      <c r="P946" s="117" t="n">
        <v>0</v>
      </c>
      <c r="Q946" s="117" t="n">
        <v>0</v>
      </c>
      <c r="R946" s="117" t="n">
        <v>0</v>
      </c>
      <c r="S946" s="118" t="n">
        <v>0</v>
      </c>
      <c r="T946" s="110" t="n"/>
    </row>
    <row r="947" ht="14.25" customHeight="1" s="52">
      <c r="A947" s="104" t="n">
        <v>940</v>
      </c>
      <c r="B947" s="119" t="n"/>
      <c r="C947" s="119" t="n"/>
      <c r="D947" s="119" t="n"/>
      <c r="F947" s="120" t="inlineStr">
        <is>
          <t>Група 790 - Усього</t>
        </is>
      </c>
      <c r="G947" s="116" t="n"/>
      <c r="H947" s="116" t="n"/>
      <c r="I947" s="120" t="n"/>
      <c r="J947" s="121" t="n">
        <v>0</v>
      </c>
      <c r="K947" s="121" t="n">
        <v>0</v>
      </c>
      <c r="L947" s="121" t="n">
        <v>0</v>
      </c>
      <c r="M947" s="121" t="n">
        <v>0</v>
      </c>
      <c r="N947" s="116" t="n"/>
      <c r="O947" s="121" t="n">
        <v>0</v>
      </c>
      <c r="P947" s="121" t="n">
        <v>0</v>
      </c>
      <c r="Q947" s="121" t="n">
        <v>82.985</v>
      </c>
      <c r="R947" s="121" t="n">
        <v>82.985</v>
      </c>
      <c r="S947" s="122" t="n">
        <v>0</v>
      </c>
      <c r="T947" s="110" t="n"/>
    </row>
    <row r="948" ht="18.75" customHeight="1" s="52">
      <c r="A948" s="104" t="n">
        <v>941</v>
      </c>
      <c r="B948" s="119" t="n"/>
      <c r="C948" s="119" t="n"/>
      <c r="D948" s="120" t="inlineStr">
        <is>
          <t>Розділ 79 - Усього</t>
        </is>
      </c>
      <c r="E948" s="116" t="n"/>
      <c r="F948" s="120" t="n"/>
      <c r="G948" s="116" t="n"/>
      <c r="H948" s="116" t="n"/>
      <c r="I948" s="120" t="n"/>
      <c r="J948" s="121" t="n">
        <v>0</v>
      </c>
      <c r="K948" s="121" t="n">
        <v>0</v>
      </c>
      <c r="L948" s="121" t="n">
        <v>0</v>
      </c>
      <c r="M948" s="121" t="n">
        <v>0</v>
      </c>
      <c r="N948" s="116" t="n"/>
      <c r="O948" s="121" t="n">
        <v>0</v>
      </c>
      <c r="P948" s="121" t="n">
        <v>0</v>
      </c>
      <c r="Q948" s="121" t="n">
        <v>82.985</v>
      </c>
      <c r="R948" s="121" t="n">
        <v>82.985</v>
      </c>
      <c r="S948" s="122" t="n">
        <v>0</v>
      </c>
      <c r="T948" s="110" t="n"/>
    </row>
    <row r="949" ht="19.5" customHeight="1" s="52">
      <c r="A949" s="104" t="n">
        <v>942</v>
      </c>
      <c r="B949" s="119" t="n"/>
      <c r="C949" s="120" t="inlineStr">
        <is>
          <t xml:space="preserve">  Клас 7 - Усього</t>
        </is>
      </c>
      <c r="D949" s="120" t="n"/>
      <c r="E949" s="116" t="n"/>
      <c r="F949" s="120" t="n"/>
      <c r="G949" s="116" t="n"/>
      <c r="H949" s="116" t="n"/>
      <c r="I949" s="120" t="n"/>
      <c r="J949" s="121" t="n">
        <v>2026442.01099</v>
      </c>
      <c r="K949" s="121" t="n">
        <v>2026442.01099</v>
      </c>
      <c r="L949" s="121" t="n">
        <v>0</v>
      </c>
      <c r="M949" s="121" t="n">
        <v>666607.92024</v>
      </c>
      <c r="N949" s="116" t="n"/>
      <c r="O949" s="121" t="n">
        <v>666607.92024</v>
      </c>
      <c r="P949" s="121" t="n">
        <v>0</v>
      </c>
      <c r="Q949" s="121" t="n">
        <v>18852605.72467</v>
      </c>
      <c r="R949" s="121" t="n">
        <v>18852605.72467</v>
      </c>
      <c r="S949" s="122" t="n">
        <v>0</v>
      </c>
      <c r="T949" s="110" t="n"/>
    </row>
    <row r="950" ht="18" customHeight="1" s="52">
      <c r="A950" s="104" t="n">
        <v>943</v>
      </c>
      <c r="B950" s="123" t="inlineStr">
        <is>
          <t xml:space="preserve">  Витрати - Усього</t>
        </is>
      </c>
      <c r="C950" s="123" t="n"/>
      <c r="D950" s="123" t="n"/>
      <c r="E950" s="124" t="n"/>
      <c r="F950" s="123" t="n"/>
      <c r="G950" s="124" t="n"/>
      <c r="H950" s="124" t="n"/>
      <c r="I950" s="123" t="n"/>
      <c r="J950" s="125" t="n">
        <v>2026442.01099</v>
      </c>
      <c r="K950" s="125" t="n">
        <v>2026442.01099</v>
      </c>
      <c r="L950" s="125" t="n">
        <v>0</v>
      </c>
      <c r="M950" s="125" t="n">
        <v>666607.92024</v>
      </c>
      <c r="N950" s="124" t="n"/>
      <c r="O950" s="125" t="n">
        <v>666607.92024</v>
      </c>
      <c r="P950" s="125" t="n">
        <v>0</v>
      </c>
      <c r="Q950" s="125" t="n">
        <v>18852605.72467</v>
      </c>
      <c r="R950" s="125" t="n">
        <v>18852605.72467</v>
      </c>
      <c r="S950" s="126" t="n">
        <v>0</v>
      </c>
      <c r="T950" s="110" t="n"/>
    </row>
    <row r="951" ht="11.25" customHeight="1" s="52">
      <c r="A951" s="104" t="n">
        <v>944</v>
      </c>
      <c r="B951" s="136" t="inlineStr">
        <is>
          <t>Результат поточного року</t>
        </is>
      </c>
      <c r="C951" s="106" t="n"/>
      <c r="D951" s="106" t="n"/>
      <c r="E951" s="106" t="n"/>
      <c r="F951" s="106" t="n"/>
      <c r="G951" s="106" t="n"/>
      <c r="H951" s="106" t="n"/>
      <c r="I951" s="106" t="n"/>
      <c r="J951" s="132" t="n">
        <v>0</v>
      </c>
      <c r="K951" s="132" t="n">
        <v>0</v>
      </c>
      <c r="L951" s="132" t="n">
        <v>0</v>
      </c>
      <c r="M951" s="132" t="n">
        <v>0</v>
      </c>
      <c r="N951" s="124" t="n"/>
      <c r="O951" s="132" t="n">
        <v>0</v>
      </c>
      <c r="P951" s="132" t="n">
        <v>0</v>
      </c>
      <c r="Q951" s="132" t="n">
        <v>8453586.72724</v>
      </c>
      <c r="R951" s="132" t="n">
        <v>8453586.72724</v>
      </c>
      <c r="S951" s="133" t="n">
        <v>0</v>
      </c>
      <c r="T951" s="110" t="n"/>
    </row>
    <row r="952" ht="15" customHeight="1" s="52">
      <c r="A952" s="104" t="n">
        <v>945</v>
      </c>
      <c r="B952" s="105" t="inlineStr">
        <is>
          <t>Позабалансові рахунки</t>
        </is>
      </c>
      <c r="C952" s="106" t="n"/>
      <c r="D952" s="106" t="n"/>
      <c r="E952" s="106" t="n"/>
      <c r="F952" s="106" t="n"/>
      <c r="G952" s="106" t="n"/>
      <c r="H952" s="107" t="n"/>
      <c r="I952" s="108" t="n"/>
      <c r="J952" s="108" t="n"/>
      <c r="K952" s="108" t="n"/>
      <c r="L952" s="108" t="n"/>
      <c r="M952" s="109" t="n"/>
      <c r="N952" s="108" t="n"/>
      <c r="O952" s="108" t="n"/>
      <c r="P952" s="108" t="n"/>
      <c r="Q952" s="108" t="n"/>
      <c r="R952" s="108" t="n"/>
      <c r="S952" s="108" t="n"/>
      <c r="T952" s="110" t="n"/>
    </row>
    <row r="953" ht="15.75" customHeight="1" s="52">
      <c r="A953" s="104" t="n">
        <v>946</v>
      </c>
      <c r="B953" s="127" t="inlineStr">
        <is>
          <t>Клас 9</t>
        </is>
      </c>
      <c r="C953" s="106" t="n"/>
      <c r="D953" s="106" t="n"/>
      <c r="E953" s="106" t="n"/>
      <c r="F953" s="106" t="n"/>
      <c r="G953" s="106" t="n"/>
      <c r="H953" s="107" t="n"/>
      <c r="I953" s="111" t="n"/>
      <c r="J953" s="111" t="n"/>
      <c r="K953" s="111" t="n"/>
      <c r="L953" s="111" t="n"/>
      <c r="M953" s="112" t="n"/>
      <c r="N953" s="111" t="n"/>
      <c r="O953" s="111" t="n"/>
      <c r="P953" s="111" t="n"/>
      <c r="Q953" s="111" t="n"/>
      <c r="R953" s="111" t="n"/>
      <c r="S953" s="111" t="n"/>
      <c r="T953" s="110" t="n"/>
    </row>
    <row r="954" ht="15.75" customHeight="1" s="52">
      <c r="A954" s="104" t="n">
        <v>947</v>
      </c>
      <c r="B954" s="137" t="inlineStr">
        <is>
          <t>Активні</t>
        </is>
      </c>
      <c r="H954" s="114" t="n"/>
      <c r="I954" s="108" t="n"/>
      <c r="J954" s="108" t="n"/>
      <c r="K954" s="108" t="n"/>
      <c r="L954" s="108" t="n"/>
      <c r="M954" s="109" t="n"/>
      <c r="N954" s="108" t="n"/>
      <c r="O954" s="108" t="n"/>
      <c r="P954" s="108" t="n"/>
      <c r="Q954" s="108" t="n"/>
      <c r="R954" s="108" t="n"/>
      <c r="S954" s="108" t="n"/>
      <c r="T954" s="110" t="n"/>
    </row>
    <row r="955" ht="13.5" customHeight="1" s="52">
      <c r="A955" s="104" t="n">
        <v>948</v>
      </c>
      <c r="B955" s="115" t="inlineStr">
        <is>
          <t>Клас 9</t>
        </is>
      </c>
      <c r="C955" s="115" t="inlineStr">
        <is>
          <t>90</t>
        </is>
      </c>
      <c r="D955" s="115" t="inlineStr">
        <is>
          <t>900</t>
        </is>
      </c>
      <c r="E955" s="116" t="n"/>
      <c r="F955" s="115" t="inlineStr">
        <is>
          <t>9000</t>
        </is>
      </c>
      <c r="G955" s="116" t="n"/>
      <c r="H955" s="115" t="inlineStr">
        <is>
          <t>Надані гарантії</t>
        </is>
      </c>
      <c r="I955" s="115" t="inlineStr">
        <is>
          <t>А</t>
        </is>
      </c>
      <c r="J955" s="117" t="n">
        <v>831862.5310899999</v>
      </c>
      <c r="K955" s="117" t="n">
        <v>198599.51426</v>
      </c>
      <c r="L955" s="117" t="n">
        <v>633263.01683</v>
      </c>
      <c r="M955" s="117" t="n">
        <v>489968.10642</v>
      </c>
      <c r="N955" s="116" t="n"/>
      <c r="O955" s="117" t="n">
        <v>120644.8242</v>
      </c>
      <c r="P955" s="117" t="n">
        <v>369323.28222</v>
      </c>
      <c r="Q955" s="117" t="n">
        <v>11068180.45465</v>
      </c>
      <c r="R955" s="117" t="n">
        <v>1494381.62393</v>
      </c>
      <c r="S955" s="118" t="n">
        <v>9573798.83072</v>
      </c>
      <c r="T955" s="110" t="n"/>
    </row>
    <row r="956" ht="13.5" customHeight="1" s="52">
      <c r="A956" s="104" t="n">
        <v>949</v>
      </c>
      <c r="B956" s="119" t="n"/>
      <c r="C956" s="119" t="n"/>
      <c r="D956" s="119" t="n"/>
      <c r="F956" s="115" t="inlineStr">
        <is>
          <t>9001</t>
        </is>
      </c>
      <c r="G956" s="116" t="n"/>
      <c r="H956" s="115" t="inlineStr">
        <is>
          <t>Підтверджені акредитиви</t>
        </is>
      </c>
      <c r="I956" s="115" t="inlineStr">
        <is>
          <t>А</t>
        </is>
      </c>
      <c r="J956" s="117" t="n">
        <v>0</v>
      </c>
      <c r="K956" s="117" t="n">
        <v>0</v>
      </c>
      <c r="L956" s="117" t="n">
        <v>0</v>
      </c>
      <c r="M956" s="117" t="n">
        <v>0</v>
      </c>
      <c r="N956" s="116" t="n"/>
      <c r="O956" s="117" t="n">
        <v>0</v>
      </c>
      <c r="P956" s="117" t="n">
        <v>0</v>
      </c>
      <c r="Q956" s="117" t="n">
        <v>0</v>
      </c>
      <c r="R956" s="117" t="n">
        <v>0</v>
      </c>
      <c r="S956" s="118" t="n">
        <v>0</v>
      </c>
      <c r="T956" s="110" t="n"/>
    </row>
    <row r="957" ht="14.25" customHeight="1" s="52">
      <c r="A957" s="104" t="n">
        <v>950</v>
      </c>
      <c r="B957" s="119" t="n"/>
      <c r="C957" s="119" t="n"/>
      <c r="D957" s="119" t="n"/>
      <c r="F957" s="115" t="inlineStr">
        <is>
          <t>9003</t>
        </is>
      </c>
      <c r="G957" s="116" t="n"/>
      <c r="H957" s="115" t="inlineStr">
        <is>
          <t>Надані авалі</t>
        </is>
      </c>
      <c r="I957" s="115" t="inlineStr">
        <is>
          <t>А</t>
        </is>
      </c>
      <c r="J957" s="117" t="n">
        <v>138090.07001</v>
      </c>
      <c r="K957" s="117" t="n">
        <v>138090.07001</v>
      </c>
      <c r="L957" s="117" t="n">
        <v>0</v>
      </c>
      <c r="M957" s="117" t="n">
        <v>258261.64822</v>
      </c>
      <c r="N957" s="116" t="n"/>
      <c r="O957" s="117" t="n">
        <v>258261.64822</v>
      </c>
      <c r="P957" s="117" t="n">
        <v>0</v>
      </c>
      <c r="Q957" s="117" t="n">
        <v>212108.86601</v>
      </c>
      <c r="R957" s="117" t="n">
        <v>212108.86601</v>
      </c>
      <c r="S957" s="118" t="n">
        <v>0</v>
      </c>
      <c r="T957" s="110" t="n"/>
    </row>
    <row r="958" ht="13.5" customHeight="1" s="52">
      <c r="A958" s="104" t="n">
        <v>951</v>
      </c>
      <c r="B958" s="119" t="n"/>
      <c r="C958" s="119" t="n"/>
      <c r="D958" s="119" t="n"/>
      <c r="F958" s="120" t="inlineStr">
        <is>
          <t>Група 900 - Усього</t>
        </is>
      </c>
      <c r="G958" s="116" t="n"/>
      <c r="H958" s="116" t="n"/>
      <c r="I958" s="120" t="n"/>
      <c r="J958" s="121" t="n">
        <v>969952.6011</v>
      </c>
      <c r="K958" s="121" t="n">
        <v>336689.58427</v>
      </c>
      <c r="L958" s="121" t="n">
        <v>633263.01683</v>
      </c>
      <c r="M958" s="121" t="n">
        <v>748229.7546400001</v>
      </c>
      <c r="N958" s="116" t="n"/>
      <c r="O958" s="121" t="n">
        <v>378906.47242</v>
      </c>
      <c r="P958" s="121" t="n">
        <v>369323.28222</v>
      </c>
      <c r="Q958" s="121" t="n">
        <v>11280289.32066</v>
      </c>
      <c r="R958" s="121" t="n">
        <v>1706490.48994</v>
      </c>
      <c r="S958" s="122" t="n">
        <v>9573798.83072</v>
      </c>
      <c r="T958" s="110" t="n"/>
    </row>
    <row r="959" ht="18" customHeight="1" s="52">
      <c r="A959" s="104" t="n">
        <v>952</v>
      </c>
      <c r="B959" s="119" t="n"/>
      <c r="C959" s="119" t="n"/>
      <c r="D959" s="120" t="inlineStr">
        <is>
          <t>Розділ 90 - Усього</t>
        </is>
      </c>
      <c r="E959" s="116" t="n"/>
      <c r="F959" s="120" t="n"/>
      <c r="G959" s="116" t="n"/>
      <c r="H959" s="116" t="n"/>
      <c r="I959" s="120" t="n"/>
      <c r="J959" s="121" t="n">
        <v>969952.6011</v>
      </c>
      <c r="K959" s="121" t="n">
        <v>336689.58427</v>
      </c>
      <c r="L959" s="121" t="n">
        <v>633263.01683</v>
      </c>
      <c r="M959" s="121" t="n">
        <v>748229.7546400001</v>
      </c>
      <c r="N959" s="116" t="n"/>
      <c r="O959" s="121" t="n">
        <v>378906.47242</v>
      </c>
      <c r="P959" s="121" t="n">
        <v>369323.28222</v>
      </c>
      <c r="Q959" s="121" t="n">
        <v>11280289.32066</v>
      </c>
      <c r="R959" s="121" t="n">
        <v>1706490.48994</v>
      </c>
      <c r="S959" s="122" t="n">
        <v>9573798.83072</v>
      </c>
      <c r="T959" s="110" t="n"/>
    </row>
    <row r="960" ht="13.5" customHeight="1" s="52">
      <c r="A960" s="104" t="n">
        <v>953</v>
      </c>
      <c r="B960" s="119" t="n"/>
      <c r="C960" s="115" t="inlineStr">
        <is>
          <t>91</t>
        </is>
      </c>
      <c r="D960" s="115" t="inlineStr">
        <is>
          <t>910</t>
        </is>
      </c>
      <c r="E960" s="116" t="n"/>
      <c r="F960" s="115" t="inlineStr">
        <is>
          <t>9100</t>
        </is>
      </c>
      <c r="G960" s="116" t="n"/>
      <c r="H960" s="115" t="inlineStr">
        <is>
          <t>Зобов'язання з кредитування, що надані банкам</t>
        </is>
      </c>
      <c r="I960" s="115" t="inlineStr">
        <is>
          <t>А</t>
        </is>
      </c>
      <c r="J960" s="117" t="n">
        <v>0</v>
      </c>
      <c r="K960" s="117" t="n">
        <v>0</v>
      </c>
      <c r="L960" s="117" t="n">
        <v>0</v>
      </c>
      <c r="M960" s="117" t="n">
        <v>0</v>
      </c>
      <c r="N960" s="116" t="n"/>
      <c r="O960" s="117" t="n">
        <v>0</v>
      </c>
      <c r="P960" s="117" t="n">
        <v>0</v>
      </c>
      <c r="Q960" s="117" t="n">
        <v>0</v>
      </c>
      <c r="R960" s="117" t="n">
        <v>0</v>
      </c>
      <c r="S960" s="118" t="n">
        <v>0</v>
      </c>
      <c r="T960" s="110" t="n"/>
    </row>
    <row r="961" ht="13.5" customHeight="1" s="52">
      <c r="A961" s="104" t="n">
        <v>954</v>
      </c>
      <c r="B961" s="119" t="n"/>
      <c r="C961" s="119" t="n"/>
      <c r="D961" s="119" t="n"/>
      <c r="F961" s="120" t="inlineStr">
        <is>
          <t>Група 910 - Усього</t>
        </is>
      </c>
      <c r="G961" s="116" t="n"/>
      <c r="H961" s="116" t="n"/>
      <c r="I961" s="120" t="n"/>
      <c r="J961" s="121" t="n">
        <v>0</v>
      </c>
      <c r="K961" s="121" t="n">
        <v>0</v>
      </c>
      <c r="L961" s="121" t="n">
        <v>0</v>
      </c>
      <c r="M961" s="121" t="n">
        <v>0</v>
      </c>
      <c r="N961" s="116" t="n"/>
      <c r="O961" s="121" t="n">
        <v>0</v>
      </c>
      <c r="P961" s="121" t="n">
        <v>0</v>
      </c>
      <c r="Q961" s="121" t="n">
        <v>0</v>
      </c>
      <c r="R961" s="121" t="n">
        <v>0</v>
      </c>
      <c r="S961" s="122" t="n">
        <v>0</v>
      </c>
      <c r="T961" s="110" t="n"/>
    </row>
    <row r="962" ht="14.25" customHeight="1" s="52">
      <c r="A962" s="104" t="n">
        <v>955</v>
      </c>
      <c r="B962" s="119" t="n"/>
      <c r="C962" s="119" t="n"/>
      <c r="D962" s="115" t="inlineStr">
        <is>
          <t>912</t>
        </is>
      </c>
      <c r="E962" s="116" t="n"/>
      <c r="F962" s="115" t="inlineStr">
        <is>
          <t>9122</t>
        </is>
      </c>
      <c r="G962" s="116" t="n"/>
      <c r="H962" s="115" t="inlineStr">
        <is>
          <t>Непокриті акредитиви</t>
        </is>
      </c>
      <c r="I962" s="115" t="inlineStr">
        <is>
          <t>А</t>
        </is>
      </c>
      <c r="J962" s="117" t="n">
        <v>1383815.03255</v>
      </c>
      <c r="K962" s="117" t="n">
        <v>0</v>
      </c>
      <c r="L962" s="117" t="n">
        <v>1383815.03255</v>
      </c>
      <c r="M962" s="117" t="n">
        <v>1367766.90628</v>
      </c>
      <c r="N962" s="116" t="n"/>
      <c r="O962" s="117" t="n">
        <v>0</v>
      </c>
      <c r="P962" s="117" t="n">
        <v>1367766.90628</v>
      </c>
      <c r="Q962" s="117" t="n">
        <v>2441150.87725</v>
      </c>
      <c r="R962" s="117" t="n">
        <v>0</v>
      </c>
      <c r="S962" s="118" t="n">
        <v>2441150.87725</v>
      </c>
      <c r="T962" s="110" t="n"/>
    </row>
    <row r="963" ht="13.5" customHeight="1" s="52">
      <c r="A963" s="104" t="n">
        <v>956</v>
      </c>
      <c r="B963" s="119" t="n"/>
      <c r="C963" s="119" t="n"/>
      <c r="D963" s="119" t="n"/>
      <c r="F963" s="115" t="inlineStr">
        <is>
          <t>9129</t>
        </is>
      </c>
      <c r="G963" s="116" t="n"/>
      <c r="H963" s="115" t="inlineStr">
        <is>
          <t>Інші зобов'язання з кредитування, що надані клієнтам</t>
        </is>
      </c>
      <c r="I963" s="115" t="inlineStr">
        <is>
          <t>А</t>
        </is>
      </c>
      <c r="J963" s="117" t="n">
        <v>10458173.86085</v>
      </c>
      <c r="K963" s="117" t="n">
        <v>5923861.74535</v>
      </c>
      <c r="L963" s="117" t="n">
        <v>4534312.1155</v>
      </c>
      <c r="M963" s="117" t="n">
        <v>9084722.561550001</v>
      </c>
      <c r="N963" s="116" t="n"/>
      <c r="O963" s="117" t="n">
        <v>5441943.54501</v>
      </c>
      <c r="P963" s="117" t="n">
        <v>3642779.01654</v>
      </c>
      <c r="Q963" s="117" t="n">
        <v>15039835.90441</v>
      </c>
      <c r="R963" s="117" t="n">
        <v>8051701.64369</v>
      </c>
      <c r="S963" s="118" t="n">
        <v>6988134.26072</v>
      </c>
      <c r="T963" s="110" t="n"/>
    </row>
    <row r="964" ht="13.5" customHeight="1" s="52">
      <c r="A964" s="104" t="n">
        <v>957</v>
      </c>
      <c r="B964" s="119" t="n"/>
      <c r="C964" s="119" t="n"/>
      <c r="D964" s="119" t="n"/>
      <c r="F964" s="120" t="inlineStr">
        <is>
          <t>Група 912 - Усього</t>
        </is>
      </c>
      <c r="G964" s="116" t="n"/>
      <c r="H964" s="116" t="n"/>
      <c r="I964" s="120" t="n"/>
      <c r="J964" s="121" t="n">
        <v>11841988.8934</v>
      </c>
      <c r="K964" s="121" t="n">
        <v>5923861.74535</v>
      </c>
      <c r="L964" s="121" t="n">
        <v>5918127.14805</v>
      </c>
      <c r="M964" s="121" t="n">
        <v>10452489.46783</v>
      </c>
      <c r="N964" s="116" t="n"/>
      <c r="O964" s="121" t="n">
        <v>5441943.54501</v>
      </c>
      <c r="P964" s="121" t="n">
        <v>5010545.92282</v>
      </c>
      <c r="Q964" s="121" t="n">
        <v>17480986.78166</v>
      </c>
      <c r="R964" s="121" t="n">
        <v>8051701.64369</v>
      </c>
      <c r="S964" s="122" t="n">
        <v>9429285.137970001</v>
      </c>
      <c r="T964" s="110" t="n"/>
    </row>
    <row r="965" ht="21" customHeight="1" s="52">
      <c r="A965" s="104" t="n">
        <v>958</v>
      </c>
      <c r="B965" s="119" t="n"/>
      <c r="C965" s="119" t="n"/>
      <c r="D965" s="120" t="inlineStr">
        <is>
          <t>Розділ 91 - Усього</t>
        </is>
      </c>
      <c r="E965" s="116" t="n"/>
      <c r="F965" s="120" t="n"/>
      <c r="G965" s="116" t="n"/>
      <c r="H965" s="116" t="n"/>
      <c r="I965" s="120" t="n"/>
      <c r="J965" s="121" t="n">
        <v>11841988.8934</v>
      </c>
      <c r="K965" s="121" t="n">
        <v>5923861.74535</v>
      </c>
      <c r="L965" s="121" t="n">
        <v>5918127.14805</v>
      </c>
      <c r="M965" s="121" t="n">
        <v>10452489.46783</v>
      </c>
      <c r="N965" s="116" t="n"/>
      <c r="O965" s="121" t="n">
        <v>5441943.54501</v>
      </c>
      <c r="P965" s="121" t="n">
        <v>5010545.92282</v>
      </c>
      <c r="Q965" s="121" t="n">
        <v>17480986.78166</v>
      </c>
      <c r="R965" s="121" t="n">
        <v>8051701.64369</v>
      </c>
      <c r="S965" s="122" t="n">
        <v>9429285.137970001</v>
      </c>
      <c r="T965" s="110" t="n"/>
    </row>
    <row r="966" ht="13.5" customHeight="1" s="52">
      <c r="A966" s="104" t="n">
        <v>959</v>
      </c>
      <c r="B966" s="119" t="n"/>
      <c r="C966" s="115" t="inlineStr">
        <is>
          <t>92</t>
        </is>
      </c>
      <c r="D966" s="115" t="inlineStr">
        <is>
          <t>920</t>
        </is>
      </c>
      <c r="E966" s="116" t="n"/>
      <c r="F966" s="115" t="inlineStr">
        <is>
          <t>9200</t>
        </is>
      </c>
      <c r="G966" s="116" t="n"/>
      <c r="H966" s="115" t="inlineStr">
        <is>
          <t>Валюта та банківські метали до отримання за операціями спот</t>
        </is>
      </c>
      <c r="I966" s="115" t="inlineStr">
        <is>
          <t>А</t>
        </is>
      </c>
      <c r="J966" s="117" t="n">
        <v>52887182.64727</v>
      </c>
      <c r="K966" s="117" t="n">
        <v>5891572.7822</v>
      </c>
      <c r="L966" s="117" t="n">
        <v>46995609.86507</v>
      </c>
      <c r="M966" s="117" t="n">
        <v>42060287.819</v>
      </c>
      <c r="N966" s="116" t="n"/>
      <c r="O966" s="117" t="n">
        <v>5891572.7822</v>
      </c>
      <c r="P966" s="117" t="n">
        <v>36168715.0368</v>
      </c>
      <c r="Q966" s="117" t="n">
        <v>14167046.605</v>
      </c>
      <c r="R966" s="117" t="n">
        <v>0</v>
      </c>
      <c r="S966" s="118" t="n">
        <v>14167046.605</v>
      </c>
      <c r="T966" s="110" t="n"/>
    </row>
    <row r="967" ht="14.25" customHeight="1" s="52">
      <c r="A967" s="104" t="n">
        <v>960</v>
      </c>
      <c r="B967" s="119" t="n"/>
      <c r="C967" s="119" t="n"/>
      <c r="D967" s="119" t="n"/>
      <c r="F967" s="115" t="inlineStr">
        <is>
          <t>9202</t>
        </is>
      </c>
      <c r="G967" s="116" t="n"/>
      <c r="H967" s="115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67" s="115" t="inlineStr">
        <is>
          <t>А</t>
        </is>
      </c>
      <c r="J967" s="117" t="n">
        <v>0</v>
      </c>
      <c r="K967" s="117" t="n">
        <v>0</v>
      </c>
      <c r="L967" s="117" t="n">
        <v>0</v>
      </c>
      <c r="M967" s="117" t="n">
        <v>0</v>
      </c>
      <c r="N967" s="116" t="n"/>
      <c r="O967" s="117" t="n">
        <v>0</v>
      </c>
      <c r="P967" s="117" t="n">
        <v>0</v>
      </c>
      <c r="Q967" s="117" t="n">
        <v>0</v>
      </c>
      <c r="R967" s="117" t="n">
        <v>0</v>
      </c>
      <c r="S967" s="118" t="n">
        <v>0</v>
      </c>
      <c r="T967" s="110" t="n"/>
    </row>
    <row r="968" ht="13.5" customHeight="1" s="52">
      <c r="A968" s="104" t="n">
        <v>961</v>
      </c>
      <c r="B968" s="119" t="n"/>
      <c r="C968" s="119" t="n"/>
      <c r="D968" s="119" t="n"/>
      <c r="F968" s="115" t="inlineStr">
        <is>
          <t>9208</t>
        </is>
      </c>
      <c r="G968" s="116" t="n"/>
      <c r="H968" s="115" t="inlineStr">
        <is>
          <t>Вимоги щодо отримання валюти за валютними своп-контрактами</t>
        </is>
      </c>
      <c r="I968" s="115" t="inlineStr">
        <is>
          <t>А</t>
        </is>
      </c>
      <c r="J968" s="117" t="n">
        <v>28228174.04345</v>
      </c>
      <c r="K968" s="117" t="n">
        <v>14115350</v>
      </c>
      <c r="L968" s="117" t="n">
        <v>14112824.04345</v>
      </c>
      <c r="M968" s="117" t="n">
        <v>29220146.77231</v>
      </c>
      <c r="N968" s="116" t="n"/>
      <c r="O968" s="117" t="n">
        <v>14115350</v>
      </c>
      <c r="P968" s="117" t="n">
        <v>15104796.77231</v>
      </c>
      <c r="Q968" s="117" t="n">
        <v>799687.46792</v>
      </c>
      <c r="R968" s="117" t="n">
        <v>0</v>
      </c>
      <c r="S968" s="118" t="n">
        <v>799687.46792</v>
      </c>
      <c r="T968" s="110" t="n"/>
    </row>
    <row r="969" ht="13.5" customHeight="1" s="52">
      <c r="A969" s="104" t="n">
        <v>962</v>
      </c>
      <c r="B969" s="119" t="n"/>
      <c r="C969" s="119" t="n"/>
      <c r="D969" s="119" t="n"/>
      <c r="F969" s="120" t="inlineStr">
        <is>
          <t>Група 920 - Усього</t>
        </is>
      </c>
      <c r="G969" s="116" t="n"/>
      <c r="H969" s="116" t="n"/>
      <c r="I969" s="120" t="n"/>
      <c r="J969" s="121" t="n">
        <v>81115356.69072001</v>
      </c>
      <c r="K969" s="121" t="n">
        <v>20006922.7822</v>
      </c>
      <c r="L969" s="121" t="n">
        <v>61108433.90852</v>
      </c>
      <c r="M969" s="121" t="n">
        <v>71280434.59130999</v>
      </c>
      <c r="N969" s="116" t="n"/>
      <c r="O969" s="121" t="n">
        <v>20006922.7822</v>
      </c>
      <c r="P969" s="121" t="n">
        <v>51273511.80911</v>
      </c>
      <c r="Q969" s="121" t="n">
        <v>14966734.07292</v>
      </c>
      <c r="R969" s="121" t="n">
        <v>0</v>
      </c>
      <c r="S969" s="122" t="n">
        <v>14966734.07292</v>
      </c>
      <c r="T969" s="110" t="n"/>
    </row>
    <row r="970" ht="13.5" customHeight="1" s="52">
      <c r="A970" s="104" t="n">
        <v>963</v>
      </c>
      <c r="B970" s="119" t="n"/>
      <c r="C970" s="119" t="n"/>
      <c r="D970" s="115" t="inlineStr">
        <is>
          <t>922</t>
        </is>
      </c>
      <c r="E970" s="116" t="n"/>
      <c r="F970" s="115" t="inlineStr">
        <is>
          <t>9228</t>
        </is>
      </c>
      <c r="G970" s="116" t="n"/>
      <c r="H970" s="115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70" s="115" t="inlineStr">
        <is>
          <t>А</t>
        </is>
      </c>
      <c r="J970" s="117" t="n">
        <v>0</v>
      </c>
      <c r="K970" s="117" t="n">
        <v>0</v>
      </c>
      <c r="L970" s="117" t="n">
        <v>0</v>
      </c>
      <c r="M970" s="117" t="n">
        <v>0</v>
      </c>
      <c r="N970" s="116" t="n"/>
      <c r="O970" s="117" t="n">
        <v>0</v>
      </c>
      <c r="P970" s="117" t="n">
        <v>0</v>
      </c>
      <c r="Q970" s="117" t="n">
        <v>0</v>
      </c>
      <c r="R970" s="117" t="n">
        <v>0</v>
      </c>
      <c r="S970" s="118" t="n">
        <v>0</v>
      </c>
      <c r="T970" s="110" t="n"/>
    </row>
    <row r="971" ht="13.5" customHeight="1" s="52">
      <c r="A971" s="104" t="n">
        <v>964</v>
      </c>
      <c r="B971" s="119" t="n"/>
      <c r="C971" s="119" t="n"/>
      <c r="D971" s="119" t="n"/>
      <c r="F971" s="120" t="inlineStr">
        <is>
          <t>Група 922 - Усього</t>
        </is>
      </c>
      <c r="G971" s="116" t="n"/>
      <c r="H971" s="116" t="n"/>
      <c r="I971" s="120" t="n"/>
      <c r="J971" s="121" t="n">
        <v>0</v>
      </c>
      <c r="K971" s="121" t="n">
        <v>0</v>
      </c>
      <c r="L971" s="121" t="n">
        <v>0</v>
      </c>
      <c r="M971" s="121" t="n">
        <v>0</v>
      </c>
      <c r="N971" s="116" t="n"/>
      <c r="O971" s="121" t="n">
        <v>0</v>
      </c>
      <c r="P971" s="121" t="n">
        <v>0</v>
      </c>
      <c r="Q971" s="121" t="n">
        <v>0</v>
      </c>
      <c r="R971" s="121" t="n">
        <v>0</v>
      </c>
      <c r="S971" s="122" t="n">
        <v>0</v>
      </c>
      <c r="T971" s="110" t="n"/>
    </row>
    <row r="972" ht="20.25" customHeight="1" s="52">
      <c r="A972" s="104" t="n">
        <v>965</v>
      </c>
      <c r="B972" s="119" t="n"/>
      <c r="C972" s="119" t="n"/>
      <c r="D972" s="120" t="inlineStr">
        <is>
          <t>Розділ 92 - Усього</t>
        </is>
      </c>
      <c r="E972" s="116" t="n"/>
      <c r="F972" s="120" t="n"/>
      <c r="G972" s="116" t="n"/>
      <c r="H972" s="116" t="n"/>
      <c r="I972" s="120" t="n"/>
      <c r="J972" s="121" t="n">
        <v>81115356.69072001</v>
      </c>
      <c r="K972" s="121" t="n">
        <v>20006922.7822</v>
      </c>
      <c r="L972" s="121" t="n">
        <v>61108433.90852</v>
      </c>
      <c r="M972" s="121" t="n">
        <v>71280434.59130999</v>
      </c>
      <c r="N972" s="116" t="n"/>
      <c r="O972" s="121" t="n">
        <v>20006922.7822</v>
      </c>
      <c r="P972" s="121" t="n">
        <v>51273511.80911</v>
      </c>
      <c r="Q972" s="121" t="n">
        <v>14966734.07292</v>
      </c>
      <c r="R972" s="121" t="n">
        <v>0</v>
      </c>
      <c r="S972" s="122" t="n">
        <v>14966734.07292</v>
      </c>
      <c r="T972" s="110" t="n"/>
    </row>
    <row r="973" ht="13.5" customHeight="1" s="52">
      <c r="A973" s="104" t="n">
        <v>966</v>
      </c>
      <c r="B973" s="119" t="n"/>
      <c r="C973" s="115" t="inlineStr">
        <is>
          <t>93</t>
        </is>
      </c>
      <c r="D973" s="115" t="inlineStr">
        <is>
          <t>932</t>
        </is>
      </c>
      <c r="E973" s="116" t="n"/>
      <c r="F973" s="115" t="inlineStr">
        <is>
          <t>9328</t>
        </is>
      </c>
      <c r="G973" s="116" t="n"/>
      <c r="H973" s="115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73" s="115" t="inlineStr">
        <is>
          <t>А</t>
        </is>
      </c>
      <c r="J973" s="117" t="n">
        <v>7307.17813</v>
      </c>
      <c r="K973" s="117" t="n">
        <v>7307.17813</v>
      </c>
      <c r="L973" s="117" t="n">
        <v>0</v>
      </c>
      <c r="M973" s="117" t="n">
        <v>0</v>
      </c>
      <c r="N973" s="116" t="n"/>
      <c r="O973" s="117" t="n">
        <v>0</v>
      </c>
      <c r="P973" s="117" t="n">
        <v>0</v>
      </c>
      <c r="Q973" s="117" t="n">
        <v>578273.69865</v>
      </c>
      <c r="R973" s="117" t="n">
        <v>578273.69865</v>
      </c>
      <c r="S973" s="118" t="n">
        <v>0</v>
      </c>
      <c r="T973" s="110" t="n"/>
    </row>
    <row r="974" ht="13.5" customHeight="1" s="52">
      <c r="A974" s="104" t="n">
        <v>967</v>
      </c>
      <c r="B974" s="119" t="n"/>
      <c r="C974" s="119" t="n"/>
      <c r="D974" s="119" t="n"/>
      <c r="F974" s="120" t="inlineStr">
        <is>
          <t>Група 932 - Усього</t>
        </is>
      </c>
      <c r="G974" s="116" t="n"/>
      <c r="H974" s="116" t="n"/>
      <c r="I974" s="120" t="n"/>
      <c r="J974" s="121" t="n">
        <v>7307.17813</v>
      </c>
      <c r="K974" s="121" t="n">
        <v>7307.17813</v>
      </c>
      <c r="L974" s="121" t="n">
        <v>0</v>
      </c>
      <c r="M974" s="121" t="n">
        <v>0</v>
      </c>
      <c r="N974" s="116" t="n"/>
      <c r="O974" s="121" t="n">
        <v>0</v>
      </c>
      <c r="P974" s="121" t="n">
        <v>0</v>
      </c>
      <c r="Q974" s="121" t="n">
        <v>578273.69865</v>
      </c>
      <c r="R974" s="121" t="n">
        <v>578273.69865</v>
      </c>
      <c r="S974" s="122" t="n">
        <v>0</v>
      </c>
      <c r="T974" s="110" t="n"/>
    </row>
    <row r="975" ht="13.5" customHeight="1" s="52">
      <c r="A975" s="104" t="n">
        <v>968</v>
      </c>
      <c r="B975" s="119" t="n"/>
      <c r="C975" s="119" t="n"/>
      <c r="D975" s="115" t="inlineStr">
        <is>
          <t>935</t>
        </is>
      </c>
      <c r="E975" s="116" t="n"/>
      <c r="F975" s="115" t="inlineStr">
        <is>
          <t>9350</t>
        </is>
      </c>
      <c r="G975" s="116" t="n"/>
      <c r="H975" s="115" t="inlineStr">
        <is>
          <t>Активи до отримання та депозити до розміщення за спотовими контрактами</t>
        </is>
      </c>
      <c r="I975" s="115" t="inlineStr">
        <is>
          <t>А</t>
        </is>
      </c>
      <c r="J975" s="117" t="n">
        <v>10417157.87035</v>
      </c>
      <c r="K975" s="117" t="n">
        <v>694452.53251</v>
      </c>
      <c r="L975" s="117" t="n">
        <v>9722705.33784</v>
      </c>
      <c r="M975" s="117" t="n">
        <v>10417157.87035</v>
      </c>
      <c r="N975" s="116" t="n"/>
      <c r="O975" s="117" t="n">
        <v>694452.53251</v>
      </c>
      <c r="P975" s="117" t="n">
        <v>9722705.33784</v>
      </c>
      <c r="Q975" s="117" t="n">
        <v>0</v>
      </c>
      <c r="R975" s="117" t="n">
        <v>0</v>
      </c>
      <c r="S975" s="118" t="n">
        <v>0</v>
      </c>
      <c r="T975" s="110" t="n"/>
    </row>
    <row r="976" ht="13.5" customHeight="1" s="52">
      <c r="A976" s="104" t="n">
        <v>969</v>
      </c>
      <c r="B976" s="119" t="n"/>
      <c r="C976" s="119" t="n"/>
      <c r="D976" s="119" t="n"/>
      <c r="F976" s="115" t="inlineStr">
        <is>
          <t>9352</t>
        </is>
      </c>
      <c r="G976" s="116" t="n"/>
      <c r="H976" s="115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76" s="115" t="inlineStr">
        <is>
          <t>А</t>
        </is>
      </c>
      <c r="J976" s="117" t="n">
        <v>0</v>
      </c>
      <c r="K976" s="117" t="n">
        <v>0</v>
      </c>
      <c r="L976" s="117" t="n">
        <v>0</v>
      </c>
      <c r="M976" s="117" t="n">
        <v>0</v>
      </c>
      <c r="N976" s="116" t="n"/>
      <c r="O976" s="117" t="n">
        <v>0</v>
      </c>
      <c r="P976" s="117" t="n">
        <v>0</v>
      </c>
      <c r="Q976" s="117" t="n">
        <v>0</v>
      </c>
      <c r="R976" s="117" t="n">
        <v>0</v>
      </c>
      <c r="S976" s="118" t="n">
        <v>0</v>
      </c>
      <c r="T976" s="110" t="n"/>
    </row>
    <row r="977" ht="14.25" customHeight="1" s="52">
      <c r="A977" s="104" t="n">
        <v>970</v>
      </c>
      <c r="B977" s="119" t="n"/>
      <c r="C977" s="119" t="n"/>
      <c r="D977" s="119" t="n"/>
      <c r="F977" s="115" t="inlineStr">
        <is>
          <t>9358</t>
        </is>
      </c>
      <c r="G977" s="116" t="n"/>
      <c r="H977" s="115" t="inlineStr">
        <is>
          <t>Грошові потоки до отримання за процентними своп-контрактами</t>
        </is>
      </c>
      <c r="I977" s="115" t="inlineStr">
        <is>
          <t>А</t>
        </is>
      </c>
      <c r="J977" s="117" t="n">
        <v>0</v>
      </c>
      <c r="K977" s="117" t="n">
        <v>0</v>
      </c>
      <c r="L977" s="117" t="n">
        <v>0</v>
      </c>
      <c r="M977" s="117" t="n">
        <v>0</v>
      </c>
      <c r="N977" s="116" t="n"/>
      <c r="O977" s="117" t="n">
        <v>0</v>
      </c>
      <c r="P977" s="117" t="n">
        <v>0</v>
      </c>
      <c r="Q977" s="117" t="n">
        <v>0</v>
      </c>
      <c r="R977" s="117" t="n">
        <v>0</v>
      </c>
      <c r="S977" s="118" t="n">
        <v>0</v>
      </c>
      <c r="T977" s="110" t="n"/>
    </row>
    <row r="978" ht="13.5" customHeight="1" s="52">
      <c r="A978" s="104" t="n">
        <v>971</v>
      </c>
      <c r="B978" s="119" t="n"/>
      <c r="C978" s="119" t="n"/>
      <c r="D978" s="119" t="n"/>
      <c r="F978" s="120" t="inlineStr">
        <is>
          <t>Група 935 - Усього</t>
        </is>
      </c>
      <c r="G978" s="116" t="n"/>
      <c r="H978" s="116" t="n"/>
      <c r="I978" s="120" t="n"/>
      <c r="J978" s="121" t="n">
        <v>10417157.87035</v>
      </c>
      <c r="K978" s="121" t="n">
        <v>694452.53251</v>
      </c>
      <c r="L978" s="121" t="n">
        <v>9722705.33784</v>
      </c>
      <c r="M978" s="121" t="n">
        <v>10417157.87035</v>
      </c>
      <c r="N978" s="116" t="n"/>
      <c r="O978" s="121" t="n">
        <v>694452.53251</v>
      </c>
      <c r="P978" s="121" t="n">
        <v>9722705.33784</v>
      </c>
      <c r="Q978" s="121" t="n">
        <v>0</v>
      </c>
      <c r="R978" s="121" t="n">
        <v>0</v>
      </c>
      <c r="S978" s="122" t="n">
        <v>0</v>
      </c>
      <c r="T978" s="110" t="n"/>
    </row>
    <row r="979" ht="22.5" customHeight="1" s="52">
      <c r="A979" s="104" t="n">
        <v>972</v>
      </c>
      <c r="B979" s="119" t="n"/>
      <c r="C979" s="119" t="n"/>
      <c r="D979" s="120" t="inlineStr">
        <is>
          <t>Розділ 93 - Усього</t>
        </is>
      </c>
      <c r="E979" s="116" t="n"/>
      <c r="F979" s="120" t="n"/>
      <c r="G979" s="116" t="n"/>
      <c r="H979" s="116" t="n"/>
      <c r="I979" s="120" t="n"/>
      <c r="J979" s="121" t="n">
        <v>10424465.04848</v>
      </c>
      <c r="K979" s="121" t="n">
        <v>701759.7106399999</v>
      </c>
      <c r="L979" s="121" t="n">
        <v>9722705.33784</v>
      </c>
      <c r="M979" s="121" t="n">
        <v>10417157.87035</v>
      </c>
      <c r="N979" s="116" t="n"/>
      <c r="O979" s="121" t="n">
        <v>694452.53251</v>
      </c>
      <c r="P979" s="121" t="n">
        <v>9722705.33784</v>
      </c>
      <c r="Q979" s="121" t="n">
        <v>578273.69865</v>
      </c>
      <c r="R979" s="121" t="n">
        <v>578273.69865</v>
      </c>
      <c r="S979" s="122" t="n">
        <v>0</v>
      </c>
      <c r="T979" s="110" t="n"/>
    </row>
    <row r="980" ht="13.5" customHeight="1" s="52">
      <c r="A980" s="104" t="n">
        <v>973</v>
      </c>
      <c r="B980" s="119" t="n"/>
      <c r="C980" s="115" t="inlineStr">
        <is>
          <t>95</t>
        </is>
      </c>
      <c r="D980" s="115" t="inlineStr">
        <is>
          <t>950</t>
        </is>
      </c>
      <c r="E980" s="116" t="n"/>
      <c r="F980" s="115" t="inlineStr">
        <is>
          <t>9500</t>
        </is>
      </c>
      <c r="G980" s="116" t="n"/>
      <c r="H980" s="115" t="inlineStr">
        <is>
          <t>Отримана застава</t>
        </is>
      </c>
      <c r="I980" s="115" t="inlineStr">
        <is>
          <t>А</t>
        </is>
      </c>
      <c r="J980" s="117" t="n">
        <v>8062996.69435</v>
      </c>
      <c r="K980" s="117" t="n">
        <v>7550787.45483</v>
      </c>
      <c r="L980" s="117" t="n">
        <v>512209.23952</v>
      </c>
      <c r="M980" s="117" t="n">
        <v>4986376.75899</v>
      </c>
      <c r="N980" s="116" t="n"/>
      <c r="O980" s="117" t="n">
        <v>3840669.34368</v>
      </c>
      <c r="P980" s="117" t="n">
        <v>1145707.41531</v>
      </c>
      <c r="Q980" s="117" t="n">
        <v>146771648.66228</v>
      </c>
      <c r="R980" s="117" t="n">
        <v>137551759.87641</v>
      </c>
      <c r="S980" s="118" t="n">
        <v>9219888.785870001</v>
      </c>
      <c r="T980" s="110" t="n"/>
    </row>
    <row r="981" ht="13.5" customHeight="1" s="52">
      <c r="A981" s="104" t="n">
        <v>974</v>
      </c>
      <c r="B981" s="119" t="n"/>
      <c r="C981" s="119" t="n"/>
      <c r="D981" s="119" t="n"/>
      <c r="F981" s="115" t="inlineStr">
        <is>
          <t>9503</t>
        </is>
      </c>
      <c r="G981" s="116" t="n"/>
      <c r="H981" s="115" t="inlineStr">
        <is>
          <t>Застава за складськими свідоцтвами</t>
        </is>
      </c>
      <c r="I981" s="115" t="inlineStr">
        <is>
          <t>А</t>
        </is>
      </c>
      <c r="J981" s="117" t="n">
        <v>254008.77</v>
      </c>
      <c r="K981" s="117" t="n">
        <v>254008.77</v>
      </c>
      <c r="L981" s="117" t="n">
        <v>0</v>
      </c>
      <c r="M981" s="117" t="n">
        <v>152328.947</v>
      </c>
      <c r="N981" s="116" t="n"/>
      <c r="O981" s="117" t="n">
        <v>152328.947</v>
      </c>
      <c r="P981" s="117" t="n">
        <v>0</v>
      </c>
      <c r="Q981" s="117" t="n">
        <v>454021.646</v>
      </c>
      <c r="R981" s="117" t="n">
        <v>454021.646</v>
      </c>
      <c r="S981" s="118" t="n">
        <v>0</v>
      </c>
      <c r="T981" s="110" t="n"/>
    </row>
    <row r="982" ht="14.25" customHeight="1" s="52">
      <c r="A982" s="104" t="n">
        <v>975</v>
      </c>
      <c r="B982" s="119" t="n"/>
      <c r="C982" s="119" t="n"/>
      <c r="D982" s="119" t="n"/>
      <c r="F982" s="120" t="inlineStr">
        <is>
          <t>Група 950 - Усього</t>
        </is>
      </c>
      <c r="G982" s="116" t="n"/>
      <c r="H982" s="116" t="n"/>
      <c r="I982" s="120" t="n"/>
      <c r="J982" s="121" t="n">
        <v>8317005.46435</v>
      </c>
      <c r="K982" s="121" t="n">
        <v>7804796.22483</v>
      </c>
      <c r="L982" s="121" t="n">
        <v>512209.23952</v>
      </c>
      <c r="M982" s="121" t="n">
        <v>5138705.70599</v>
      </c>
      <c r="N982" s="116" t="n"/>
      <c r="O982" s="121" t="n">
        <v>3992998.29068</v>
      </c>
      <c r="P982" s="121" t="n">
        <v>1145707.41531</v>
      </c>
      <c r="Q982" s="121" t="n">
        <v>147225670.30828</v>
      </c>
      <c r="R982" s="121" t="n">
        <v>138005781.52241</v>
      </c>
      <c r="S982" s="122" t="n">
        <v>9219888.785870001</v>
      </c>
      <c r="T982" s="110" t="n"/>
    </row>
    <row r="983" ht="13.5" customHeight="1" s="52">
      <c r="A983" s="104" t="n">
        <v>976</v>
      </c>
      <c r="B983" s="119" t="n"/>
      <c r="C983" s="119" t="n"/>
      <c r="D983" s="115" t="inlineStr">
        <is>
          <t>952</t>
        </is>
      </c>
      <c r="E983" s="116" t="n"/>
      <c r="F983" s="115" t="inlineStr">
        <is>
          <t>9520</t>
        </is>
      </c>
      <c r="G983" s="116" t="n"/>
      <c r="H983" s="115" t="inlineStr">
        <is>
          <t>Земельні ділянки</t>
        </is>
      </c>
      <c r="I983" s="115" t="inlineStr">
        <is>
          <t>А</t>
        </is>
      </c>
      <c r="J983" s="117" t="n">
        <v>6876.74137</v>
      </c>
      <c r="K983" s="117" t="n">
        <v>6876.74137</v>
      </c>
      <c r="L983" s="117" t="n">
        <v>0</v>
      </c>
      <c r="M983" s="117" t="n">
        <v>21551.45413</v>
      </c>
      <c r="N983" s="116" t="n"/>
      <c r="O983" s="117" t="n">
        <v>21551.45413</v>
      </c>
      <c r="P983" s="117" t="n">
        <v>0</v>
      </c>
      <c r="Q983" s="117" t="n">
        <v>3542312.67316</v>
      </c>
      <c r="R983" s="117" t="n">
        <v>3542312.67316</v>
      </c>
      <c r="S983" s="118" t="n">
        <v>0</v>
      </c>
      <c r="T983" s="110" t="n"/>
    </row>
    <row r="984" ht="13.5" customHeight="1" s="52">
      <c r="A984" s="104" t="n">
        <v>977</v>
      </c>
      <c r="B984" s="119" t="n"/>
      <c r="C984" s="119" t="n"/>
      <c r="D984" s="119" t="n"/>
      <c r="F984" s="115" t="inlineStr">
        <is>
          <t>9521</t>
        </is>
      </c>
      <c r="G984" s="116" t="n"/>
      <c r="H984" s="115" t="inlineStr">
        <is>
          <t>Нерухоме майно житлового призначення</t>
        </is>
      </c>
      <c r="I984" s="115" t="inlineStr">
        <is>
          <t>А</t>
        </is>
      </c>
      <c r="J984" s="117" t="n">
        <v>17816.63</v>
      </c>
      <c r="K984" s="117" t="n">
        <v>17816.63</v>
      </c>
      <c r="L984" s="117" t="n">
        <v>0</v>
      </c>
      <c r="M984" s="117" t="n">
        <v>19431.518</v>
      </c>
      <c r="N984" s="116" t="n"/>
      <c r="O984" s="117" t="n">
        <v>19431.518</v>
      </c>
      <c r="P984" s="117" t="n">
        <v>0</v>
      </c>
      <c r="Q984" s="117" t="n">
        <v>2974474.71509</v>
      </c>
      <c r="R984" s="117" t="n">
        <v>2974474.71509</v>
      </c>
      <c r="S984" s="118" t="n">
        <v>0</v>
      </c>
      <c r="T984" s="110" t="n"/>
    </row>
    <row r="985" ht="13.5" customHeight="1" s="52">
      <c r="A985" s="104" t="n">
        <v>978</v>
      </c>
      <c r="B985" s="119" t="n"/>
      <c r="C985" s="119" t="n"/>
      <c r="D985" s="119" t="n"/>
      <c r="F985" s="115" t="inlineStr">
        <is>
          <t>9523</t>
        </is>
      </c>
      <c r="G985" s="116" t="n"/>
      <c r="H985" s="115" t="inlineStr">
        <is>
          <t>Інші об'єкти нерухомого майна</t>
        </is>
      </c>
      <c r="I985" s="115" t="inlineStr">
        <is>
          <t>А</t>
        </is>
      </c>
      <c r="J985" s="117" t="n">
        <v>822262.04816</v>
      </c>
      <c r="K985" s="117" t="n">
        <v>822262.04816</v>
      </c>
      <c r="L985" s="117" t="n">
        <v>0</v>
      </c>
      <c r="M985" s="117" t="n">
        <v>311945.12009</v>
      </c>
      <c r="N985" s="116" t="n"/>
      <c r="O985" s="117" t="n">
        <v>311945.12009</v>
      </c>
      <c r="P985" s="117" t="n">
        <v>0</v>
      </c>
      <c r="Q985" s="117" t="n">
        <v>42709684.052</v>
      </c>
      <c r="R985" s="117" t="n">
        <v>42709684.052</v>
      </c>
      <c r="S985" s="118" t="n">
        <v>0</v>
      </c>
      <c r="T985" s="110" t="n"/>
    </row>
    <row r="986" ht="13.5" customHeight="1" s="52">
      <c r="A986" s="104" t="n">
        <v>979</v>
      </c>
      <c r="B986" s="119" t="n"/>
      <c r="C986" s="119" t="n"/>
      <c r="D986" s="119" t="n"/>
      <c r="F986" s="120" t="inlineStr">
        <is>
          <t>Група 952 - Усього</t>
        </is>
      </c>
      <c r="G986" s="116" t="n"/>
      <c r="H986" s="116" t="n"/>
      <c r="I986" s="120" t="n"/>
      <c r="J986" s="121" t="n">
        <v>846955.41953</v>
      </c>
      <c r="K986" s="121" t="n">
        <v>846955.41953</v>
      </c>
      <c r="L986" s="121" t="n">
        <v>0</v>
      </c>
      <c r="M986" s="121" t="n">
        <v>352928.09222</v>
      </c>
      <c r="N986" s="116" t="n"/>
      <c r="O986" s="121" t="n">
        <v>352928.09222</v>
      </c>
      <c r="P986" s="121" t="n">
        <v>0</v>
      </c>
      <c r="Q986" s="121" t="n">
        <v>49226471.44025</v>
      </c>
      <c r="R986" s="121" t="n">
        <v>49226471.44025</v>
      </c>
      <c r="S986" s="122" t="n">
        <v>0</v>
      </c>
      <c r="T986" s="110" t="n"/>
    </row>
    <row r="987" ht="21.75" customHeight="1" s="52">
      <c r="A987" s="104" t="n">
        <v>980</v>
      </c>
      <c r="B987" s="119" t="n"/>
      <c r="C987" s="119" t="n"/>
      <c r="D987" s="120" t="inlineStr">
        <is>
          <t>Розділ 95 - Усього</t>
        </is>
      </c>
      <c r="E987" s="116" t="n"/>
      <c r="F987" s="120" t="n"/>
      <c r="G987" s="116" t="n"/>
      <c r="H987" s="116" t="n"/>
      <c r="I987" s="120" t="n"/>
      <c r="J987" s="121" t="n">
        <v>9163960.883880001</v>
      </c>
      <c r="K987" s="121" t="n">
        <v>8651751.64436</v>
      </c>
      <c r="L987" s="121" t="n">
        <v>512209.23952</v>
      </c>
      <c r="M987" s="121" t="n">
        <v>5491633.79821</v>
      </c>
      <c r="N987" s="116" t="n"/>
      <c r="O987" s="121" t="n">
        <v>4345926.3829</v>
      </c>
      <c r="P987" s="121" t="n">
        <v>1145707.41531</v>
      </c>
      <c r="Q987" s="121" t="n">
        <v>196452141.74853</v>
      </c>
      <c r="R987" s="121" t="n">
        <v>187232252.96266</v>
      </c>
      <c r="S987" s="122" t="n">
        <v>9219888.785870001</v>
      </c>
      <c r="T987" s="110" t="n"/>
    </row>
    <row r="988" ht="13.5" customHeight="1" s="52">
      <c r="A988" s="104" t="n">
        <v>981</v>
      </c>
      <c r="B988" s="119" t="n"/>
      <c r="C988" s="115" t="inlineStr">
        <is>
          <t>96</t>
        </is>
      </c>
      <c r="D988" s="115" t="inlineStr">
        <is>
          <t>960</t>
        </is>
      </c>
      <c r="E988" s="116" t="n"/>
      <c r="F988" s="115" t="inlineStr">
        <is>
          <t>9600</t>
        </is>
      </c>
      <c r="G988" s="116" t="n"/>
      <c r="H988" s="115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8" s="115" t="inlineStr">
        <is>
          <t>А</t>
        </is>
      </c>
      <c r="J988" s="117" t="n">
        <v>0</v>
      </c>
      <c r="K988" s="117" t="n">
        <v>0</v>
      </c>
      <c r="L988" s="117" t="n">
        <v>0</v>
      </c>
      <c r="M988" s="117" t="n">
        <v>0</v>
      </c>
      <c r="N988" s="116" t="n"/>
      <c r="O988" s="117" t="n">
        <v>0</v>
      </c>
      <c r="P988" s="117" t="n">
        <v>0</v>
      </c>
      <c r="Q988" s="117" t="n">
        <v>0</v>
      </c>
      <c r="R988" s="117" t="n">
        <v>0</v>
      </c>
      <c r="S988" s="118" t="n">
        <v>0</v>
      </c>
      <c r="T988" s="110" t="n"/>
    </row>
    <row r="989" ht="13.5" customHeight="1" s="52">
      <c r="A989" s="104" t="n">
        <v>982</v>
      </c>
      <c r="B989" s="119" t="n"/>
      <c r="C989" s="119" t="n"/>
      <c r="D989" s="119" t="n"/>
      <c r="F989" s="115" t="inlineStr">
        <is>
          <t>9601</t>
        </is>
      </c>
      <c r="G989" s="116" t="n"/>
      <c r="H989" s="115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9" s="115" t="inlineStr">
        <is>
          <t>А</t>
        </is>
      </c>
      <c r="J989" s="117" t="n">
        <v>0</v>
      </c>
      <c r="K989" s="117" t="n">
        <v>0</v>
      </c>
      <c r="L989" s="117" t="n">
        <v>0</v>
      </c>
      <c r="M989" s="117" t="n">
        <v>0</v>
      </c>
      <c r="N989" s="116" t="n"/>
      <c r="O989" s="117" t="n">
        <v>0</v>
      </c>
      <c r="P989" s="117" t="n">
        <v>0</v>
      </c>
      <c r="Q989" s="117" t="n">
        <v>7.24105</v>
      </c>
      <c r="R989" s="117" t="n">
        <v>7.24105</v>
      </c>
      <c r="S989" s="118" t="n">
        <v>0</v>
      </c>
      <c r="T989" s="110" t="n"/>
    </row>
    <row r="990" ht="13.5" customHeight="1" s="52">
      <c r="A990" s="104" t="n">
        <v>983</v>
      </c>
      <c r="B990" s="119" t="n"/>
      <c r="C990" s="119" t="n"/>
      <c r="D990" s="119" t="n"/>
      <c r="F990" s="120" t="inlineStr">
        <is>
          <t>Група 960 - Усього</t>
        </is>
      </c>
      <c r="G990" s="116" t="n"/>
      <c r="H990" s="116" t="n"/>
      <c r="I990" s="120" t="n"/>
      <c r="J990" s="121" t="n">
        <v>0</v>
      </c>
      <c r="K990" s="121" t="n">
        <v>0</v>
      </c>
      <c r="L990" s="121" t="n">
        <v>0</v>
      </c>
      <c r="M990" s="121" t="n">
        <v>0</v>
      </c>
      <c r="N990" s="116" t="n"/>
      <c r="O990" s="121" t="n">
        <v>0</v>
      </c>
      <c r="P990" s="121" t="n">
        <v>0</v>
      </c>
      <c r="Q990" s="121" t="n">
        <v>7.24105</v>
      </c>
      <c r="R990" s="121" t="n">
        <v>7.24105</v>
      </c>
      <c r="S990" s="122" t="n">
        <v>0</v>
      </c>
      <c r="T990" s="110" t="n"/>
    </row>
    <row r="991" ht="13.5" customHeight="1" s="52">
      <c r="A991" s="104" t="n">
        <v>984</v>
      </c>
      <c r="B991" s="119" t="n"/>
      <c r="C991" s="119" t="n"/>
      <c r="D991" s="115" t="inlineStr">
        <is>
          <t>961</t>
        </is>
      </c>
      <c r="E991" s="116" t="n"/>
      <c r="F991" s="115" t="inlineStr">
        <is>
          <t>9610</t>
        </is>
      </c>
      <c r="G991" s="116" t="n"/>
      <c r="H991" s="115" t="inlineStr">
        <is>
          <t>Списана у збиток заборгованість за коштами на кореспондентських рахунках</t>
        </is>
      </c>
      <c r="I991" s="115" t="inlineStr">
        <is>
          <t>А</t>
        </is>
      </c>
      <c r="J991" s="117" t="n">
        <v>0</v>
      </c>
      <c r="K991" s="117" t="n">
        <v>0</v>
      </c>
      <c r="L991" s="117" t="n">
        <v>0</v>
      </c>
      <c r="M991" s="117" t="n">
        <v>0</v>
      </c>
      <c r="N991" s="116" t="n"/>
      <c r="O991" s="117" t="n">
        <v>0</v>
      </c>
      <c r="P991" s="117" t="n">
        <v>0</v>
      </c>
      <c r="Q991" s="117" t="n">
        <v>0</v>
      </c>
      <c r="R991" s="117" t="n">
        <v>0</v>
      </c>
      <c r="S991" s="118" t="n">
        <v>0</v>
      </c>
      <c r="T991" s="110" t="n"/>
    </row>
    <row r="992" ht="14.25" customHeight="1" s="52">
      <c r="A992" s="104" t="n">
        <v>985</v>
      </c>
      <c r="B992" s="119" t="n"/>
      <c r="C992" s="119" t="n"/>
      <c r="D992" s="119" t="n"/>
      <c r="F992" s="115" t="inlineStr">
        <is>
          <t>9611</t>
        </is>
      </c>
      <c r="G992" s="116" t="n"/>
      <c r="H992" s="115" t="inlineStr">
        <is>
          <t>Списана у збиток заборгованість за кредитними операціями</t>
        </is>
      </c>
      <c r="I992" s="115" t="inlineStr">
        <is>
          <t>А</t>
        </is>
      </c>
      <c r="J992" s="117" t="n">
        <v>2069608.96926</v>
      </c>
      <c r="K992" s="117" t="n">
        <v>575403.36819</v>
      </c>
      <c r="L992" s="117" t="n">
        <v>1494205.60107</v>
      </c>
      <c r="M992" s="117" t="n">
        <v>3786389.02498</v>
      </c>
      <c r="N992" s="116" t="n"/>
      <c r="O992" s="117" t="n">
        <v>32366.63095</v>
      </c>
      <c r="P992" s="117" t="n">
        <v>3754022.39403</v>
      </c>
      <c r="Q992" s="117" t="n">
        <v>106466745.75482</v>
      </c>
      <c r="R992" s="117" t="n">
        <v>23055063.7516</v>
      </c>
      <c r="S992" s="118" t="n">
        <v>83411682.00322001</v>
      </c>
      <c r="T992" s="110" t="n"/>
    </row>
    <row r="993" ht="13.5" customHeight="1" s="52">
      <c r="A993" s="104" t="n">
        <v>986</v>
      </c>
      <c r="B993" s="119" t="n"/>
      <c r="C993" s="119" t="n"/>
      <c r="D993" s="119" t="n"/>
      <c r="F993" s="115" t="inlineStr">
        <is>
          <t>9613</t>
        </is>
      </c>
      <c r="G993" s="116" t="n"/>
      <c r="H993" s="115" t="inlineStr">
        <is>
          <t>Списана у збиток заборгованість за операціями з цінними паперами</t>
        </is>
      </c>
      <c r="I993" s="115" t="inlineStr">
        <is>
          <t>А</t>
        </is>
      </c>
      <c r="J993" s="117" t="n">
        <v>0</v>
      </c>
      <c r="K993" s="117" t="n">
        <v>0</v>
      </c>
      <c r="L993" s="117" t="n">
        <v>0</v>
      </c>
      <c r="M993" s="117" t="n">
        <v>0</v>
      </c>
      <c r="N993" s="116" t="n"/>
      <c r="O993" s="117" t="n">
        <v>0</v>
      </c>
      <c r="P993" s="117" t="n">
        <v>0</v>
      </c>
      <c r="Q993" s="117" t="n">
        <v>4218021.13088</v>
      </c>
      <c r="R993" s="117" t="n">
        <v>4218021.13088</v>
      </c>
      <c r="S993" s="118" t="n">
        <v>0</v>
      </c>
      <c r="T993" s="110" t="n"/>
    </row>
    <row r="994" ht="13.5" customHeight="1" s="52">
      <c r="A994" s="104" t="n">
        <v>987</v>
      </c>
      <c r="B994" s="119" t="n"/>
      <c r="C994" s="119" t="n"/>
      <c r="D994" s="119" t="n"/>
      <c r="F994" s="115" t="inlineStr">
        <is>
          <t>9615</t>
        </is>
      </c>
      <c r="G994" s="116" t="n"/>
      <c r="H994" s="115" t="inlineStr">
        <is>
          <t>Списана у збиток дебіторська заборгованість</t>
        </is>
      </c>
      <c r="I994" s="115" t="inlineStr">
        <is>
          <t>А</t>
        </is>
      </c>
      <c r="J994" s="117" t="n">
        <v>30.80615</v>
      </c>
      <c r="K994" s="117" t="n">
        <v>0</v>
      </c>
      <c r="L994" s="117" t="n">
        <v>30.80615</v>
      </c>
      <c r="M994" s="117" t="n">
        <v>27.51353</v>
      </c>
      <c r="N994" s="116" t="n"/>
      <c r="O994" s="117" t="n">
        <v>3.50686</v>
      </c>
      <c r="P994" s="117" t="n">
        <v>24.00667</v>
      </c>
      <c r="Q994" s="117" t="n">
        <v>109049.75274</v>
      </c>
      <c r="R994" s="117" t="n">
        <v>107670.96302</v>
      </c>
      <c r="S994" s="118" t="n">
        <v>1378.78972</v>
      </c>
      <c r="T994" s="110" t="n"/>
    </row>
    <row r="995" ht="13.5" customHeight="1" s="52">
      <c r="A995" s="104" t="n">
        <v>988</v>
      </c>
      <c r="B995" s="119" t="n"/>
      <c r="C995" s="119" t="n"/>
      <c r="D995" s="119" t="n"/>
      <c r="F995" s="115" t="inlineStr">
        <is>
          <t>9617</t>
        </is>
      </c>
      <c r="G995" s="116" t="n"/>
      <c r="H995" s="115" t="inlineStr">
        <is>
          <t>Списана у збиток заборгованість банків за іншими активами</t>
        </is>
      </c>
      <c r="I995" s="115" t="inlineStr">
        <is>
          <t>А</t>
        </is>
      </c>
      <c r="J995" s="117" t="n">
        <v>7.4036</v>
      </c>
      <c r="K995" s="117" t="n">
        <v>0</v>
      </c>
      <c r="L995" s="117" t="n">
        <v>7.4036</v>
      </c>
      <c r="M995" s="117" t="n">
        <v>4.9205</v>
      </c>
      <c r="N995" s="116" t="n"/>
      <c r="O995" s="117" t="n">
        <v>0</v>
      </c>
      <c r="P995" s="117" t="n">
        <v>4.9205</v>
      </c>
      <c r="Q995" s="117" t="n">
        <v>1143.66562</v>
      </c>
      <c r="R995" s="117" t="n">
        <v>673.2159</v>
      </c>
      <c r="S995" s="118" t="n">
        <v>470.44972</v>
      </c>
      <c r="T995" s="110" t="n"/>
    </row>
    <row r="996" ht="13.5" customHeight="1" s="52">
      <c r="A996" s="104" t="n">
        <v>989</v>
      </c>
      <c r="B996" s="119" t="n"/>
      <c r="C996" s="119" t="n"/>
      <c r="D996" s="119" t="n"/>
      <c r="F996" s="115" t="inlineStr">
        <is>
          <t>9618</t>
        </is>
      </c>
      <c r="G996" s="116" t="n"/>
      <c r="H996" s="115" t="inlineStr">
        <is>
          <t>Списана у збиток заборгованість клієнтів за іншими активами</t>
        </is>
      </c>
      <c r="I996" s="115" t="inlineStr">
        <is>
          <t>А</t>
        </is>
      </c>
      <c r="J996" s="117" t="n">
        <v>4.225</v>
      </c>
      <c r="K996" s="117" t="n">
        <v>0</v>
      </c>
      <c r="L996" s="117" t="n">
        <v>4.225</v>
      </c>
      <c r="M996" s="117" t="n">
        <v>5.38</v>
      </c>
      <c r="N996" s="116" t="n"/>
      <c r="O996" s="117" t="n">
        <v>0</v>
      </c>
      <c r="P996" s="117" t="n">
        <v>5.38</v>
      </c>
      <c r="Q996" s="117" t="n">
        <v>235.96242</v>
      </c>
      <c r="R996" s="117" t="n">
        <v>101.05242</v>
      </c>
      <c r="S996" s="118" t="n">
        <v>134.91</v>
      </c>
      <c r="T996" s="110" t="n"/>
    </row>
    <row r="997" ht="14.25" customHeight="1" s="52">
      <c r="A997" s="104" t="n">
        <v>990</v>
      </c>
      <c r="B997" s="119" t="n"/>
      <c r="C997" s="119" t="n"/>
      <c r="D997" s="119" t="n"/>
      <c r="F997" s="120" t="inlineStr">
        <is>
          <t>Група 961 - Усього</t>
        </is>
      </c>
      <c r="G997" s="116" t="n"/>
      <c r="H997" s="116" t="n"/>
      <c r="I997" s="120" t="n"/>
      <c r="J997" s="121" t="n">
        <v>2069651.40401</v>
      </c>
      <c r="K997" s="121" t="n">
        <v>575403.36819</v>
      </c>
      <c r="L997" s="121" t="n">
        <v>1494248.03582</v>
      </c>
      <c r="M997" s="121" t="n">
        <v>3786426.83901</v>
      </c>
      <c r="N997" s="116" t="n"/>
      <c r="O997" s="121" t="n">
        <v>32370.13781</v>
      </c>
      <c r="P997" s="121" t="n">
        <v>3754056.7012</v>
      </c>
      <c r="Q997" s="121" t="n">
        <v>110795196.26648</v>
      </c>
      <c r="R997" s="121" t="n">
        <v>27381530.11382</v>
      </c>
      <c r="S997" s="122" t="n">
        <v>83413666.15266</v>
      </c>
      <c r="T997" s="110" t="n"/>
    </row>
    <row r="998" ht="13.5" customHeight="1" s="52">
      <c r="A998" s="104" t="n">
        <v>991</v>
      </c>
      <c r="B998" s="119" t="n"/>
      <c r="C998" s="119" t="n"/>
      <c r="D998" s="115" t="inlineStr">
        <is>
          <t>962</t>
        </is>
      </c>
      <c r="E998" s="116" t="n"/>
      <c r="F998" s="115" t="inlineStr">
        <is>
          <t>9620</t>
        </is>
      </c>
      <c r="G998" s="116" t="n"/>
      <c r="H998" s="115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8" s="115" t="inlineStr">
        <is>
          <t>А</t>
        </is>
      </c>
      <c r="J998" s="117" t="n">
        <v>0</v>
      </c>
      <c r="K998" s="117" t="n">
        <v>0</v>
      </c>
      <c r="L998" s="117" t="n">
        <v>0</v>
      </c>
      <c r="M998" s="117" t="n">
        <v>0</v>
      </c>
      <c r="N998" s="116" t="n"/>
      <c r="O998" s="117" t="n">
        <v>0</v>
      </c>
      <c r="P998" s="117" t="n">
        <v>0</v>
      </c>
      <c r="Q998" s="117" t="n">
        <v>0</v>
      </c>
      <c r="R998" s="117" t="n">
        <v>0</v>
      </c>
      <c r="S998" s="118" t="n">
        <v>0</v>
      </c>
      <c r="T998" s="110" t="n"/>
    </row>
    <row r="999" ht="13.5" customHeight="1" s="52">
      <c r="A999" s="104" t="n">
        <v>992</v>
      </c>
      <c r="B999" s="119" t="n"/>
      <c r="C999" s="119" t="n"/>
      <c r="D999" s="119" t="n"/>
      <c r="F999" s="115" t="inlineStr">
        <is>
          <t>9621</t>
        </is>
      </c>
      <c r="G999" s="116" t="n"/>
      <c r="H999" s="115" t="inlineStr">
        <is>
          <t>Валютні кошти фізичних осіб, які обліковуються на рахунках у Зовнішнекономбанку Росії</t>
        </is>
      </c>
      <c r="I999" s="115" t="inlineStr">
        <is>
          <t>А</t>
        </is>
      </c>
      <c r="J999" s="117" t="n">
        <v>0</v>
      </c>
      <c r="K999" s="117" t="n">
        <v>0</v>
      </c>
      <c r="L999" s="117" t="n">
        <v>0</v>
      </c>
      <c r="M999" s="117" t="n">
        <v>0</v>
      </c>
      <c r="N999" s="116" t="n"/>
      <c r="O999" s="117" t="n">
        <v>0</v>
      </c>
      <c r="P999" s="117" t="n">
        <v>0</v>
      </c>
      <c r="Q999" s="117" t="n">
        <v>1099.09743</v>
      </c>
      <c r="R999" s="117" t="n">
        <v>1099.09743</v>
      </c>
      <c r="S999" s="118" t="n">
        <v>0</v>
      </c>
      <c r="T999" s="110" t="n"/>
    </row>
    <row r="1000" ht="13.5" customHeight="1" s="52">
      <c r="A1000" s="104" t="n">
        <v>993</v>
      </c>
      <c r="B1000" s="119" t="n"/>
      <c r="C1000" s="119" t="n"/>
      <c r="D1000" s="119" t="n"/>
      <c r="F1000" s="120" t="inlineStr">
        <is>
          <t>Група 962 - Усього</t>
        </is>
      </c>
      <c r="G1000" s="116" t="n"/>
      <c r="H1000" s="116" t="n"/>
      <c r="I1000" s="120" t="n"/>
      <c r="J1000" s="121" t="n">
        <v>0</v>
      </c>
      <c r="K1000" s="121" t="n">
        <v>0</v>
      </c>
      <c r="L1000" s="121" t="n">
        <v>0</v>
      </c>
      <c r="M1000" s="121" t="n">
        <v>0</v>
      </c>
      <c r="N1000" s="116" t="n"/>
      <c r="O1000" s="121" t="n">
        <v>0</v>
      </c>
      <c r="P1000" s="121" t="n">
        <v>0</v>
      </c>
      <c r="Q1000" s="121" t="n">
        <v>1099.09743</v>
      </c>
      <c r="R1000" s="121" t="n">
        <v>1099.09743</v>
      </c>
      <c r="S1000" s="122" t="n">
        <v>0</v>
      </c>
      <c r="T1000" s="110" t="n"/>
    </row>
    <row r="1001" ht="20.25" customHeight="1" s="52">
      <c r="A1001" s="104" t="n">
        <v>994</v>
      </c>
      <c r="B1001" s="119" t="n"/>
      <c r="C1001" s="119" t="n"/>
      <c r="D1001" s="120" t="inlineStr">
        <is>
          <t>Розділ 96 - Усього</t>
        </is>
      </c>
      <c r="E1001" s="116" t="n"/>
      <c r="F1001" s="120" t="n"/>
      <c r="G1001" s="116" t="n"/>
      <c r="H1001" s="116" t="n"/>
      <c r="I1001" s="120" t="n"/>
      <c r="J1001" s="121" t="n">
        <v>2069651.40401</v>
      </c>
      <c r="K1001" s="121" t="n">
        <v>575403.36819</v>
      </c>
      <c r="L1001" s="121" t="n">
        <v>1494248.03582</v>
      </c>
      <c r="M1001" s="121" t="n">
        <v>3786426.83901</v>
      </c>
      <c r="N1001" s="116" t="n"/>
      <c r="O1001" s="121" t="n">
        <v>32370.13781</v>
      </c>
      <c r="P1001" s="121" t="n">
        <v>3754056.7012</v>
      </c>
      <c r="Q1001" s="121" t="n">
        <v>110796302.60496</v>
      </c>
      <c r="R1001" s="121" t="n">
        <v>27382636.4523</v>
      </c>
      <c r="S1001" s="122" t="n">
        <v>83413666.15266</v>
      </c>
      <c r="T1001" s="110" t="n"/>
    </row>
    <row r="1002" ht="14.25" customHeight="1" s="52">
      <c r="A1002" s="104" t="n">
        <v>995</v>
      </c>
      <c r="B1002" s="119" t="n"/>
      <c r="C1002" s="115" t="inlineStr">
        <is>
          <t>97</t>
        </is>
      </c>
      <c r="D1002" s="115" t="inlineStr">
        <is>
          <t>970</t>
        </is>
      </c>
      <c r="E1002" s="116" t="n"/>
      <c r="F1002" s="115" t="inlineStr">
        <is>
          <t>9702</t>
        </is>
      </c>
      <c r="G1002" s="116" t="n"/>
      <c r="H1002" s="115" t="inlineStr">
        <is>
          <t>Цінні папери на зберіганні</t>
        </is>
      </c>
      <c r="I1002" s="115" t="inlineStr">
        <is>
          <t>А</t>
        </is>
      </c>
      <c r="J1002" s="117" t="n">
        <v>0</v>
      </c>
      <c r="K1002" s="117" t="n">
        <v>0</v>
      </c>
      <c r="L1002" s="117" t="n">
        <v>0</v>
      </c>
      <c r="M1002" s="117" t="n">
        <v>0</v>
      </c>
      <c r="N1002" s="116" t="n"/>
      <c r="O1002" s="117" t="n">
        <v>0</v>
      </c>
      <c r="P1002" s="117" t="n">
        <v>0</v>
      </c>
      <c r="Q1002" s="117" t="n">
        <v>0</v>
      </c>
      <c r="R1002" s="117" t="n">
        <v>0</v>
      </c>
      <c r="S1002" s="118" t="n">
        <v>0</v>
      </c>
      <c r="T1002" s="110" t="n"/>
    </row>
    <row r="1003" ht="13.5" customHeight="1" s="52">
      <c r="A1003" s="104" t="n">
        <v>996</v>
      </c>
      <c r="B1003" s="119" t="n"/>
      <c r="C1003" s="119" t="n"/>
      <c r="D1003" s="119" t="n"/>
      <c r="F1003" s="115" t="inlineStr">
        <is>
          <t>9703</t>
        </is>
      </c>
      <c r="G1003" s="116" t="n"/>
      <c r="H1003" s="115" t="inlineStr">
        <is>
          <t>Інші активи на зберіганні</t>
        </is>
      </c>
      <c r="I1003" s="115" t="inlineStr">
        <is>
          <t>А</t>
        </is>
      </c>
      <c r="J1003" s="117" t="n">
        <v>0</v>
      </c>
      <c r="K1003" s="117" t="n">
        <v>0</v>
      </c>
      <c r="L1003" s="117" t="n">
        <v>0</v>
      </c>
      <c r="M1003" s="117" t="n">
        <v>0</v>
      </c>
      <c r="N1003" s="116" t="n"/>
      <c r="O1003" s="117" t="n">
        <v>0</v>
      </c>
      <c r="P1003" s="117" t="n">
        <v>0</v>
      </c>
      <c r="Q1003" s="117" t="n">
        <v>0</v>
      </c>
      <c r="R1003" s="117" t="n">
        <v>0</v>
      </c>
      <c r="S1003" s="118" t="n">
        <v>0</v>
      </c>
      <c r="T1003" s="110" t="n"/>
    </row>
    <row r="1004" ht="13.5" customHeight="1" s="52">
      <c r="A1004" s="104" t="n">
        <v>997</v>
      </c>
      <c r="B1004" s="119" t="n"/>
      <c r="C1004" s="119" t="n"/>
      <c r="D1004" s="119" t="n"/>
      <c r="F1004" s="120" t="inlineStr">
        <is>
          <t>Група 970 - Усього</t>
        </is>
      </c>
      <c r="G1004" s="116" t="n"/>
      <c r="H1004" s="116" t="n"/>
      <c r="I1004" s="120" t="n"/>
      <c r="J1004" s="121" t="n">
        <v>0</v>
      </c>
      <c r="K1004" s="121" t="n">
        <v>0</v>
      </c>
      <c r="L1004" s="121" t="n">
        <v>0</v>
      </c>
      <c r="M1004" s="121" t="n">
        <v>0</v>
      </c>
      <c r="N1004" s="116" t="n"/>
      <c r="O1004" s="121" t="n">
        <v>0</v>
      </c>
      <c r="P1004" s="121" t="n">
        <v>0</v>
      </c>
      <c r="Q1004" s="121" t="n">
        <v>0</v>
      </c>
      <c r="R1004" s="121" t="n">
        <v>0</v>
      </c>
      <c r="S1004" s="122" t="n">
        <v>0</v>
      </c>
      <c r="T1004" s="110" t="n"/>
    </row>
    <row r="1005" ht="13.5" customHeight="1" s="52">
      <c r="A1005" s="104" t="n">
        <v>998</v>
      </c>
      <c r="B1005" s="119" t="n"/>
      <c r="C1005" s="119" t="n"/>
      <c r="D1005" s="115" t="inlineStr">
        <is>
          <t>971</t>
        </is>
      </c>
      <c r="E1005" s="116" t="n"/>
      <c r="F1005" s="115" t="inlineStr">
        <is>
          <t>9711</t>
        </is>
      </c>
      <c r="G1005" s="116" t="n"/>
      <c r="H1005" s="115" t="inlineStr">
        <is>
          <t>Житлові чеки в установах ПАТ "Ощадбанк"</t>
        </is>
      </c>
      <c r="I1005" s="115" t="inlineStr">
        <is>
          <t>А</t>
        </is>
      </c>
      <c r="J1005" s="117" t="n">
        <v>0</v>
      </c>
      <c r="K1005" s="117" t="n">
        <v>0</v>
      </c>
      <c r="L1005" s="117" t="n">
        <v>0</v>
      </c>
      <c r="M1005" s="117" t="n">
        <v>0</v>
      </c>
      <c r="N1005" s="116" t="n"/>
      <c r="O1005" s="117" t="n">
        <v>0</v>
      </c>
      <c r="P1005" s="117" t="n">
        <v>0</v>
      </c>
      <c r="Q1005" s="117" t="n">
        <v>0</v>
      </c>
      <c r="R1005" s="117" t="n">
        <v>0</v>
      </c>
      <c r="S1005" s="118" t="n">
        <v>0</v>
      </c>
      <c r="T1005" s="110" t="n"/>
    </row>
    <row r="1006" ht="13.5" customHeight="1" s="52">
      <c r="A1006" s="104" t="n">
        <v>999</v>
      </c>
      <c r="B1006" s="119" t="n"/>
      <c r="C1006" s="119" t="n"/>
      <c r="D1006" s="119" t="n"/>
      <c r="F1006" s="115" t="inlineStr">
        <is>
          <t>9712</t>
        </is>
      </c>
      <c r="G1006" s="116" t="n"/>
      <c r="H1006" s="115" t="inlineStr">
        <is>
          <t>Розрахунки житловими чеками з позабюджетним Державним фондом приватизації</t>
        </is>
      </c>
      <c r="I1006" s="115" t="inlineStr">
        <is>
          <t>А</t>
        </is>
      </c>
      <c r="J1006" s="117" t="n">
        <v>0</v>
      </c>
      <c r="K1006" s="117" t="n">
        <v>0</v>
      </c>
      <c r="L1006" s="117" t="n">
        <v>0</v>
      </c>
      <c r="M1006" s="117" t="n">
        <v>0</v>
      </c>
      <c r="N1006" s="116" t="n"/>
      <c r="O1006" s="117" t="n">
        <v>0</v>
      </c>
      <c r="P1006" s="117" t="n">
        <v>0</v>
      </c>
      <c r="Q1006" s="117" t="n">
        <v>0</v>
      </c>
      <c r="R1006" s="117" t="n">
        <v>0</v>
      </c>
      <c r="S1006" s="118" t="n">
        <v>0</v>
      </c>
      <c r="T1006" s="110" t="n"/>
    </row>
    <row r="1007" ht="14.25" customHeight="1" s="52">
      <c r="A1007" s="104" t="n">
        <v>1000</v>
      </c>
      <c r="B1007" s="119" t="n"/>
      <c r="C1007" s="119" t="n"/>
      <c r="D1007" s="119" t="n"/>
      <c r="F1007" s="115" t="inlineStr">
        <is>
          <t>9714</t>
        </is>
      </c>
      <c r="G1007" s="116" t="n"/>
      <c r="H1007" s="115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1007" s="115" t="inlineStr">
        <is>
          <t>А</t>
        </is>
      </c>
      <c r="J1007" s="117" t="n">
        <v>0</v>
      </c>
      <c r="K1007" s="117" t="n">
        <v>0</v>
      </c>
      <c r="L1007" s="117" t="n">
        <v>0</v>
      </c>
      <c r="M1007" s="117" t="n">
        <v>0</v>
      </c>
      <c r="N1007" s="116" t="n"/>
      <c r="O1007" s="117" t="n">
        <v>0</v>
      </c>
      <c r="P1007" s="117" t="n">
        <v>0</v>
      </c>
      <c r="Q1007" s="117" t="n">
        <v>0</v>
      </c>
      <c r="R1007" s="117" t="n">
        <v>0</v>
      </c>
      <c r="S1007" s="118" t="n">
        <v>0</v>
      </c>
      <c r="T1007" s="110" t="n"/>
    </row>
    <row r="1008" ht="13.5" customHeight="1" s="52">
      <c r="A1008" s="104" t="n">
        <v>1001</v>
      </c>
      <c r="B1008" s="119" t="n"/>
      <c r="C1008" s="119" t="n"/>
      <c r="D1008" s="119" t="n"/>
      <c r="F1008" s="115" t="inlineStr">
        <is>
          <t>9715</t>
        </is>
      </c>
      <c r="G1008" s="116" t="n"/>
      <c r="H1008" s="115" t="inlineStr">
        <is>
          <t>Розрахунки установ ПАТ "Ощадбанк" за житловими чеками</t>
        </is>
      </c>
      <c r="I1008" s="115" t="inlineStr">
        <is>
          <t>А</t>
        </is>
      </c>
      <c r="J1008" s="117" t="n">
        <v>0</v>
      </c>
      <c r="K1008" s="117" t="n">
        <v>0</v>
      </c>
      <c r="L1008" s="117" t="n">
        <v>0</v>
      </c>
      <c r="M1008" s="117" t="n">
        <v>0</v>
      </c>
      <c r="N1008" s="116" t="n"/>
      <c r="O1008" s="117" t="n">
        <v>0</v>
      </c>
      <c r="P1008" s="117" t="n">
        <v>0</v>
      </c>
      <c r="Q1008" s="117" t="n">
        <v>0</v>
      </c>
      <c r="R1008" s="117" t="n">
        <v>0</v>
      </c>
      <c r="S1008" s="118" t="n">
        <v>0</v>
      </c>
      <c r="T1008" s="110" t="n"/>
    </row>
    <row r="1009" ht="13.5" customHeight="1" s="52">
      <c r="A1009" s="104" t="n">
        <v>1002</v>
      </c>
      <c r="B1009" s="119" t="n"/>
      <c r="C1009" s="119" t="n"/>
      <c r="D1009" s="119" t="n"/>
      <c r="F1009" s="115" t="inlineStr">
        <is>
          <t>9717</t>
        </is>
      </c>
      <c r="G1009" s="116" t="n"/>
      <c r="H1009" s="115" t="inlineStr">
        <is>
          <t>Житлові чеки, що акумульовані на рахунках фінансових посередників</t>
        </is>
      </c>
      <c r="I1009" s="115" t="inlineStr">
        <is>
          <t>А</t>
        </is>
      </c>
      <c r="J1009" s="117" t="n">
        <v>0</v>
      </c>
      <c r="K1009" s="117" t="n">
        <v>0</v>
      </c>
      <c r="L1009" s="117" t="n">
        <v>0</v>
      </c>
      <c r="M1009" s="117" t="n">
        <v>0</v>
      </c>
      <c r="N1009" s="116" t="n"/>
      <c r="O1009" s="117" t="n">
        <v>0</v>
      </c>
      <c r="P1009" s="117" t="n">
        <v>0</v>
      </c>
      <c r="Q1009" s="117" t="n">
        <v>0.04743</v>
      </c>
      <c r="R1009" s="117" t="n">
        <v>0.04743</v>
      </c>
      <c r="S1009" s="118" t="n">
        <v>0</v>
      </c>
      <c r="T1009" s="110" t="n"/>
    </row>
    <row r="1010" ht="13.5" customHeight="1" s="52">
      <c r="A1010" s="104" t="n">
        <v>1003</v>
      </c>
      <c r="B1010" s="119" t="n"/>
      <c r="C1010" s="119" t="n"/>
      <c r="D1010" s="119" t="n"/>
      <c r="F1010" s="115" t="inlineStr">
        <is>
          <t>9718</t>
        </is>
      </c>
      <c r="G1010" s="116" t="n"/>
      <c r="H1010" s="115" t="inlineStr">
        <is>
          <t>Житлові чеки, що акумульовані для розрахунків за придбані об'єкти приватизації</t>
        </is>
      </c>
      <c r="I1010" s="115" t="inlineStr">
        <is>
          <t>А</t>
        </is>
      </c>
      <c r="J1010" s="117" t="n">
        <v>0</v>
      </c>
      <c r="K1010" s="117" t="n">
        <v>0</v>
      </c>
      <c r="L1010" s="117" t="n">
        <v>0</v>
      </c>
      <c r="M1010" s="117" t="n">
        <v>0</v>
      </c>
      <c r="N1010" s="116" t="n"/>
      <c r="O1010" s="117" t="n">
        <v>0</v>
      </c>
      <c r="P1010" s="117" t="n">
        <v>0</v>
      </c>
      <c r="Q1010" s="117" t="n">
        <v>0</v>
      </c>
      <c r="R1010" s="117" t="n">
        <v>0</v>
      </c>
      <c r="S1010" s="118" t="n">
        <v>0</v>
      </c>
      <c r="T1010" s="110" t="n"/>
    </row>
    <row r="1011" ht="13.5" customHeight="1" s="52">
      <c r="A1011" s="104" t="n">
        <v>1004</v>
      </c>
      <c r="B1011" s="119" t="n"/>
      <c r="C1011" s="119" t="n"/>
      <c r="D1011" s="119" t="n"/>
      <c r="F1011" s="120" t="inlineStr">
        <is>
          <t>Група 971 - Усього</t>
        </is>
      </c>
      <c r="G1011" s="116" t="n"/>
      <c r="H1011" s="116" t="n"/>
      <c r="I1011" s="120" t="n"/>
      <c r="J1011" s="121" t="n">
        <v>0</v>
      </c>
      <c r="K1011" s="121" t="n">
        <v>0</v>
      </c>
      <c r="L1011" s="121" t="n">
        <v>0</v>
      </c>
      <c r="M1011" s="121" t="n">
        <v>0</v>
      </c>
      <c r="N1011" s="116" t="n"/>
      <c r="O1011" s="121" t="n">
        <v>0</v>
      </c>
      <c r="P1011" s="121" t="n">
        <v>0</v>
      </c>
      <c r="Q1011" s="121" t="n">
        <v>0.04743</v>
      </c>
      <c r="R1011" s="121" t="n">
        <v>0.04743</v>
      </c>
      <c r="S1011" s="122" t="n">
        <v>0</v>
      </c>
      <c r="T1011" s="110" t="n"/>
    </row>
    <row r="1012" ht="14.25" customHeight="1" s="52">
      <c r="A1012" s="104" t="n">
        <v>1005</v>
      </c>
      <c r="B1012" s="119" t="n"/>
      <c r="C1012" s="119" t="n"/>
      <c r="D1012" s="115" t="inlineStr">
        <is>
          <t>974</t>
        </is>
      </c>
      <c r="E1012" s="116" t="n"/>
      <c r="F1012" s="115" t="inlineStr">
        <is>
          <t>9742</t>
        </is>
      </c>
      <c r="G1012" s="116" t="n"/>
      <c r="H1012" s="115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12" s="115" t="inlineStr">
        <is>
          <t>А</t>
        </is>
      </c>
      <c r="J1012" s="117" t="n">
        <v>0</v>
      </c>
      <c r="K1012" s="117" t="n">
        <v>0</v>
      </c>
      <c r="L1012" s="117" t="n">
        <v>0</v>
      </c>
      <c r="M1012" s="117" t="n">
        <v>0</v>
      </c>
      <c r="N1012" s="116" t="n"/>
      <c r="O1012" s="117" t="n">
        <v>0</v>
      </c>
      <c r="P1012" s="117" t="n">
        <v>0</v>
      </c>
      <c r="Q1012" s="117" t="n">
        <v>0</v>
      </c>
      <c r="R1012" s="117" t="n">
        <v>0</v>
      </c>
      <c r="S1012" s="118" t="n">
        <v>0</v>
      </c>
      <c r="T1012" s="110" t="n"/>
    </row>
    <row r="1013" ht="13.5" customHeight="1" s="52">
      <c r="A1013" s="104" t="n">
        <v>1006</v>
      </c>
      <c r="B1013" s="119" t="n"/>
      <c r="C1013" s="119" t="n"/>
      <c r="D1013" s="119" t="n"/>
      <c r="F1013" s="115" t="inlineStr">
        <is>
          <t>9746</t>
        </is>
      </c>
      <c r="G1013" s="116" t="n"/>
      <c r="H1013" s="115" t="inlineStr">
        <is>
          <t>Транзитний рахунок за розрахунковими документами з приватизації</t>
        </is>
      </c>
      <c r="I1013" s="115" t="inlineStr">
        <is>
          <t>А</t>
        </is>
      </c>
      <c r="J1013" s="117" t="n">
        <v>0</v>
      </c>
      <c r="K1013" s="117" t="n">
        <v>0</v>
      </c>
      <c r="L1013" s="117" t="n">
        <v>0</v>
      </c>
      <c r="M1013" s="117" t="n">
        <v>0</v>
      </c>
      <c r="N1013" s="116" t="n"/>
      <c r="O1013" s="117" t="n">
        <v>0</v>
      </c>
      <c r="P1013" s="117" t="n">
        <v>0</v>
      </c>
      <c r="Q1013" s="117" t="n">
        <v>0</v>
      </c>
      <c r="R1013" s="117" t="n">
        <v>0</v>
      </c>
      <c r="S1013" s="118" t="n">
        <v>0</v>
      </c>
      <c r="T1013" s="110" t="n"/>
    </row>
    <row r="1014" ht="13.5" customHeight="1" s="52">
      <c r="A1014" s="104" t="n">
        <v>1007</v>
      </c>
      <c r="B1014" s="119" t="n"/>
      <c r="C1014" s="119" t="n"/>
      <c r="D1014" s="119" t="n"/>
      <c r="F1014" s="120" t="inlineStr">
        <is>
          <t>Група 974 - Усього</t>
        </is>
      </c>
      <c r="G1014" s="116" t="n"/>
      <c r="H1014" s="116" t="n"/>
      <c r="I1014" s="120" t="n"/>
      <c r="J1014" s="121" t="n">
        <v>0</v>
      </c>
      <c r="K1014" s="121" t="n">
        <v>0</v>
      </c>
      <c r="L1014" s="121" t="n">
        <v>0</v>
      </c>
      <c r="M1014" s="121" t="n">
        <v>0</v>
      </c>
      <c r="N1014" s="116" t="n"/>
      <c r="O1014" s="121" t="n">
        <v>0</v>
      </c>
      <c r="P1014" s="121" t="n">
        <v>0</v>
      </c>
      <c r="Q1014" s="121" t="n">
        <v>0</v>
      </c>
      <c r="R1014" s="121" t="n">
        <v>0</v>
      </c>
      <c r="S1014" s="122" t="n">
        <v>0</v>
      </c>
      <c r="T1014" s="110" t="n"/>
    </row>
    <row r="1015" ht="13.5" customHeight="1" s="52">
      <c r="A1015" s="104" t="n">
        <v>1008</v>
      </c>
      <c r="B1015" s="119" t="n"/>
      <c r="C1015" s="119" t="n"/>
      <c r="D1015" s="115" t="inlineStr">
        <is>
          <t>976</t>
        </is>
      </c>
      <c r="E1015" s="116" t="n"/>
      <c r="F1015" s="115" t="inlineStr">
        <is>
          <t>9760</t>
        </is>
      </c>
      <c r="G1015" s="116" t="n"/>
      <c r="H1015" s="115" t="inlineStr">
        <is>
          <t>Грошова компенсація заощаджень громадян України в установах ПАТ "Ощадбанк"</t>
        </is>
      </c>
      <c r="I1015" s="115" t="inlineStr">
        <is>
          <t>А</t>
        </is>
      </c>
      <c r="J1015" s="117" t="n">
        <v>0</v>
      </c>
      <c r="K1015" s="117" t="n">
        <v>0</v>
      </c>
      <c r="L1015" s="117" t="n">
        <v>0</v>
      </c>
      <c r="M1015" s="117" t="n">
        <v>0</v>
      </c>
      <c r="N1015" s="116" t="n"/>
      <c r="O1015" s="117" t="n">
        <v>0</v>
      </c>
      <c r="P1015" s="117" t="n">
        <v>0</v>
      </c>
      <c r="Q1015" s="117" t="n">
        <v>0</v>
      </c>
      <c r="R1015" s="117" t="n">
        <v>0</v>
      </c>
      <c r="S1015" s="118" t="n">
        <v>0</v>
      </c>
      <c r="T1015" s="110" t="n"/>
    </row>
    <row r="1016" ht="13.5" customHeight="1" s="52">
      <c r="A1016" s="104" t="n">
        <v>1009</v>
      </c>
      <c r="B1016" s="119" t="n"/>
      <c r="C1016" s="119" t="n"/>
      <c r="D1016" s="119" t="n"/>
      <c r="F1016" s="120" t="inlineStr">
        <is>
          <t>Група 976 - Усього</t>
        </is>
      </c>
      <c r="G1016" s="116" t="n"/>
      <c r="H1016" s="116" t="n"/>
      <c r="I1016" s="120" t="n"/>
      <c r="J1016" s="121" t="n">
        <v>0</v>
      </c>
      <c r="K1016" s="121" t="n">
        <v>0</v>
      </c>
      <c r="L1016" s="121" t="n">
        <v>0</v>
      </c>
      <c r="M1016" s="121" t="n">
        <v>0</v>
      </c>
      <c r="N1016" s="116" t="n"/>
      <c r="O1016" s="121" t="n">
        <v>0</v>
      </c>
      <c r="P1016" s="121" t="n">
        <v>0</v>
      </c>
      <c r="Q1016" s="121" t="n">
        <v>0</v>
      </c>
      <c r="R1016" s="121" t="n">
        <v>0</v>
      </c>
      <c r="S1016" s="122" t="n">
        <v>0</v>
      </c>
      <c r="T1016" s="110" t="n"/>
    </row>
    <row r="1017" ht="14.25" customHeight="1" s="52">
      <c r="A1017" s="104" t="n">
        <v>1010</v>
      </c>
      <c r="B1017" s="119" t="n"/>
      <c r="C1017" s="119" t="n"/>
      <c r="D1017" s="115" t="inlineStr">
        <is>
          <t>977</t>
        </is>
      </c>
      <c r="E1017" s="116" t="n"/>
      <c r="F1017" s="115" t="inlineStr">
        <is>
          <t>9770</t>
        </is>
      </c>
      <c r="G1017" s="116" t="n"/>
      <c r="H1017" s="115" t="inlineStr">
        <is>
          <t>Різні цінності і розрахункові документи за придбаними об'єктами приватизації, що відправлені</t>
        </is>
      </c>
      <c r="I1017" s="115" t="inlineStr">
        <is>
          <t>А</t>
        </is>
      </c>
      <c r="J1017" s="117" t="n">
        <v>0</v>
      </c>
      <c r="K1017" s="117" t="n">
        <v>0</v>
      </c>
      <c r="L1017" s="117" t="n">
        <v>0</v>
      </c>
      <c r="M1017" s="117" t="n">
        <v>0</v>
      </c>
      <c r="N1017" s="116" t="n"/>
      <c r="O1017" s="117" t="n">
        <v>0</v>
      </c>
      <c r="P1017" s="117" t="n">
        <v>0</v>
      </c>
      <c r="Q1017" s="117" t="n">
        <v>0</v>
      </c>
      <c r="R1017" s="117" t="n">
        <v>0</v>
      </c>
      <c r="S1017" s="118" t="n">
        <v>0</v>
      </c>
      <c r="T1017" s="110" t="n"/>
    </row>
    <row r="1018" ht="13.5" customHeight="1" s="52">
      <c r="A1018" s="104" t="n">
        <v>1011</v>
      </c>
      <c r="B1018" s="119" t="n"/>
      <c r="C1018" s="119" t="n"/>
      <c r="D1018" s="119" t="n"/>
      <c r="F1018" s="120" t="inlineStr">
        <is>
          <t>Група 977 - Усього</t>
        </is>
      </c>
      <c r="G1018" s="116" t="n"/>
      <c r="H1018" s="116" t="n"/>
      <c r="I1018" s="120" t="n"/>
      <c r="J1018" s="121" t="n">
        <v>0</v>
      </c>
      <c r="K1018" s="121" t="n">
        <v>0</v>
      </c>
      <c r="L1018" s="121" t="n">
        <v>0</v>
      </c>
      <c r="M1018" s="121" t="n">
        <v>0</v>
      </c>
      <c r="N1018" s="116" t="n"/>
      <c r="O1018" s="121" t="n">
        <v>0</v>
      </c>
      <c r="P1018" s="121" t="n">
        <v>0</v>
      </c>
      <c r="Q1018" s="121" t="n">
        <v>0</v>
      </c>
      <c r="R1018" s="121" t="n">
        <v>0</v>
      </c>
      <c r="S1018" s="122" t="n">
        <v>0</v>
      </c>
      <c r="T1018" s="110" t="n"/>
    </row>
    <row r="1019" ht="13.5" customHeight="1" s="52">
      <c r="A1019" s="104" t="n">
        <v>1012</v>
      </c>
      <c r="B1019" s="119" t="n"/>
      <c r="C1019" s="119" t="n"/>
      <c r="D1019" s="115" t="inlineStr">
        <is>
          <t>978</t>
        </is>
      </c>
      <c r="E1019" s="116" t="n"/>
      <c r="F1019" s="115" t="inlineStr">
        <is>
          <t>9781</t>
        </is>
      </c>
      <c r="G1019" s="116" t="n"/>
      <c r="H1019" s="115" t="inlineStr">
        <is>
          <t>Поточні рахунки банку-управителя з довірчого управління</t>
        </is>
      </c>
      <c r="I1019" s="115" t="inlineStr">
        <is>
          <t>А</t>
        </is>
      </c>
      <c r="J1019" s="117" t="n">
        <v>0</v>
      </c>
      <c r="K1019" s="117" t="n">
        <v>0</v>
      </c>
      <c r="L1019" s="117" t="n">
        <v>0</v>
      </c>
      <c r="M1019" s="117" t="n">
        <v>0</v>
      </c>
      <c r="N1019" s="116" t="n"/>
      <c r="O1019" s="117" t="n">
        <v>0</v>
      </c>
      <c r="P1019" s="117" t="n">
        <v>0</v>
      </c>
      <c r="Q1019" s="117" t="n">
        <v>0</v>
      </c>
      <c r="R1019" s="117" t="n">
        <v>0</v>
      </c>
      <c r="S1019" s="118" t="n">
        <v>0</v>
      </c>
      <c r="T1019" s="110" t="n"/>
    </row>
    <row r="1020" ht="13.5" customHeight="1" s="52">
      <c r="A1020" s="104" t="n">
        <v>1013</v>
      </c>
      <c r="B1020" s="119" t="n"/>
      <c r="C1020" s="119" t="n"/>
      <c r="D1020" s="119" t="n"/>
      <c r="F1020" s="115" t="inlineStr">
        <is>
          <t>9782</t>
        </is>
      </c>
      <c r="G1020" s="116" t="n"/>
      <c r="H1020" s="115" t="inlineStr">
        <is>
          <t>Дебіторська заборгованість за операціями довірчого управління</t>
        </is>
      </c>
      <c r="I1020" s="115" t="inlineStr">
        <is>
          <t>А</t>
        </is>
      </c>
      <c r="J1020" s="117" t="n">
        <v>0</v>
      </c>
      <c r="K1020" s="117" t="n">
        <v>0</v>
      </c>
      <c r="L1020" s="117" t="n">
        <v>0</v>
      </c>
      <c r="M1020" s="117" t="n">
        <v>0</v>
      </c>
      <c r="N1020" s="116" t="n"/>
      <c r="O1020" s="117" t="n">
        <v>0</v>
      </c>
      <c r="P1020" s="117" t="n">
        <v>0</v>
      </c>
      <c r="Q1020" s="117" t="n">
        <v>0</v>
      </c>
      <c r="R1020" s="117" t="n">
        <v>0</v>
      </c>
      <c r="S1020" s="118" t="n">
        <v>0</v>
      </c>
      <c r="T1020" s="110" t="n"/>
    </row>
    <row r="1021" ht="13.5" customHeight="1" s="52">
      <c r="A1021" s="104" t="n">
        <v>1014</v>
      </c>
      <c r="B1021" s="119" t="n"/>
      <c r="C1021" s="119" t="n"/>
      <c r="D1021" s="119" t="n"/>
      <c r="F1021" s="115" t="inlineStr">
        <is>
          <t>9783</t>
        </is>
      </c>
      <c r="G1021" s="116" t="n"/>
      <c r="H1021" s="115" t="inlineStr">
        <is>
          <t>Цінні папери в довірчому управлінні</t>
        </is>
      </c>
      <c r="I1021" s="115" t="inlineStr">
        <is>
          <t>А</t>
        </is>
      </c>
      <c r="J1021" s="117" t="n">
        <v>0</v>
      </c>
      <c r="K1021" s="117" t="n">
        <v>0</v>
      </c>
      <c r="L1021" s="117" t="n">
        <v>0</v>
      </c>
      <c r="M1021" s="117" t="n">
        <v>0</v>
      </c>
      <c r="N1021" s="116" t="n"/>
      <c r="O1021" s="117" t="n">
        <v>0</v>
      </c>
      <c r="P1021" s="117" t="n">
        <v>0</v>
      </c>
      <c r="Q1021" s="117" t="n">
        <v>0</v>
      </c>
      <c r="R1021" s="117" t="n">
        <v>0</v>
      </c>
      <c r="S1021" s="118" t="n">
        <v>0</v>
      </c>
      <c r="T1021" s="110" t="n"/>
    </row>
    <row r="1022" ht="14.25" customHeight="1" s="52">
      <c r="A1022" s="104" t="n">
        <v>1015</v>
      </c>
      <c r="B1022" s="119" t="n"/>
      <c r="C1022" s="119" t="n"/>
      <c r="D1022" s="119" t="n"/>
      <c r="F1022" s="115" t="inlineStr">
        <is>
          <t>9786</t>
        </is>
      </c>
      <c r="G1022" s="116" t="n"/>
      <c r="H1022" s="115" t="inlineStr">
        <is>
          <t>Інші активи в довірчому управлінні</t>
        </is>
      </c>
      <c r="I1022" s="115" t="inlineStr">
        <is>
          <t>А</t>
        </is>
      </c>
      <c r="J1022" s="117" t="n">
        <v>0</v>
      </c>
      <c r="K1022" s="117" t="n">
        <v>0</v>
      </c>
      <c r="L1022" s="117" t="n">
        <v>0</v>
      </c>
      <c r="M1022" s="117" t="n">
        <v>0</v>
      </c>
      <c r="N1022" s="116" t="n"/>
      <c r="O1022" s="117" t="n">
        <v>0</v>
      </c>
      <c r="P1022" s="117" t="n">
        <v>0</v>
      </c>
      <c r="Q1022" s="117" t="n">
        <v>0</v>
      </c>
      <c r="R1022" s="117" t="n">
        <v>0</v>
      </c>
      <c r="S1022" s="118" t="n">
        <v>0</v>
      </c>
      <c r="T1022" s="110" t="n"/>
    </row>
    <row r="1023" ht="13.5" customHeight="1" s="52">
      <c r="A1023" s="104" t="n">
        <v>1016</v>
      </c>
      <c r="B1023" s="119" t="n"/>
      <c r="C1023" s="119" t="n"/>
      <c r="D1023" s="119" t="n"/>
      <c r="F1023" s="115" t="inlineStr">
        <is>
          <t>9787</t>
        </is>
      </c>
      <c r="G1023" s="116" t="n"/>
      <c r="H1023" s="115" t="inlineStr">
        <is>
          <t>Витрати за операціями довірчого управління</t>
        </is>
      </c>
      <c r="I1023" s="115" t="inlineStr">
        <is>
          <t>А</t>
        </is>
      </c>
      <c r="J1023" s="117" t="n">
        <v>0</v>
      </c>
      <c r="K1023" s="117" t="n">
        <v>0</v>
      </c>
      <c r="L1023" s="117" t="n">
        <v>0</v>
      </c>
      <c r="M1023" s="117" t="n">
        <v>0</v>
      </c>
      <c r="N1023" s="116" t="n"/>
      <c r="O1023" s="117" t="n">
        <v>0</v>
      </c>
      <c r="P1023" s="117" t="n">
        <v>0</v>
      </c>
      <c r="Q1023" s="117" t="n">
        <v>0</v>
      </c>
      <c r="R1023" s="117" t="n">
        <v>0</v>
      </c>
      <c r="S1023" s="118" t="n">
        <v>0</v>
      </c>
      <c r="T1023" s="110" t="n"/>
    </row>
    <row r="1024" ht="13.5" customHeight="1" s="52">
      <c r="A1024" s="104" t="n">
        <v>1017</v>
      </c>
      <c r="B1024" s="119" t="n"/>
      <c r="C1024" s="119" t="n"/>
      <c r="D1024" s="119" t="n"/>
      <c r="F1024" s="115" t="inlineStr">
        <is>
          <t>9788</t>
        </is>
      </c>
      <c r="G1024" s="116" t="n"/>
      <c r="H1024" s="115" t="inlineStr">
        <is>
          <t>Нараховані доходи за об"єктами довірчого управління</t>
        </is>
      </c>
      <c r="I1024" s="115" t="inlineStr">
        <is>
          <t>А</t>
        </is>
      </c>
      <c r="J1024" s="117" t="n">
        <v>0</v>
      </c>
      <c r="K1024" s="117" t="n">
        <v>0</v>
      </c>
      <c r="L1024" s="117" t="n">
        <v>0</v>
      </c>
      <c r="M1024" s="117" t="n">
        <v>0</v>
      </c>
      <c r="N1024" s="116" t="n"/>
      <c r="O1024" s="117" t="n">
        <v>0</v>
      </c>
      <c r="P1024" s="117" t="n">
        <v>0</v>
      </c>
      <c r="Q1024" s="117" t="n">
        <v>0</v>
      </c>
      <c r="R1024" s="117" t="n">
        <v>0</v>
      </c>
      <c r="S1024" s="118" t="n">
        <v>0</v>
      </c>
      <c r="T1024" s="110" t="n"/>
    </row>
    <row r="1025" ht="13.5" customHeight="1" s="52">
      <c r="A1025" s="104" t="n">
        <v>1018</v>
      </c>
      <c r="B1025" s="119" t="n"/>
      <c r="C1025" s="119" t="n"/>
      <c r="D1025" s="119" t="n"/>
      <c r="F1025" s="120" t="inlineStr">
        <is>
          <t>Група 978 - Усього</t>
        </is>
      </c>
      <c r="G1025" s="116" t="n"/>
      <c r="H1025" s="116" t="n"/>
      <c r="I1025" s="120" t="n"/>
      <c r="J1025" s="121" t="n">
        <v>0</v>
      </c>
      <c r="K1025" s="121" t="n">
        <v>0</v>
      </c>
      <c r="L1025" s="121" t="n">
        <v>0</v>
      </c>
      <c r="M1025" s="121" t="n">
        <v>0</v>
      </c>
      <c r="N1025" s="116" t="n"/>
      <c r="O1025" s="121" t="n">
        <v>0</v>
      </c>
      <c r="P1025" s="121" t="n">
        <v>0</v>
      </c>
      <c r="Q1025" s="121" t="n">
        <v>0</v>
      </c>
      <c r="R1025" s="121" t="n">
        <v>0</v>
      </c>
      <c r="S1025" s="122" t="n">
        <v>0</v>
      </c>
      <c r="T1025" s="110" t="n"/>
    </row>
    <row r="1026" ht="21" customHeight="1" s="52">
      <c r="A1026" s="104" t="n">
        <v>1019</v>
      </c>
      <c r="B1026" s="119" t="n"/>
      <c r="C1026" s="119" t="n"/>
      <c r="D1026" s="120" t="inlineStr">
        <is>
          <t>Розділ 97 - Усього</t>
        </is>
      </c>
      <c r="E1026" s="116" t="n"/>
      <c r="F1026" s="120" t="n"/>
      <c r="G1026" s="116" t="n"/>
      <c r="H1026" s="116" t="n"/>
      <c r="I1026" s="120" t="n"/>
      <c r="J1026" s="121" t="n">
        <v>0</v>
      </c>
      <c r="K1026" s="121" t="n">
        <v>0</v>
      </c>
      <c r="L1026" s="121" t="n">
        <v>0</v>
      </c>
      <c r="M1026" s="121" t="n">
        <v>0</v>
      </c>
      <c r="N1026" s="116" t="n"/>
      <c r="O1026" s="121" t="n">
        <v>0</v>
      </c>
      <c r="P1026" s="121" t="n">
        <v>0</v>
      </c>
      <c r="Q1026" s="121" t="n">
        <v>0.04743</v>
      </c>
      <c r="R1026" s="121" t="n">
        <v>0.04743</v>
      </c>
      <c r="S1026" s="122" t="n">
        <v>0</v>
      </c>
      <c r="T1026" s="110" t="n"/>
    </row>
    <row r="1027" ht="14.25" customHeight="1" s="52">
      <c r="A1027" s="104" t="n">
        <v>1020</v>
      </c>
      <c r="B1027" s="119" t="n"/>
      <c r="C1027" s="115" t="inlineStr">
        <is>
          <t>98</t>
        </is>
      </c>
      <c r="D1027" s="115" t="inlineStr">
        <is>
          <t>980</t>
        </is>
      </c>
      <c r="E1027" s="116" t="n"/>
      <c r="F1027" s="115" t="inlineStr">
        <is>
          <t>9800</t>
        </is>
      </c>
      <c r="G1027" s="116" t="n"/>
      <c r="H1027" s="115" t="inlineStr">
        <is>
          <t>Розрахункові документи за факторинговими операціями</t>
        </is>
      </c>
      <c r="I1027" s="115" t="inlineStr">
        <is>
          <t>А</t>
        </is>
      </c>
      <c r="J1027" s="117" t="n">
        <v>0</v>
      </c>
      <c r="K1027" s="117" t="n">
        <v>0</v>
      </c>
      <c r="L1027" s="117" t="n">
        <v>0</v>
      </c>
      <c r="M1027" s="117" t="n">
        <v>0</v>
      </c>
      <c r="N1027" s="116" t="n"/>
      <c r="O1027" s="117" t="n">
        <v>0</v>
      </c>
      <c r="P1027" s="117" t="n">
        <v>0</v>
      </c>
      <c r="Q1027" s="117" t="n">
        <v>53998.87572</v>
      </c>
      <c r="R1027" s="117" t="n">
        <v>53998.87572</v>
      </c>
      <c r="S1027" s="118" t="n">
        <v>0</v>
      </c>
      <c r="T1027" s="110" t="n"/>
    </row>
    <row r="1028" ht="13.5" customHeight="1" s="52">
      <c r="A1028" s="104" t="n">
        <v>1021</v>
      </c>
      <c r="B1028" s="119" t="n"/>
      <c r="C1028" s="119" t="n"/>
      <c r="D1028" s="119" t="n"/>
      <c r="F1028" s="115" t="inlineStr">
        <is>
          <t>9801</t>
        </is>
      </c>
      <c r="G1028" s="116" t="n"/>
      <c r="H1028" s="115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8" s="115" t="inlineStr">
        <is>
          <t>А</t>
        </is>
      </c>
      <c r="J1028" s="117" t="n">
        <v>0</v>
      </c>
      <c r="K1028" s="117" t="n">
        <v>0</v>
      </c>
      <c r="L1028" s="117" t="n">
        <v>0</v>
      </c>
      <c r="M1028" s="117" t="n">
        <v>0</v>
      </c>
      <c r="N1028" s="116" t="n"/>
      <c r="O1028" s="117" t="n">
        <v>0</v>
      </c>
      <c r="P1028" s="117" t="n">
        <v>0</v>
      </c>
      <c r="Q1028" s="117" t="n">
        <v>0</v>
      </c>
      <c r="R1028" s="117" t="n">
        <v>0</v>
      </c>
      <c r="S1028" s="118" t="n">
        <v>0</v>
      </c>
      <c r="T1028" s="110" t="n"/>
    </row>
    <row r="1029" ht="13.5" customHeight="1" s="52">
      <c r="A1029" s="104" t="n">
        <v>1022</v>
      </c>
      <c r="B1029" s="119" t="n"/>
      <c r="C1029" s="119" t="n"/>
      <c r="D1029" s="119" t="n"/>
      <c r="F1029" s="115" t="inlineStr">
        <is>
          <t>9802</t>
        </is>
      </c>
      <c r="G1029" s="116" t="n"/>
      <c r="H1029" s="115" t="inlineStr">
        <is>
          <t>Акредитиви до виконання</t>
        </is>
      </c>
      <c r="I1029" s="115" t="inlineStr">
        <is>
          <t>А</t>
        </is>
      </c>
      <c r="J1029" s="117" t="n">
        <v>158915.39899</v>
      </c>
      <c r="K1029" s="117" t="n">
        <v>0</v>
      </c>
      <c r="L1029" s="117" t="n">
        <v>158915.39899</v>
      </c>
      <c r="M1029" s="117" t="n">
        <v>115514.90941</v>
      </c>
      <c r="N1029" s="116" t="n"/>
      <c r="O1029" s="117" t="n">
        <v>0</v>
      </c>
      <c r="P1029" s="117" t="n">
        <v>115514.90941</v>
      </c>
      <c r="Q1029" s="117" t="n">
        <v>3435270.5137</v>
      </c>
      <c r="R1029" s="117" t="n">
        <v>1105.69998</v>
      </c>
      <c r="S1029" s="118" t="n">
        <v>3434164.81372</v>
      </c>
      <c r="T1029" s="110" t="n"/>
    </row>
    <row r="1030" ht="13.5" customHeight="1" s="52">
      <c r="A1030" s="104" t="n">
        <v>1023</v>
      </c>
      <c r="B1030" s="119" t="n"/>
      <c r="C1030" s="119" t="n"/>
      <c r="D1030" s="119" t="n"/>
      <c r="F1030" s="115" t="inlineStr">
        <is>
          <t>9809</t>
        </is>
      </c>
      <c r="G1030" s="116" t="n"/>
      <c r="H1030" s="115" t="inlineStr">
        <is>
          <t>Інші документи за розрахунковими операціями клієнтів</t>
        </is>
      </c>
      <c r="I1030" s="115" t="inlineStr">
        <is>
          <t>А</t>
        </is>
      </c>
      <c r="J1030" s="117" t="n">
        <v>3.298</v>
      </c>
      <c r="K1030" s="117" t="n">
        <v>3.298</v>
      </c>
      <c r="L1030" s="117" t="n">
        <v>0</v>
      </c>
      <c r="M1030" s="117" t="n">
        <v>2.292</v>
      </c>
      <c r="N1030" s="116" t="n"/>
      <c r="O1030" s="117" t="n">
        <v>2.292</v>
      </c>
      <c r="P1030" s="117" t="n">
        <v>0</v>
      </c>
      <c r="Q1030" s="117" t="n">
        <v>59.278</v>
      </c>
      <c r="R1030" s="117" t="n">
        <v>59.278</v>
      </c>
      <c r="S1030" s="118" t="n">
        <v>0</v>
      </c>
      <c r="T1030" s="110" t="n"/>
    </row>
    <row r="1031" ht="13.5" customHeight="1" s="52">
      <c r="A1031" s="104" t="n">
        <v>1024</v>
      </c>
      <c r="B1031" s="119" t="n"/>
      <c r="C1031" s="119" t="n"/>
      <c r="D1031" s="119" t="n"/>
      <c r="F1031" s="120" t="inlineStr">
        <is>
          <t>Група 980 - Усього</t>
        </is>
      </c>
      <c r="G1031" s="116" t="n"/>
      <c r="H1031" s="116" t="n"/>
      <c r="I1031" s="120" t="n"/>
      <c r="J1031" s="121" t="n">
        <v>158918.69699</v>
      </c>
      <c r="K1031" s="121" t="n">
        <v>3.298</v>
      </c>
      <c r="L1031" s="121" t="n">
        <v>158915.39899</v>
      </c>
      <c r="M1031" s="121" t="n">
        <v>115517.20141</v>
      </c>
      <c r="N1031" s="116" t="n"/>
      <c r="O1031" s="121" t="n">
        <v>2.292</v>
      </c>
      <c r="P1031" s="121" t="n">
        <v>115514.90941</v>
      </c>
      <c r="Q1031" s="121" t="n">
        <v>3489328.66742</v>
      </c>
      <c r="R1031" s="121" t="n">
        <v>55163.8537</v>
      </c>
      <c r="S1031" s="122" t="n">
        <v>3434164.81372</v>
      </c>
      <c r="T1031" s="110" t="n"/>
    </row>
    <row r="1032" ht="14.25" customHeight="1" s="52">
      <c r="A1032" s="104" t="n">
        <v>1025</v>
      </c>
      <c r="B1032" s="119" t="n"/>
      <c r="C1032" s="119" t="n"/>
      <c r="D1032" s="115" t="inlineStr">
        <is>
          <t>981</t>
        </is>
      </c>
      <c r="E1032" s="116" t="n"/>
      <c r="F1032" s="115" t="inlineStr">
        <is>
          <t>9810</t>
        </is>
      </c>
      <c r="G1032" s="116" t="n"/>
      <c r="H1032" s="115" t="inlineStr">
        <is>
          <t>Нерозібрані посилки з цінностями</t>
        </is>
      </c>
      <c r="I1032" s="115" t="inlineStr">
        <is>
          <t>А</t>
        </is>
      </c>
      <c r="J1032" s="117" t="n">
        <v>0</v>
      </c>
      <c r="K1032" s="117" t="n">
        <v>0</v>
      </c>
      <c r="L1032" s="117" t="n">
        <v>0</v>
      </c>
      <c r="M1032" s="117" t="n">
        <v>0</v>
      </c>
      <c r="N1032" s="116" t="n"/>
      <c r="O1032" s="117" t="n">
        <v>0</v>
      </c>
      <c r="P1032" s="117" t="n">
        <v>0</v>
      </c>
      <c r="Q1032" s="117" t="n">
        <v>0</v>
      </c>
      <c r="R1032" s="117" t="n">
        <v>0</v>
      </c>
      <c r="S1032" s="118" t="n">
        <v>0</v>
      </c>
      <c r="T1032" s="110" t="n"/>
    </row>
    <row r="1033" ht="13.5" customHeight="1" s="52">
      <c r="A1033" s="104" t="n">
        <v>1026</v>
      </c>
      <c r="B1033" s="119" t="n"/>
      <c r="C1033" s="119" t="n"/>
      <c r="D1033" s="119" t="n"/>
      <c r="F1033" s="115" t="inlineStr">
        <is>
          <t>9811</t>
        </is>
      </c>
      <c r="G1033" s="116" t="n"/>
      <c r="H1033" s="115" t="inlineStr">
        <is>
          <t>Отримані дозволи на випуск цінних паперів</t>
        </is>
      </c>
      <c r="I1033" s="115" t="inlineStr">
        <is>
          <t>А</t>
        </is>
      </c>
      <c r="J1033" s="117" t="n">
        <v>0</v>
      </c>
      <c r="K1033" s="117" t="n">
        <v>0</v>
      </c>
      <c r="L1033" s="117" t="n">
        <v>0</v>
      </c>
      <c r="M1033" s="117" t="n">
        <v>0</v>
      </c>
      <c r="N1033" s="116" t="n"/>
      <c r="O1033" s="117" t="n">
        <v>0</v>
      </c>
      <c r="P1033" s="117" t="n">
        <v>0</v>
      </c>
      <c r="Q1033" s="117" t="n">
        <v>45570041.12424</v>
      </c>
      <c r="R1033" s="117" t="n">
        <v>45570041.12424</v>
      </c>
      <c r="S1033" s="118" t="n">
        <v>0</v>
      </c>
      <c r="T1033" s="110" t="n"/>
    </row>
    <row r="1034" ht="13.5" customHeight="1" s="52">
      <c r="A1034" s="104" t="n">
        <v>1027</v>
      </c>
      <c r="B1034" s="119" t="n"/>
      <c r="C1034" s="119" t="n"/>
      <c r="D1034" s="119" t="n"/>
      <c r="F1034" s="115" t="inlineStr">
        <is>
          <t>9812</t>
        </is>
      </c>
      <c r="G1034" s="116" t="n"/>
      <c r="H1034" s="115" t="inlineStr">
        <is>
          <t>Погашені цінності</t>
        </is>
      </c>
      <c r="I1034" s="115" t="inlineStr">
        <is>
          <t>А</t>
        </is>
      </c>
      <c r="J1034" s="117" t="n">
        <v>0</v>
      </c>
      <c r="K1034" s="117" t="n">
        <v>0</v>
      </c>
      <c r="L1034" s="117" t="n">
        <v>0</v>
      </c>
      <c r="M1034" s="117" t="n">
        <v>0</v>
      </c>
      <c r="N1034" s="116" t="n"/>
      <c r="O1034" s="117" t="n">
        <v>0</v>
      </c>
      <c r="P1034" s="117" t="n">
        <v>0</v>
      </c>
      <c r="Q1034" s="117" t="n">
        <v>0</v>
      </c>
      <c r="R1034" s="117" t="n">
        <v>0</v>
      </c>
      <c r="S1034" s="118" t="n">
        <v>0</v>
      </c>
      <c r="T1034" s="110" t="n"/>
    </row>
    <row r="1035" ht="13.5" customHeight="1" s="52">
      <c r="A1035" s="104" t="n">
        <v>1028</v>
      </c>
      <c r="B1035" s="119" t="n"/>
      <c r="C1035" s="119" t="n"/>
      <c r="D1035" s="119" t="n"/>
      <c r="F1035" s="115" t="inlineStr">
        <is>
          <t>9817</t>
        </is>
      </c>
      <c r="G1035" s="116" t="n"/>
      <c r="H1035" s="115" t="inlineStr">
        <is>
          <t>Запаси готівки Національного банку України, які прийняті на зберігання уповноваженим банком</t>
        </is>
      </c>
      <c r="I1035" s="115" t="inlineStr">
        <is>
          <t>А</t>
        </is>
      </c>
      <c r="J1035" s="117" t="n">
        <v>0</v>
      </c>
      <c r="K1035" s="117" t="n">
        <v>0</v>
      </c>
      <c r="L1035" s="117" t="n">
        <v>0</v>
      </c>
      <c r="M1035" s="117" t="n">
        <v>0</v>
      </c>
      <c r="N1035" s="116" t="n"/>
      <c r="O1035" s="117" t="n">
        <v>0</v>
      </c>
      <c r="P1035" s="117" t="n">
        <v>0</v>
      </c>
      <c r="Q1035" s="117" t="n">
        <v>0</v>
      </c>
      <c r="R1035" s="117" t="n">
        <v>0</v>
      </c>
      <c r="S1035" s="118" t="n">
        <v>0</v>
      </c>
      <c r="T1035" s="110" t="n"/>
    </row>
    <row r="1036" ht="13.5" customHeight="1" s="52">
      <c r="A1036" s="104" t="n">
        <v>1029</v>
      </c>
      <c r="B1036" s="119" t="n"/>
      <c r="C1036" s="119" t="n"/>
      <c r="D1036" s="119" t="n"/>
      <c r="F1036" s="115" t="inlineStr">
        <is>
          <t>9819</t>
        </is>
      </c>
      <c r="G1036" s="116" t="n"/>
      <c r="H1036" s="115" t="inlineStr">
        <is>
          <t>Інші цінності і документи</t>
        </is>
      </c>
      <c r="I1036" s="115" t="inlineStr">
        <is>
          <t>А</t>
        </is>
      </c>
      <c r="J1036" s="117" t="n">
        <v>1292271.32069</v>
      </c>
      <c r="K1036" s="117" t="n">
        <v>129.39996</v>
      </c>
      <c r="L1036" s="117" t="n">
        <v>1292141.92073</v>
      </c>
      <c r="M1036" s="117" t="n">
        <v>871697.0978</v>
      </c>
      <c r="N1036" s="116" t="n"/>
      <c r="O1036" s="117" t="n">
        <v>2.737</v>
      </c>
      <c r="P1036" s="117" t="n">
        <v>871694.3608</v>
      </c>
      <c r="Q1036" s="117" t="n">
        <v>65943584.97715</v>
      </c>
      <c r="R1036" s="117" t="n">
        <v>372209.56432</v>
      </c>
      <c r="S1036" s="118" t="n">
        <v>65571375.41283</v>
      </c>
      <c r="T1036" s="110" t="n"/>
    </row>
    <row r="1037" ht="14.25" customHeight="1" s="52">
      <c r="A1037" s="104" t="n">
        <v>1030</v>
      </c>
      <c r="B1037" s="119" t="n"/>
      <c r="C1037" s="119" t="n"/>
      <c r="D1037" s="119" t="n"/>
      <c r="F1037" s="120" t="inlineStr">
        <is>
          <t>Група 981 - Усього</t>
        </is>
      </c>
      <c r="G1037" s="116" t="n"/>
      <c r="H1037" s="116" t="n"/>
      <c r="I1037" s="120" t="n"/>
      <c r="J1037" s="121" t="n">
        <v>1292271.32069</v>
      </c>
      <c r="K1037" s="121" t="n">
        <v>129.39996</v>
      </c>
      <c r="L1037" s="121" t="n">
        <v>1292141.92073</v>
      </c>
      <c r="M1037" s="121" t="n">
        <v>871697.0978</v>
      </c>
      <c r="N1037" s="116" t="n"/>
      <c r="O1037" s="121" t="n">
        <v>2.737</v>
      </c>
      <c r="P1037" s="121" t="n">
        <v>871694.3608</v>
      </c>
      <c r="Q1037" s="121" t="n">
        <v>111513626.10139</v>
      </c>
      <c r="R1037" s="121" t="n">
        <v>45942250.68856</v>
      </c>
      <c r="S1037" s="122" t="n">
        <v>65571375.41283</v>
      </c>
      <c r="T1037" s="110" t="n"/>
    </row>
    <row r="1038" ht="13.5" customHeight="1" s="52">
      <c r="A1038" s="104" t="n">
        <v>1031</v>
      </c>
      <c r="B1038" s="119" t="n"/>
      <c r="C1038" s="119" t="n"/>
      <c r="D1038" s="115" t="inlineStr">
        <is>
          <t>982</t>
        </is>
      </c>
      <c r="E1038" s="116" t="n"/>
      <c r="F1038" s="115" t="inlineStr">
        <is>
          <t>9820</t>
        </is>
      </c>
      <c r="G1038" s="116" t="n"/>
      <c r="H1038" s="115" t="inlineStr">
        <is>
          <t>Бланки цінних паперів</t>
        </is>
      </c>
      <c r="I1038" s="115" t="inlineStr">
        <is>
          <t>А</t>
        </is>
      </c>
      <c r="J1038" s="117" t="n">
        <v>0.028</v>
      </c>
      <c r="K1038" s="117" t="n">
        <v>0.028</v>
      </c>
      <c r="L1038" s="117" t="n">
        <v>0</v>
      </c>
      <c r="M1038" s="117" t="n">
        <v>0.028</v>
      </c>
      <c r="N1038" s="116" t="n"/>
      <c r="O1038" s="117" t="n">
        <v>0.028</v>
      </c>
      <c r="P1038" s="117" t="n">
        <v>0</v>
      </c>
      <c r="Q1038" s="117" t="n">
        <v>2.761</v>
      </c>
      <c r="R1038" s="117" t="n">
        <v>2.761</v>
      </c>
      <c r="S1038" s="118" t="n">
        <v>0</v>
      </c>
      <c r="T1038" s="110" t="n"/>
    </row>
    <row r="1039" ht="13.5" customHeight="1" s="52">
      <c r="A1039" s="104" t="n">
        <v>1032</v>
      </c>
      <c r="B1039" s="119" t="n"/>
      <c r="C1039" s="119" t="n"/>
      <c r="D1039" s="119" t="n"/>
      <c r="F1039" s="115" t="inlineStr">
        <is>
          <t>9821</t>
        </is>
      </c>
      <c r="G1039" s="116" t="n"/>
      <c r="H1039" s="115" t="inlineStr">
        <is>
          <t>Бланки суворого обліку</t>
        </is>
      </c>
      <c r="I1039" s="115" t="inlineStr">
        <is>
          <t>А</t>
        </is>
      </c>
      <c r="J1039" s="117" t="n">
        <v>0.098</v>
      </c>
      <c r="K1039" s="117" t="n">
        <v>0.098</v>
      </c>
      <c r="L1039" s="117" t="n">
        <v>0</v>
      </c>
      <c r="M1039" s="117" t="n">
        <v>0.178</v>
      </c>
      <c r="N1039" s="116" t="n"/>
      <c r="O1039" s="117" t="n">
        <v>0.178</v>
      </c>
      <c r="P1039" s="117" t="n">
        <v>0</v>
      </c>
      <c r="Q1039" s="117" t="n">
        <v>1.292</v>
      </c>
      <c r="R1039" s="117" t="n">
        <v>1.292</v>
      </c>
      <c r="S1039" s="118" t="n">
        <v>0</v>
      </c>
      <c r="T1039" s="110" t="n"/>
    </row>
    <row r="1040" ht="13.5" customHeight="1" s="52">
      <c r="A1040" s="104" t="n">
        <v>1033</v>
      </c>
      <c r="B1040" s="119" t="n"/>
      <c r="C1040" s="119" t="n"/>
      <c r="D1040" s="119" t="n"/>
      <c r="F1040" s="120" t="inlineStr">
        <is>
          <t>Група 982 - Усього</t>
        </is>
      </c>
      <c r="G1040" s="116" t="n"/>
      <c r="H1040" s="116" t="n"/>
      <c r="I1040" s="120" t="n"/>
      <c r="J1040" s="121" t="n">
        <v>0.126</v>
      </c>
      <c r="K1040" s="121" t="n">
        <v>0.126</v>
      </c>
      <c r="L1040" s="121" t="n">
        <v>0</v>
      </c>
      <c r="M1040" s="121" t="n">
        <v>0.206</v>
      </c>
      <c r="N1040" s="116" t="n"/>
      <c r="O1040" s="121" t="n">
        <v>0.206</v>
      </c>
      <c r="P1040" s="121" t="n">
        <v>0</v>
      </c>
      <c r="Q1040" s="121" t="n">
        <v>4.053</v>
      </c>
      <c r="R1040" s="121" t="n">
        <v>4.053</v>
      </c>
      <c r="S1040" s="122" t="n">
        <v>0</v>
      </c>
      <c r="T1040" s="110" t="n"/>
    </row>
    <row r="1041" ht="13.5" customHeight="1" s="52">
      <c r="A1041" s="104" t="n">
        <v>1034</v>
      </c>
      <c r="B1041" s="119" t="n"/>
      <c r="C1041" s="119" t="n"/>
      <c r="D1041" s="115" t="inlineStr">
        <is>
          <t>983</t>
        </is>
      </c>
      <c r="E1041" s="116" t="n"/>
      <c r="F1041" s="115" t="inlineStr">
        <is>
          <t>9830</t>
        </is>
      </c>
      <c r="G1041" s="116" t="n"/>
      <c r="H1041" s="115" t="inlineStr">
        <is>
          <t>Документи і цінності, прийняті на інкасо</t>
        </is>
      </c>
      <c r="I1041" s="115" t="inlineStr">
        <is>
          <t>А</t>
        </is>
      </c>
      <c r="J1041" s="117" t="n">
        <v>29711.72006</v>
      </c>
      <c r="K1041" s="117" t="n">
        <v>0</v>
      </c>
      <c r="L1041" s="117" t="n">
        <v>29711.72006</v>
      </c>
      <c r="M1041" s="117" t="n">
        <v>15290.13797</v>
      </c>
      <c r="N1041" s="116" t="n"/>
      <c r="O1041" s="117" t="n">
        <v>0</v>
      </c>
      <c r="P1041" s="117" t="n">
        <v>15290.13797</v>
      </c>
      <c r="Q1041" s="117" t="n">
        <v>99467.56577</v>
      </c>
      <c r="R1041" s="117" t="n">
        <v>0</v>
      </c>
      <c r="S1041" s="118" t="n">
        <v>99467.56577</v>
      </c>
      <c r="T1041" s="110" t="n"/>
    </row>
    <row r="1042" ht="14.25" customHeight="1" s="52">
      <c r="A1042" s="104" t="n">
        <v>1035</v>
      </c>
      <c r="B1042" s="119" t="n"/>
      <c r="C1042" s="119" t="n"/>
      <c r="D1042" s="119" t="n"/>
      <c r="F1042" s="115" t="inlineStr">
        <is>
          <t>9831</t>
        </is>
      </c>
      <c r="G1042" s="116" t="n"/>
      <c r="H1042" s="115" t="inlineStr">
        <is>
          <t>Документи і цінності, відправлені на інкасо</t>
        </is>
      </c>
      <c r="I1042" s="115" t="inlineStr">
        <is>
          <t>А</t>
        </is>
      </c>
      <c r="J1042" s="117" t="n">
        <v>1450.1844</v>
      </c>
      <c r="K1042" s="117" t="n">
        <v>0</v>
      </c>
      <c r="L1042" s="117" t="n">
        <v>1450.1844</v>
      </c>
      <c r="M1042" s="117" t="n">
        <v>1961.15249</v>
      </c>
      <c r="N1042" s="116" t="n"/>
      <c r="O1042" s="117" t="n">
        <v>0</v>
      </c>
      <c r="P1042" s="117" t="n">
        <v>1961.15249</v>
      </c>
      <c r="Q1042" s="117" t="n">
        <v>60094.88545</v>
      </c>
      <c r="R1042" s="117" t="n">
        <v>56466.13364</v>
      </c>
      <c r="S1042" s="118" t="n">
        <v>3628.75181</v>
      </c>
      <c r="T1042" s="110" t="n"/>
    </row>
    <row r="1043" ht="13.5" customHeight="1" s="52">
      <c r="A1043" s="104" t="n">
        <v>1036</v>
      </c>
      <c r="B1043" s="119" t="n"/>
      <c r="C1043" s="119" t="n"/>
      <c r="D1043" s="119" t="n"/>
      <c r="F1043" s="120" t="inlineStr">
        <is>
          <t>Група 983 - Усього</t>
        </is>
      </c>
      <c r="G1043" s="116" t="n"/>
      <c r="H1043" s="116" t="n"/>
      <c r="I1043" s="120" t="n"/>
      <c r="J1043" s="121" t="n">
        <v>31161.90446</v>
      </c>
      <c r="K1043" s="121" t="n">
        <v>0</v>
      </c>
      <c r="L1043" s="121" t="n">
        <v>31161.90446</v>
      </c>
      <c r="M1043" s="121" t="n">
        <v>17251.29046</v>
      </c>
      <c r="N1043" s="116" t="n"/>
      <c r="O1043" s="121" t="n">
        <v>0</v>
      </c>
      <c r="P1043" s="121" t="n">
        <v>17251.29046</v>
      </c>
      <c r="Q1043" s="121" t="n">
        <v>159562.45122</v>
      </c>
      <c r="R1043" s="121" t="n">
        <v>56466.13364</v>
      </c>
      <c r="S1043" s="122" t="n">
        <v>103096.31758</v>
      </c>
      <c r="T1043" s="110" t="n"/>
    </row>
    <row r="1044" ht="13.5" customHeight="1" s="52">
      <c r="A1044" s="104" t="n">
        <v>1037</v>
      </c>
      <c r="B1044" s="119" t="n"/>
      <c r="C1044" s="119" t="n"/>
      <c r="D1044" s="115" t="inlineStr">
        <is>
          <t>985</t>
        </is>
      </c>
      <c r="E1044" s="116" t="n"/>
      <c r="F1044" s="115" t="inlineStr">
        <is>
          <t>9850</t>
        </is>
      </c>
      <c r="G1044" s="116" t="n"/>
      <c r="H1044" s="115" t="inlineStr">
        <is>
          <t>Кошти на будівництво, які передані в порядку пайової участі</t>
        </is>
      </c>
      <c r="I1044" s="115" t="inlineStr">
        <is>
          <t>А</t>
        </is>
      </c>
      <c r="J1044" s="117" t="n">
        <v>0</v>
      </c>
      <c r="K1044" s="117" t="n">
        <v>0</v>
      </c>
      <c r="L1044" s="117" t="n">
        <v>0</v>
      </c>
      <c r="M1044" s="117" t="n">
        <v>0</v>
      </c>
      <c r="N1044" s="116" t="n"/>
      <c r="O1044" s="117" t="n">
        <v>0</v>
      </c>
      <c r="P1044" s="117" t="n">
        <v>0</v>
      </c>
      <c r="Q1044" s="117" t="n">
        <v>0</v>
      </c>
      <c r="R1044" s="117" t="n">
        <v>0</v>
      </c>
      <c r="S1044" s="118" t="n">
        <v>0</v>
      </c>
      <c r="T1044" s="110" t="n"/>
    </row>
    <row r="1045" ht="13.5" customHeight="1" s="52">
      <c r="A1045" s="104" t="n">
        <v>1038</v>
      </c>
      <c r="B1045" s="119" t="n"/>
      <c r="C1045" s="119" t="n"/>
      <c r="D1045" s="119" t="n"/>
      <c r="F1045" s="120" t="inlineStr">
        <is>
          <t>Група 985 - Усього</t>
        </is>
      </c>
      <c r="G1045" s="116" t="n"/>
      <c r="H1045" s="116" t="n"/>
      <c r="I1045" s="120" t="n"/>
      <c r="J1045" s="121" t="n">
        <v>0</v>
      </c>
      <c r="K1045" s="121" t="n">
        <v>0</v>
      </c>
      <c r="L1045" s="121" t="n">
        <v>0</v>
      </c>
      <c r="M1045" s="121" t="n">
        <v>0</v>
      </c>
      <c r="N1045" s="116" t="n"/>
      <c r="O1045" s="121" t="n">
        <v>0</v>
      </c>
      <c r="P1045" s="121" t="n">
        <v>0</v>
      </c>
      <c r="Q1045" s="121" t="n">
        <v>0</v>
      </c>
      <c r="R1045" s="121" t="n">
        <v>0</v>
      </c>
      <c r="S1045" s="122" t="n">
        <v>0</v>
      </c>
      <c r="T1045" s="110" t="n"/>
    </row>
    <row r="1046" ht="13.5" customHeight="1" s="52">
      <c r="A1046" s="104" t="n">
        <v>1039</v>
      </c>
      <c r="B1046" s="119" t="n"/>
      <c r="C1046" s="119" t="n"/>
      <c r="D1046" s="115" t="inlineStr">
        <is>
          <t>986</t>
        </is>
      </c>
      <c r="E1046" s="116" t="n"/>
      <c r="F1046" s="115" t="inlineStr">
        <is>
          <t>9860</t>
        </is>
      </c>
      <c r="G1046" s="116" t="n"/>
      <c r="H1046" s="115" t="inlineStr">
        <is>
          <t>Кредити, що перебувають на обслуговуванні в банку</t>
        </is>
      </c>
      <c r="I1046" s="115" t="inlineStr">
        <is>
          <t>А</t>
        </is>
      </c>
      <c r="J1046" s="117" t="n">
        <v>0</v>
      </c>
      <c r="K1046" s="117" t="n">
        <v>0</v>
      </c>
      <c r="L1046" s="117" t="n">
        <v>0</v>
      </c>
      <c r="M1046" s="117" t="n">
        <v>0</v>
      </c>
      <c r="N1046" s="116" t="n"/>
      <c r="O1046" s="117" t="n">
        <v>0</v>
      </c>
      <c r="P1046" s="117" t="n">
        <v>0</v>
      </c>
      <c r="Q1046" s="117" t="n">
        <v>0</v>
      </c>
      <c r="R1046" s="117" t="n">
        <v>0</v>
      </c>
      <c r="S1046" s="118" t="n">
        <v>0</v>
      </c>
      <c r="T1046" s="110" t="n"/>
    </row>
    <row r="1047" ht="14.25" customHeight="1" s="52">
      <c r="A1047" s="104" t="n">
        <v>1040</v>
      </c>
      <c r="B1047" s="119" t="n"/>
      <c r="C1047" s="119" t="n"/>
      <c r="D1047" s="119" t="n"/>
      <c r="F1047" s="115" t="inlineStr">
        <is>
          <t>9861</t>
        </is>
      </c>
      <c r="G1047" s="116" t="n"/>
      <c r="H1047" s="115" t="inlineStr">
        <is>
          <t>Процентні доходи за кредитами, що перебувають на обслуговуванні в банку</t>
        </is>
      </c>
      <c r="I1047" s="115" t="inlineStr">
        <is>
          <t>А</t>
        </is>
      </c>
      <c r="J1047" s="117" t="n">
        <v>0</v>
      </c>
      <c r="K1047" s="117" t="n">
        <v>0</v>
      </c>
      <c r="L1047" s="117" t="n">
        <v>0</v>
      </c>
      <c r="M1047" s="117" t="n">
        <v>0</v>
      </c>
      <c r="N1047" s="116" t="n"/>
      <c r="O1047" s="117" t="n">
        <v>0</v>
      </c>
      <c r="P1047" s="117" t="n">
        <v>0</v>
      </c>
      <c r="Q1047" s="117" t="n">
        <v>0</v>
      </c>
      <c r="R1047" s="117" t="n">
        <v>0</v>
      </c>
      <c r="S1047" s="118" t="n">
        <v>0</v>
      </c>
      <c r="T1047" s="110" t="n"/>
    </row>
    <row r="1048" ht="13.5" customHeight="1" s="52">
      <c r="A1048" s="104" t="n">
        <v>1041</v>
      </c>
      <c r="B1048" s="119" t="n"/>
      <c r="C1048" s="119" t="n"/>
      <c r="D1048" s="119" t="n"/>
      <c r="F1048" s="120" t="inlineStr">
        <is>
          <t>Група 986 - Усього</t>
        </is>
      </c>
      <c r="G1048" s="116" t="n"/>
      <c r="H1048" s="116" t="n"/>
      <c r="I1048" s="120" t="n"/>
      <c r="J1048" s="121" t="n">
        <v>0</v>
      </c>
      <c r="K1048" s="121" t="n">
        <v>0</v>
      </c>
      <c r="L1048" s="121" t="n">
        <v>0</v>
      </c>
      <c r="M1048" s="121" t="n">
        <v>0</v>
      </c>
      <c r="N1048" s="116" t="n"/>
      <c r="O1048" s="121" t="n">
        <v>0</v>
      </c>
      <c r="P1048" s="121" t="n">
        <v>0</v>
      </c>
      <c r="Q1048" s="121" t="n">
        <v>0</v>
      </c>
      <c r="R1048" s="121" t="n">
        <v>0</v>
      </c>
      <c r="S1048" s="122" t="n">
        <v>0</v>
      </c>
      <c r="T1048" s="110" t="n"/>
    </row>
    <row r="1049" ht="13.5" customHeight="1" s="52">
      <c r="A1049" s="104" t="n">
        <v>1042</v>
      </c>
      <c r="B1049" s="119" t="n"/>
      <c r="C1049" s="119" t="n"/>
      <c r="D1049" s="115" t="inlineStr">
        <is>
          <t>989</t>
        </is>
      </c>
      <c r="E1049" s="116" t="n"/>
      <c r="F1049" s="115" t="inlineStr">
        <is>
          <t>9890</t>
        </is>
      </c>
      <c r="G1049" s="116" t="n"/>
      <c r="H1049" s="115" t="inlineStr">
        <is>
          <t>Бланки цінних паперів в підзвіті</t>
        </is>
      </c>
      <c r="I1049" s="115" t="inlineStr">
        <is>
          <t>А</t>
        </is>
      </c>
      <c r="J1049" s="117" t="n">
        <v>0</v>
      </c>
      <c r="K1049" s="117" t="n">
        <v>0</v>
      </c>
      <c r="L1049" s="117" t="n">
        <v>0</v>
      </c>
      <c r="M1049" s="117" t="n">
        <v>0</v>
      </c>
      <c r="N1049" s="116" t="n"/>
      <c r="O1049" s="117" t="n">
        <v>0</v>
      </c>
      <c r="P1049" s="117" t="n">
        <v>0</v>
      </c>
      <c r="Q1049" s="117" t="n">
        <v>0</v>
      </c>
      <c r="R1049" s="117" t="n">
        <v>0</v>
      </c>
      <c r="S1049" s="118" t="n">
        <v>0</v>
      </c>
      <c r="T1049" s="110" t="n"/>
    </row>
    <row r="1050" ht="13.5" customHeight="1" s="52">
      <c r="A1050" s="104" t="n">
        <v>1043</v>
      </c>
      <c r="B1050" s="119" t="n"/>
      <c r="C1050" s="119" t="n"/>
      <c r="D1050" s="119" t="n"/>
      <c r="F1050" s="115" t="inlineStr">
        <is>
          <t>9891</t>
        </is>
      </c>
      <c r="G1050" s="116" t="n"/>
      <c r="H1050" s="115" t="inlineStr">
        <is>
          <t>Бланки цінних паперів в дорозі</t>
        </is>
      </c>
      <c r="I1050" s="115" t="inlineStr">
        <is>
          <t>А</t>
        </is>
      </c>
      <c r="J1050" s="117" t="n">
        <v>0.028</v>
      </c>
      <c r="K1050" s="117" t="n">
        <v>0.028</v>
      </c>
      <c r="L1050" s="117" t="n">
        <v>0</v>
      </c>
      <c r="M1050" s="117" t="n">
        <v>0.028</v>
      </c>
      <c r="N1050" s="116" t="n"/>
      <c r="O1050" s="117" t="n">
        <v>0.028</v>
      </c>
      <c r="P1050" s="117" t="n">
        <v>0</v>
      </c>
      <c r="Q1050" s="117" t="n">
        <v>0</v>
      </c>
      <c r="R1050" s="117" t="n">
        <v>0</v>
      </c>
      <c r="S1050" s="118" t="n">
        <v>0</v>
      </c>
      <c r="T1050" s="110" t="n"/>
    </row>
    <row r="1051" ht="13.5" customHeight="1" s="52">
      <c r="A1051" s="104" t="n">
        <v>1044</v>
      </c>
      <c r="B1051" s="119" t="n"/>
      <c r="C1051" s="119" t="n"/>
      <c r="D1051" s="119" t="n"/>
      <c r="F1051" s="115" t="inlineStr">
        <is>
          <t>9892</t>
        </is>
      </c>
      <c r="G1051" s="116" t="n"/>
      <c r="H1051" s="115" t="inlineStr">
        <is>
          <t>Бланки суворого обліку в підзвіті</t>
        </is>
      </c>
      <c r="I1051" s="115" t="inlineStr">
        <is>
          <t>А</t>
        </is>
      </c>
      <c r="J1051" s="117" t="n">
        <v>0</v>
      </c>
      <c r="K1051" s="117" t="n">
        <v>0</v>
      </c>
      <c r="L1051" s="117" t="n">
        <v>0</v>
      </c>
      <c r="M1051" s="117" t="n">
        <v>4.394</v>
      </c>
      <c r="N1051" s="116" t="n"/>
      <c r="O1051" s="117" t="n">
        <v>4.394</v>
      </c>
      <c r="P1051" s="117" t="n">
        <v>0</v>
      </c>
      <c r="Q1051" s="117" t="n">
        <v>139.275</v>
      </c>
      <c r="R1051" s="117" t="n">
        <v>139.275</v>
      </c>
      <c r="S1051" s="118" t="n">
        <v>0</v>
      </c>
      <c r="T1051" s="110" t="n"/>
    </row>
    <row r="1052" ht="14.25" customHeight="1" s="52">
      <c r="A1052" s="104" t="n">
        <v>1045</v>
      </c>
      <c r="B1052" s="119" t="n"/>
      <c r="C1052" s="119" t="n"/>
      <c r="D1052" s="119" t="n"/>
      <c r="F1052" s="115" t="inlineStr">
        <is>
          <t>9893</t>
        </is>
      </c>
      <c r="G1052" s="116" t="n"/>
      <c r="H1052" s="115" t="inlineStr">
        <is>
          <t>Бланки суворого обліку в дорозі</t>
        </is>
      </c>
      <c r="I1052" s="115" t="inlineStr">
        <is>
          <t>А</t>
        </is>
      </c>
      <c r="J1052" s="117" t="n">
        <v>0.098</v>
      </c>
      <c r="K1052" s="117" t="n">
        <v>0.098</v>
      </c>
      <c r="L1052" s="117" t="n">
        <v>0</v>
      </c>
      <c r="M1052" s="117" t="n">
        <v>0.098</v>
      </c>
      <c r="N1052" s="116" t="n"/>
      <c r="O1052" s="117" t="n">
        <v>0.098</v>
      </c>
      <c r="P1052" s="117" t="n">
        <v>0</v>
      </c>
      <c r="Q1052" s="117" t="n">
        <v>0</v>
      </c>
      <c r="R1052" s="117" t="n">
        <v>0</v>
      </c>
      <c r="S1052" s="118" t="n">
        <v>0</v>
      </c>
      <c r="T1052" s="110" t="n"/>
    </row>
    <row r="1053" ht="13.5" customHeight="1" s="52">
      <c r="A1053" s="104" t="n">
        <v>1046</v>
      </c>
      <c r="B1053" s="119" t="n"/>
      <c r="C1053" s="119" t="n"/>
      <c r="D1053" s="119" t="n"/>
      <c r="F1053" s="115" t="inlineStr">
        <is>
          <t>9898</t>
        </is>
      </c>
      <c r="G1053" s="116" t="n"/>
      <c r="H1053" s="115" t="inlineStr">
        <is>
          <t>Інші цінності та документи в підзвіті</t>
        </is>
      </c>
      <c r="I1053" s="115" t="inlineStr">
        <is>
          <t>А</t>
        </is>
      </c>
      <c r="J1053" s="117" t="n">
        <v>51.321</v>
      </c>
      <c r="K1053" s="117" t="n">
        <v>51.321</v>
      </c>
      <c r="L1053" s="117" t="n">
        <v>0</v>
      </c>
      <c r="M1053" s="117" t="n">
        <v>53.058</v>
      </c>
      <c r="N1053" s="116" t="n"/>
      <c r="O1053" s="117" t="n">
        <v>53.058</v>
      </c>
      <c r="P1053" s="117" t="n">
        <v>0</v>
      </c>
      <c r="Q1053" s="117" t="n">
        <v>27988.706</v>
      </c>
      <c r="R1053" s="117" t="n">
        <v>27988.706</v>
      </c>
      <c r="S1053" s="118" t="n">
        <v>0</v>
      </c>
      <c r="T1053" s="110" t="n"/>
    </row>
    <row r="1054" ht="13.5" customHeight="1" s="52">
      <c r="A1054" s="104" t="n">
        <v>1047</v>
      </c>
      <c r="B1054" s="119" t="n"/>
      <c r="C1054" s="119" t="n"/>
      <c r="D1054" s="119" t="n"/>
      <c r="F1054" s="115" t="inlineStr">
        <is>
          <t>9899</t>
        </is>
      </c>
      <c r="G1054" s="116" t="n"/>
      <c r="H1054" s="115" t="inlineStr">
        <is>
          <t>Інші цінності та документи в дорозі</t>
        </is>
      </c>
      <c r="I1054" s="115" t="inlineStr">
        <is>
          <t>А</t>
        </is>
      </c>
      <c r="J1054" s="117" t="n">
        <v>70.65146</v>
      </c>
      <c r="K1054" s="117" t="n">
        <v>7.081</v>
      </c>
      <c r="L1054" s="117" t="n">
        <v>63.57046</v>
      </c>
      <c r="M1054" s="117" t="n">
        <v>70.63046</v>
      </c>
      <c r="N1054" s="116" t="n"/>
      <c r="O1054" s="117" t="n">
        <v>7.06</v>
      </c>
      <c r="P1054" s="117" t="n">
        <v>63.57046</v>
      </c>
      <c r="Q1054" s="117" t="n">
        <v>0.122</v>
      </c>
      <c r="R1054" s="117" t="n">
        <v>0.122</v>
      </c>
      <c r="S1054" s="118" t="n">
        <v>0</v>
      </c>
      <c r="T1054" s="110" t="n"/>
    </row>
    <row r="1055" ht="13.5" customHeight="1" s="52">
      <c r="A1055" s="104" t="n">
        <v>1048</v>
      </c>
      <c r="B1055" s="119" t="n"/>
      <c r="C1055" s="119" t="n"/>
      <c r="D1055" s="119" t="n"/>
      <c r="F1055" s="120" t="inlineStr">
        <is>
          <t>Група 989 - Усього</t>
        </is>
      </c>
      <c r="G1055" s="116" t="n"/>
      <c r="H1055" s="116" t="n"/>
      <c r="I1055" s="120" t="n"/>
      <c r="J1055" s="121" t="n">
        <v>122.09846</v>
      </c>
      <c r="K1055" s="121" t="n">
        <v>58.528</v>
      </c>
      <c r="L1055" s="121" t="n">
        <v>63.57046</v>
      </c>
      <c r="M1055" s="121" t="n">
        <v>128.20846</v>
      </c>
      <c r="N1055" s="116" t="n"/>
      <c r="O1055" s="121" t="n">
        <v>64.63800000000001</v>
      </c>
      <c r="P1055" s="121" t="n">
        <v>63.57046</v>
      </c>
      <c r="Q1055" s="121" t="n">
        <v>28128.103</v>
      </c>
      <c r="R1055" s="121" t="n">
        <v>28128.103</v>
      </c>
      <c r="S1055" s="122" t="n">
        <v>0</v>
      </c>
      <c r="T1055" s="110" t="n"/>
    </row>
    <row r="1056" ht="19.5" customHeight="1" s="52">
      <c r="A1056" s="104" t="n">
        <v>1049</v>
      </c>
      <c r="B1056" s="119" t="n"/>
      <c r="C1056" s="119" t="n"/>
      <c r="D1056" s="120" t="inlineStr">
        <is>
          <t>Розділ 98 - Усього</t>
        </is>
      </c>
      <c r="E1056" s="116" t="n"/>
      <c r="F1056" s="120" t="n"/>
      <c r="G1056" s="116" t="n"/>
      <c r="H1056" s="116" t="n"/>
      <c r="I1056" s="120" t="n"/>
      <c r="J1056" s="121" t="n">
        <v>1482474.1466</v>
      </c>
      <c r="K1056" s="121" t="n">
        <v>191.35196</v>
      </c>
      <c r="L1056" s="121" t="n">
        <v>1482282.79464</v>
      </c>
      <c r="M1056" s="121" t="n">
        <v>1004594.00413</v>
      </c>
      <c r="N1056" s="116" t="n"/>
      <c r="O1056" s="121" t="n">
        <v>69.873</v>
      </c>
      <c r="P1056" s="121" t="n">
        <v>1004524.13113</v>
      </c>
      <c r="Q1056" s="121" t="n">
        <v>115190649.37603</v>
      </c>
      <c r="R1056" s="121" t="n">
        <v>46082012.8319</v>
      </c>
      <c r="S1056" s="122" t="n">
        <v>69108636.54413</v>
      </c>
      <c r="T1056" s="110" t="n"/>
    </row>
    <row r="1057" ht="20.25" customHeight="1" s="52">
      <c r="A1057" s="104" t="n">
        <v>1050</v>
      </c>
      <c r="B1057" s="119" t="n"/>
      <c r="C1057" s="120" t="inlineStr">
        <is>
          <t xml:space="preserve">  Клас 9 - Усього</t>
        </is>
      </c>
      <c r="D1057" s="120" t="n"/>
      <c r="E1057" s="116" t="n"/>
      <c r="F1057" s="120" t="n"/>
      <c r="G1057" s="116" t="n"/>
      <c r="H1057" s="116" t="n"/>
      <c r="I1057" s="120" t="n"/>
      <c r="J1057" s="121" t="n">
        <v>117067849.66819</v>
      </c>
      <c r="K1057" s="121" t="n">
        <v>36196580.18697</v>
      </c>
      <c r="L1057" s="121" t="n">
        <v>80871269.48122001</v>
      </c>
      <c r="M1057" s="121" t="n">
        <v>103180966.32548</v>
      </c>
      <c r="N1057" s="116" t="n"/>
      <c r="O1057" s="121" t="n">
        <v>30900591.72585</v>
      </c>
      <c r="P1057" s="121" t="n">
        <v>72280374.59963</v>
      </c>
      <c r="Q1057" s="121" t="n">
        <v>466745377.65084</v>
      </c>
      <c r="R1057" s="121" t="n">
        <v>271033368.12657</v>
      </c>
      <c r="S1057" s="122" t="n">
        <v>195712009.52427</v>
      </c>
      <c r="T1057" s="110" t="n"/>
    </row>
    <row r="1058" ht="45" customHeight="1" s="52">
      <c r="A1058" s="104" t="n">
        <v>1051</v>
      </c>
      <c r="B1058" s="123" t="inlineStr">
        <is>
          <t>. Позабалансові 90-98 А - Усього</t>
        </is>
      </c>
      <c r="C1058" s="123" t="n"/>
      <c r="D1058" s="123" t="n"/>
      <c r="E1058" s="124" t="n"/>
      <c r="F1058" s="123" t="n"/>
      <c r="G1058" s="124" t="n"/>
      <c r="H1058" s="124" t="n"/>
      <c r="I1058" s="123" t="n"/>
      <c r="J1058" s="125" t="n">
        <v>117067849.66819</v>
      </c>
      <c r="K1058" s="125" t="n">
        <v>36196580.18697</v>
      </c>
      <c r="L1058" s="125" t="n">
        <v>80871269.48122001</v>
      </c>
      <c r="M1058" s="125" t="n">
        <v>103180966.32548</v>
      </c>
      <c r="N1058" s="124" t="n"/>
      <c r="O1058" s="125" t="n">
        <v>30900591.72585</v>
      </c>
      <c r="P1058" s="125" t="n">
        <v>72280374.59963</v>
      </c>
      <c r="Q1058" s="125" t="n">
        <v>466745377.65084</v>
      </c>
      <c r="R1058" s="125" t="n">
        <v>271033368.12657</v>
      </c>
      <c r="S1058" s="126" t="n">
        <v>195712009.52427</v>
      </c>
      <c r="T1058" s="110" t="n"/>
    </row>
    <row r="1059" ht="13.5" customHeight="1" s="52">
      <c r="A1059" s="104" t="n">
        <v>1052</v>
      </c>
      <c r="B1059" s="115" t="inlineStr">
        <is>
          <t>Клас 9</t>
        </is>
      </c>
      <c r="C1059" s="115" t="inlineStr">
        <is>
          <t>99</t>
        </is>
      </c>
      <c r="D1059" s="115" t="inlineStr">
        <is>
          <t>990</t>
        </is>
      </c>
      <c r="E1059" s="116" t="n"/>
      <c r="F1059" s="115" t="inlineStr">
        <is>
          <t>9900</t>
        </is>
      </c>
      <c r="G1059" s="116" t="n"/>
      <c r="H1059" s="115" t="inlineStr">
        <is>
          <t>Контррахунки для рахунків розділів 90-95</t>
        </is>
      </c>
      <c r="I1059" s="115" t="inlineStr">
        <is>
          <t>А</t>
        </is>
      </c>
      <c r="J1059" s="117" t="n">
        <v>60570034.0731</v>
      </c>
      <c r="K1059" s="117" t="n">
        <v>28799251.48544</v>
      </c>
      <c r="L1059" s="117" t="n">
        <v>31770782.58766</v>
      </c>
      <c r="M1059" s="117" t="n">
        <v>55748749.10999</v>
      </c>
      <c r="N1059" s="116" t="n"/>
      <c r="O1059" s="117" t="n">
        <v>28620096.40946</v>
      </c>
      <c r="P1059" s="117" t="n">
        <v>27128652.70053</v>
      </c>
      <c r="Q1059" s="117" t="n">
        <v>601558038.4474</v>
      </c>
      <c r="R1059" s="117" t="n">
        <v>537886279.05854</v>
      </c>
      <c r="S1059" s="118" t="n">
        <v>63671759.38886</v>
      </c>
      <c r="T1059" s="110" t="n"/>
    </row>
    <row r="1060" ht="13.5" customHeight="1" s="52">
      <c r="A1060" s="104" t="n">
        <v>1053</v>
      </c>
      <c r="B1060" s="119" t="n"/>
      <c r="C1060" s="119" t="n"/>
      <c r="D1060" s="119" t="n"/>
      <c r="F1060" s="115" t="inlineStr">
        <is>
          <t>9901</t>
        </is>
      </c>
      <c r="G1060" s="116" t="n"/>
      <c r="H1060" s="115" t="inlineStr">
        <is>
          <t>0</t>
        </is>
      </c>
      <c r="I1060" s="115" t="inlineStr">
        <is>
          <t>А</t>
        </is>
      </c>
      <c r="J1060" s="117" t="n">
        <v>0</v>
      </c>
      <c r="K1060" s="117" t="n">
        <v>0</v>
      </c>
      <c r="L1060" s="117" t="n">
        <v>0</v>
      </c>
      <c r="M1060" s="117" t="n">
        <v>0</v>
      </c>
      <c r="N1060" s="116" t="n"/>
      <c r="O1060" s="117" t="n">
        <v>0</v>
      </c>
      <c r="P1060" s="117" t="n">
        <v>0</v>
      </c>
      <c r="Q1060" s="117" t="n">
        <v>0</v>
      </c>
      <c r="R1060" s="117" t="n">
        <v>0</v>
      </c>
      <c r="S1060" s="118" t="n">
        <v>0</v>
      </c>
      <c r="T1060" s="110" t="n"/>
    </row>
    <row r="1061" ht="14.25" customHeight="1" s="52">
      <c r="A1061" s="104" t="n">
        <v>1054</v>
      </c>
      <c r="B1061" s="119" t="n"/>
      <c r="C1061" s="119" t="n"/>
      <c r="D1061" s="119" t="n"/>
      <c r="F1061" s="115" t="inlineStr">
        <is>
          <t>9904</t>
        </is>
      </c>
      <c r="G1061" s="116" t="n"/>
      <c r="H1061" s="115" t="inlineStr">
        <is>
          <t>0</t>
        </is>
      </c>
      <c r="I1061" s="115" t="inlineStr">
        <is>
          <t>А</t>
        </is>
      </c>
      <c r="J1061" s="117" t="n">
        <v>0</v>
      </c>
      <c r="K1061" s="117" t="n">
        <v>0</v>
      </c>
      <c r="L1061" s="117" t="n">
        <v>0</v>
      </c>
      <c r="M1061" s="117" t="n">
        <v>0</v>
      </c>
      <c r="N1061" s="116" t="n"/>
      <c r="O1061" s="117" t="n">
        <v>0</v>
      </c>
      <c r="P1061" s="117" t="n">
        <v>0</v>
      </c>
      <c r="Q1061" s="117" t="n">
        <v>0</v>
      </c>
      <c r="R1061" s="117" t="n">
        <v>0</v>
      </c>
      <c r="S1061" s="118" t="n">
        <v>0</v>
      </c>
      <c r="T1061" s="110" t="n"/>
    </row>
    <row r="1062" ht="13.5" customHeight="1" s="52">
      <c r="A1062" s="104" t="n">
        <v>1055</v>
      </c>
      <c r="B1062" s="119" t="n"/>
      <c r="C1062" s="119" t="n"/>
      <c r="D1062" s="119" t="n"/>
      <c r="F1062" s="115" t="inlineStr">
        <is>
          <t>9905</t>
        </is>
      </c>
      <c r="G1062" s="116" t="n"/>
      <c r="H1062" s="115" t="inlineStr">
        <is>
          <t>0</t>
        </is>
      </c>
      <c r="I1062" s="115" t="inlineStr">
        <is>
          <t>А</t>
        </is>
      </c>
      <c r="J1062" s="117" t="n">
        <v>0</v>
      </c>
      <c r="K1062" s="117" t="n">
        <v>0</v>
      </c>
      <c r="L1062" s="117" t="n">
        <v>0</v>
      </c>
      <c r="M1062" s="117" t="n">
        <v>0</v>
      </c>
      <c r="N1062" s="116" t="n"/>
      <c r="O1062" s="117" t="n">
        <v>0</v>
      </c>
      <c r="P1062" s="117" t="n">
        <v>0</v>
      </c>
      <c r="Q1062" s="117" t="n">
        <v>0</v>
      </c>
      <c r="R1062" s="117" t="n">
        <v>0</v>
      </c>
      <c r="S1062" s="118" t="n">
        <v>0</v>
      </c>
      <c r="T1062" s="110" t="n"/>
    </row>
    <row r="1063" ht="13.5" customHeight="1" s="52">
      <c r="A1063" s="104" t="n">
        <v>1056</v>
      </c>
      <c r="B1063" s="119" t="n"/>
      <c r="C1063" s="119" t="n"/>
      <c r="D1063" s="119" t="n"/>
      <c r="F1063" s="115" t="inlineStr">
        <is>
          <t>9906</t>
        </is>
      </c>
      <c r="G1063" s="116" t="n"/>
      <c r="H1063" s="115" t="inlineStr">
        <is>
          <t>0</t>
        </is>
      </c>
      <c r="I1063" s="115" t="inlineStr">
        <is>
          <t>А</t>
        </is>
      </c>
      <c r="J1063" s="117" t="n">
        <v>0</v>
      </c>
      <c r="K1063" s="117" t="n">
        <v>0</v>
      </c>
      <c r="L1063" s="117" t="n">
        <v>0</v>
      </c>
      <c r="M1063" s="117" t="n">
        <v>0</v>
      </c>
      <c r="N1063" s="116" t="n"/>
      <c r="O1063" s="117" t="n">
        <v>0</v>
      </c>
      <c r="P1063" s="117" t="n">
        <v>0</v>
      </c>
      <c r="Q1063" s="117" t="n">
        <v>0</v>
      </c>
      <c r="R1063" s="117" t="n">
        <v>0</v>
      </c>
      <c r="S1063" s="118" t="n">
        <v>0</v>
      </c>
      <c r="T1063" s="110" t="n"/>
    </row>
    <row r="1064" ht="13.5" customHeight="1" s="52">
      <c r="A1064" s="104" t="n">
        <v>1057</v>
      </c>
      <c r="B1064" s="119" t="n"/>
      <c r="C1064" s="119" t="n"/>
      <c r="D1064" s="119" t="n"/>
      <c r="F1064" s="120" t="inlineStr">
        <is>
          <t>Група 990 - Усього</t>
        </is>
      </c>
      <c r="G1064" s="116" t="n"/>
      <c r="H1064" s="116" t="n"/>
      <c r="I1064" s="120" t="n"/>
      <c r="J1064" s="121" t="n">
        <v>60570034.0731</v>
      </c>
      <c r="K1064" s="121" t="n">
        <v>28799251.48544</v>
      </c>
      <c r="L1064" s="121" t="n">
        <v>31770782.58766</v>
      </c>
      <c r="M1064" s="121" t="n">
        <v>55748749.10999</v>
      </c>
      <c r="N1064" s="116" t="n"/>
      <c r="O1064" s="121" t="n">
        <v>28620096.40946</v>
      </c>
      <c r="P1064" s="121" t="n">
        <v>27128652.70053</v>
      </c>
      <c r="Q1064" s="121" t="n">
        <v>601558038.4474</v>
      </c>
      <c r="R1064" s="121" t="n">
        <v>537886279.05854</v>
      </c>
      <c r="S1064" s="122" t="n">
        <v>63671759.38886</v>
      </c>
      <c r="T1064" s="110" t="n"/>
    </row>
    <row r="1065" ht="13.5" customHeight="1" s="52">
      <c r="A1065" s="104" t="n">
        <v>1058</v>
      </c>
      <c r="B1065" s="119" t="n"/>
      <c r="C1065" s="119" t="n"/>
      <c r="D1065" s="115" t="inlineStr">
        <is>
          <t>991</t>
        </is>
      </c>
      <c r="E1065" s="116" t="n"/>
      <c r="F1065" s="115" t="inlineStr">
        <is>
          <t>9910</t>
        </is>
      </c>
      <c r="G1065" s="116" t="n"/>
      <c r="H1065" s="115" t="inlineStr">
        <is>
          <t>Контррахунки для рахунків розділів 96-98</t>
        </is>
      </c>
      <c r="I1065" s="115" t="inlineStr">
        <is>
          <t>А</t>
        </is>
      </c>
      <c r="J1065" s="117" t="n">
        <v>4770751.89165</v>
      </c>
      <c r="K1065" s="117" t="n">
        <v>32423.21481</v>
      </c>
      <c r="L1065" s="117" t="n">
        <v>4738328.67684</v>
      </c>
      <c r="M1065" s="117" t="n">
        <v>3521745.378</v>
      </c>
      <c r="N1065" s="116" t="n"/>
      <c r="O1065" s="117" t="n">
        <v>575577.92415</v>
      </c>
      <c r="P1065" s="117" t="n">
        <v>2946167.45385</v>
      </c>
      <c r="Q1065" s="117" t="n">
        <v>21396.79339</v>
      </c>
      <c r="R1065" s="117" t="n">
        <v>14227.63176</v>
      </c>
      <c r="S1065" s="118" t="n">
        <v>7169.16163</v>
      </c>
      <c r="T1065" s="110" t="n"/>
    </row>
    <row r="1066" ht="14.25" customHeight="1" s="52">
      <c r="A1066" s="104" t="n">
        <v>1059</v>
      </c>
      <c r="B1066" s="119" t="n"/>
      <c r="C1066" s="119" t="n"/>
      <c r="D1066" s="119" t="n"/>
      <c r="F1066" s="115" t="inlineStr">
        <is>
          <t>9911</t>
        </is>
      </c>
      <c r="G1066" s="116" t="n"/>
      <c r="H1066" s="115" t="inlineStr">
        <is>
          <t>0</t>
        </is>
      </c>
      <c r="I1066" s="115" t="inlineStr">
        <is>
          <t>А</t>
        </is>
      </c>
      <c r="J1066" s="117" t="n">
        <v>0</v>
      </c>
      <c r="K1066" s="117" t="n">
        <v>0</v>
      </c>
      <c r="L1066" s="117" t="n">
        <v>0</v>
      </c>
      <c r="M1066" s="117" t="n">
        <v>0</v>
      </c>
      <c r="N1066" s="116" t="n"/>
      <c r="O1066" s="117" t="n">
        <v>0</v>
      </c>
      <c r="P1066" s="117" t="n">
        <v>0</v>
      </c>
      <c r="Q1066" s="117" t="n">
        <v>0</v>
      </c>
      <c r="R1066" s="117" t="n">
        <v>0</v>
      </c>
      <c r="S1066" s="118" t="n">
        <v>0</v>
      </c>
      <c r="T1066" s="110" t="n"/>
    </row>
    <row r="1067" ht="13.5" customHeight="1" s="52">
      <c r="A1067" s="104" t="n">
        <v>1060</v>
      </c>
      <c r="B1067" s="119" t="n"/>
      <c r="C1067" s="119" t="n"/>
      <c r="D1067" s="119" t="n"/>
      <c r="F1067" s="115" t="inlineStr">
        <is>
          <t>9912</t>
        </is>
      </c>
      <c r="G1067" s="116" t="n"/>
      <c r="H1067" s="115" t="inlineStr">
        <is>
          <t>0</t>
        </is>
      </c>
      <c r="I1067" s="115" t="inlineStr">
        <is>
          <t>А</t>
        </is>
      </c>
      <c r="J1067" s="117" t="n">
        <v>0</v>
      </c>
      <c r="K1067" s="117" t="n">
        <v>0</v>
      </c>
      <c r="L1067" s="117" t="n">
        <v>0</v>
      </c>
      <c r="M1067" s="117" t="n">
        <v>0</v>
      </c>
      <c r="N1067" s="116" t="n"/>
      <c r="O1067" s="117" t="n">
        <v>0</v>
      </c>
      <c r="P1067" s="117" t="n">
        <v>0</v>
      </c>
      <c r="Q1067" s="117" t="n">
        <v>0</v>
      </c>
      <c r="R1067" s="117" t="n">
        <v>0</v>
      </c>
      <c r="S1067" s="118" t="n">
        <v>0</v>
      </c>
      <c r="T1067" s="110" t="n"/>
    </row>
    <row r="1068" ht="13.5" customHeight="1" s="52">
      <c r="A1068" s="104" t="n">
        <v>1061</v>
      </c>
      <c r="B1068" s="119" t="n"/>
      <c r="C1068" s="119" t="n"/>
      <c r="D1068" s="119" t="n"/>
      <c r="F1068" s="115" t="inlineStr">
        <is>
          <t>9913</t>
        </is>
      </c>
      <c r="G1068" s="116" t="n"/>
      <c r="H1068" s="115" t="inlineStr">
        <is>
          <t>0</t>
        </is>
      </c>
      <c r="I1068" s="115" t="inlineStr">
        <is>
          <t>А</t>
        </is>
      </c>
      <c r="J1068" s="117" t="n">
        <v>0</v>
      </c>
      <c r="K1068" s="117" t="n">
        <v>0</v>
      </c>
      <c r="L1068" s="117" t="n">
        <v>0</v>
      </c>
      <c r="M1068" s="117" t="n">
        <v>0</v>
      </c>
      <c r="N1068" s="116" t="n"/>
      <c r="O1068" s="117" t="n">
        <v>0</v>
      </c>
      <c r="P1068" s="117" t="n">
        <v>0</v>
      </c>
      <c r="Q1068" s="117" t="n">
        <v>0</v>
      </c>
      <c r="R1068" s="117" t="n">
        <v>0</v>
      </c>
      <c r="S1068" s="118" t="n">
        <v>0</v>
      </c>
      <c r="T1068" s="110" t="n"/>
    </row>
    <row r="1069" ht="13.5" customHeight="1" s="52">
      <c r="A1069" s="104" t="n">
        <v>1062</v>
      </c>
      <c r="B1069" s="119" t="n"/>
      <c r="C1069" s="119" t="n"/>
      <c r="D1069" s="119" t="n"/>
      <c r="F1069" s="115" t="inlineStr">
        <is>
          <t>9914</t>
        </is>
      </c>
      <c r="G1069" s="116" t="n"/>
      <c r="H1069" s="115" t="inlineStr">
        <is>
          <t>0</t>
        </is>
      </c>
      <c r="I1069" s="115" t="inlineStr">
        <is>
          <t>А</t>
        </is>
      </c>
      <c r="J1069" s="117" t="n">
        <v>0</v>
      </c>
      <c r="K1069" s="117" t="n">
        <v>0</v>
      </c>
      <c r="L1069" s="117" t="n">
        <v>0</v>
      </c>
      <c r="M1069" s="117" t="n">
        <v>0</v>
      </c>
      <c r="N1069" s="116" t="n"/>
      <c r="O1069" s="117" t="n">
        <v>0</v>
      </c>
      <c r="P1069" s="117" t="n">
        <v>0</v>
      </c>
      <c r="Q1069" s="117" t="n">
        <v>0</v>
      </c>
      <c r="R1069" s="117" t="n">
        <v>0</v>
      </c>
      <c r="S1069" s="118" t="n">
        <v>0</v>
      </c>
      <c r="T1069" s="110" t="n"/>
    </row>
    <row r="1070" ht="13.5" customHeight="1" s="52">
      <c r="A1070" s="104" t="n">
        <v>1063</v>
      </c>
      <c r="B1070" s="119" t="n"/>
      <c r="C1070" s="119" t="n"/>
      <c r="D1070" s="119" t="n"/>
      <c r="F1070" s="120" t="inlineStr">
        <is>
          <t>Група 991 - Усього</t>
        </is>
      </c>
      <c r="G1070" s="116" t="n"/>
      <c r="H1070" s="116" t="n"/>
      <c r="I1070" s="120" t="n"/>
      <c r="J1070" s="121" t="n">
        <v>4770751.89165</v>
      </c>
      <c r="K1070" s="121" t="n">
        <v>32423.21481</v>
      </c>
      <c r="L1070" s="121" t="n">
        <v>4738328.67684</v>
      </c>
      <c r="M1070" s="121" t="n">
        <v>3521745.378</v>
      </c>
      <c r="N1070" s="116" t="n"/>
      <c r="O1070" s="121" t="n">
        <v>575577.92415</v>
      </c>
      <c r="P1070" s="121" t="n">
        <v>2946167.45385</v>
      </c>
      <c r="Q1070" s="121" t="n">
        <v>21396.79339</v>
      </c>
      <c r="R1070" s="121" t="n">
        <v>14227.63176</v>
      </c>
      <c r="S1070" s="122" t="n">
        <v>7169.16163</v>
      </c>
      <c r="T1070" s="110" t="n"/>
    </row>
    <row r="1071" ht="14.25" customHeight="1" s="52">
      <c r="A1071" s="104" t="n">
        <v>1064</v>
      </c>
      <c r="B1071" s="119" t="n"/>
      <c r="C1071" s="119" t="n"/>
      <c r="D1071" s="115" t="inlineStr">
        <is>
          <t>992</t>
        </is>
      </c>
      <c r="E1071" s="116" t="n"/>
      <c r="F1071" s="115" t="inlineStr">
        <is>
          <t>9920</t>
        </is>
      </c>
      <c r="G1071" s="116" t="n"/>
      <c r="H1071" s="115" t="inlineStr">
        <is>
          <t>Позабалансова позиція банку за іноземною валютою та банківськими металами</t>
        </is>
      </c>
      <c r="I1071" s="115" t="inlineStr">
        <is>
          <t>А</t>
        </is>
      </c>
      <c r="J1071" s="117" t="n">
        <v>160127397.45776</v>
      </c>
      <c r="K1071" s="117" t="n">
        <v>63304495.5984</v>
      </c>
      <c r="L1071" s="117" t="n">
        <v>96822901.85935999</v>
      </c>
      <c r="M1071" s="117" t="n">
        <v>160139893.11541</v>
      </c>
      <c r="N1071" s="116" t="n"/>
      <c r="O1071" s="117" t="n">
        <v>58398337.95845</v>
      </c>
      <c r="P1071" s="117" t="n">
        <v>101741555.15696</v>
      </c>
      <c r="Q1071" s="117" t="n">
        <v>14913056.18061</v>
      </c>
      <c r="R1071" s="117" t="n">
        <v>10010688.24009</v>
      </c>
      <c r="S1071" s="118" t="n">
        <v>4902367.94052</v>
      </c>
      <c r="T1071" s="110" t="n"/>
    </row>
    <row r="1072" ht="13.5" customHeight="1" s="52">
      <c r="A1072" s="104" t="n">
        <v>1065</v>
      </c>
      <c r="B1072" s="119" t="n"/>
      <c r="C1072" s="119" t="n"/>
      <c r="D1072" s="119" t="n"/>
      <c r="F1072" s="120" t="inlineStr">
        <is>
          <t>Група 992 - Усього</t>
        </is>
      </c>
      <c r="G1072" s="116" t="n"/>
      <c r="H1072" s="116" t="n"/>
      <c r="I1072" s="120" t="n"/>
      <c r="J1072" s="121" t="n">
        <v>160127397.45776</v>
      </c>
      <c r="K1072" s="121" t="n">
        <v>63304495.5984</v>
      </c>
      <c r="L1072" s="121" t="n">
        <v>96822901.85935999</v>
      </c>
      <c r="M1072" s="121" t="n">
        <v>160139893.11541</v>
      </c>
      <c r="N1072" s="116" t="n"/>
      <c r="O1072" s="121" t="n">
        <v>58398337.95845</v>
      </c>
      <c r="P1072" s="121" t="n">
        <v>101741555.15696</v>
      </c>
      <c r="Q1072" s="121" t="n">
        <v>14913056.18061</v>
      </c>
      <c r="R1072" s="121" t="n">
        <v>10010688.24009</v>
      </c>
      <c r="S1072" s="122" t="n">
        <v>4902367.94052</v>
      </c>
      <c r="T1072" s="110" t="n"/>
    </row>
    <row r="1073" ht="18.75" customHeight="1" s="52">
      <c r="A1073" s="104" t="n">
        <v>1066</v>
      </c>
      <c r="B1073" s="119" t="n"/>
      <c r="C1073" s="119" t="n"/>
      <c r="D1073" s="120" t="inlineStr">
        <is>
          <t>Розділ 99 - Усього</t>
        </is>
      </c>
      <c r="E1073" s="116" t="n"/>
      <c r="F1073" s="120" t="n"/>
      <c r="G1073" s="116" t="n"/>
      <c r="H1073" s="116" t="n"/>
      <c r="I1073" s="120" t="n"/>
      <c r="J1073" s="121" t="n">
        <v>225468183.42251</v>
      </c>
      <c r="K1073" s="121" t="n">
        <v>92136170.29865</v>
      </c>
      <c r="L1073" s="121" t="n">
        <v>133332013.12386</v>
      </c>
      <c r="M1073" s="121" t="n">
        <v>219410387.6034</v>
      </c>
      <c r="N1073" s="116" t="n"/>
      <c r="O1073" s="121" t="n">
        <v>87594012.29206</v>
      </c>
      <c r="P1073" s="121" t="n">
        <v>131816375.31134</v>
      </c>
      <c r="Q1073" s="121" t="n">
        <v>616492491.4214</v>
      </c>
      <c r="R1073" s="121" t="n">
        <v>547911194.93039</v>
      </c>
      <c r="S1073" s="122" t="n">
        <v>68581296.49101</v>
      </c>
      <c r="T1073" s="110" t="n"/>
    </row>
    <row r="1074" ht="19.5" customHeight="1" s="52">
      <c r="A1074" s="104" t="n">
        <v>1067</v>
      </c>
      <c r="B1074" s="119" t="n"/>
      <c r="C1074" s="120" t="inlineStr">
        <is>
          <t xml:space="preserve">  Клас 9 - Усього</t>
        </is>
      </c>
      <c r="D1074" s="120" t="n"/>
      <c r="E1074" s="116" t="n"/>
      <c r="F1074" s="120" t="n"/>
      <c r="G1074" s="116" t="n"/>
      <c r="H1074" s="116" t="n"/>
      <c r="I1074" s="120" t="n"/>
      <c r="J1074" s="121" t="n">
        <v>225468183.42251</v>
      </c>
      <c r="K1074" s="121" t="n">
        <v>92136170.29865</v>
      </c>
      <c r="L1074" s="121" t="n">
        <v>133332013.12386</v>
      </c>
      <c r="M1074" s="121" t="n">
        <v>219410387.6034</v>
      </c>
      <c r="N1074" s="116" t="n"/>
      <c r="O1074" s="121" t="n">
        <v>87594012.29206</v>
      </c>
      <c r="P1074" s="121" t="n">
        <v>131816375.31134</v>
      </c>
      <c r="Q1074" s="121" t="n">
        <v>616492491.4214</v>
      </c>
      <c r="R1074" s="121" t="n">
        <v>547911194.93039</v>
      </c>
      <c r="S1074" s="122" t="n">
        <v>68581296.49101</v>
      </c>
      <c r="T1074" s="110" t="n"/>
    </row>
    <row r="1075" ht="36" customHeight="1" s="52">
      <c r="A1075" s="104" t="n">
        <v>1068</v>
      </c>
      <c r="B1075" s="123" t="inlineStr">
        <is>
          <t xml:space="preserve">  Позабалансові контррах.А - Усього</t>
        </is>
      </c>
      <c r="C1075" s="123" t="n"/>
      <c r="D1075" s="123" t="n"/>
      <c r="E1075" s="124" t="n"/>
      <c r="F1075" s="123" t="n"/>
      <c r="G1075" s="124" t="n"/>
      <c r="H1075" s="124" t="n"/>
      <c r="I1075" s="123" t="n"/>
      <c r="J1075" s="125" t="n">
        <v>225468183.42251</v>
      </c>
      <c r="K1075" s="125" t="n">
        <v>92136170.29865</v>
      </c>
      <c r="L1075" s="125" t="n">
        <v>133332013.12386</v>
      </c>
      <c r="M1075" s="125" t="n">
        <v>219410387.6034</v>
      </c>
      <c r="N1075" s="124" t="n"/>
      <c r="O1075" s="125" t="n">
        <v>87594012.29206</v>
      </c>
      <c r="P1075" s="125" t="n">
        <v>131816375.31134</v>
      </c>
      <c r="Q1075" s="125" t="n">
        <v>616492491.4214</v>
      </c>
      <c r="R1075" s="125" t="n">
        <v>547911194.93039</v>
      </c>
      <c r="S1075" s="126" t="n">
        <v>68581296.49101</v>
      </c>
      <c r="T1075" s="110" t="n"/>
    </row>
    <row r="1076" ht="13.5" customHeight="1" s="52">
      <c r="A1076" s="104" t="n">
        <v>1069</v>
      </c>
      <c r="B1076" s="138" t="inlineStr">
        <is>
          <t>За позабалансовими активними рахунками - усього</t>
        </is>
      </c>
      <c r="C1076" s="106" t="n"/>
      <c r="D1076" s="106" t="n"/>
      <c r="E1076" s="106" t="n"/>
      <c r="F1076" s="106" t="n"/>
      <c r="G1076" s="106" t="n"/>
      <c r="H1076" s="107" t="n"/>
      <c r="I1076" s="139" t="n"/>
      <c r="J1076" s="132" t="n">
        <v>342536033.0907</v>
      </c>
      <c r="K1076" s="132" t="n">
        <v>128332750.48562</v>
      </c>
      <c r="L1076" s="132" t="n">
        <v>214203282.60508</v>
      </c>
      <c r="M1076" s="132" t="n">
        <v>322591353.92888</v>
      </c>
      <c r="N1076" s="124" t="n"/>
      <c r="O1076" s="132" t="n">
        <v>118494604.01791</v>
      </c>
      <c r="P1076" s="132" t="n">
        <v>204096749.91097</v>
      </c>
      <c r="Q1076" s="132" t="n">
        <v>1083237869.07224</v>
      </c>
      <c r="R1076" s="132" t="n">
        <v>818944563.05696</v>
      </c>
      <c r="S1076" s="133" t="n">
        <v>264293306.01528</v>
      </c>
      <c r="T1076" s="110" t="n"/>
    </row>
    <row r="1077" ht="18" customHeight="1" s="52">
      <c r="A1077" s="104" t="n">
        <v>1070</v>
      </c>
      <c r="B1077" s="137" t="inlineStr">
        <is>
          <t>Пасивні</t>
        </is>
      </c>
      <c r="H1077" s="114" t="n"/>
      <c r="I1077" s="108" t="n"/>
      <c r="J1077" s="108" t="n"/>
      <c r="K1077" s="108" t="n"/>
      <c r="L1077" s="108" t="n"/>
      <c r="M1077" s="109" t="n"/>
      <c r="N1077" s="108" t="n"/>
      <c r="O1077" s="108" t="n"/>
      <c r="P1077" s="108" t="n"/>
      <c r="Q1077" s="108" t="n"/>
      <c r="R1077" s="108" t="n"/>
      <c r="S1077" s="108" t="n"/>
      <c r="T1077" s="110" t="n"/>
    </row>
    <row r="1078" ht="13.5" customHeight="1" s="52">
      <c r="A1078" s="104" t="n">
        <v>1071</v>
      </c>
      <c r="B1078" s="115" t="inlineStr">
        <is>
          <t>Клас 9</t>
        </is>
      </c>
      <c r="C1078" s="115" t="inlineStr">
        <is>
          <t>90</t>
        </is>
      </c>
      <c r="D1078" s="115" t="inlineStr">
        <is>
          <t>903</t>
        </is>
      </c>
      <c r="E1078" s="116" t="n"/>
      <c r="F1078" s="115" t="inlineStr">
        <is>
          <t>9030</t>
        </is>
      </c>
      <c r="G1078" s="116" t="n"/>
      <c r="H1078" s="115" t="inlineStr">
        <is>
          <t>Гарантії, що отримані від Уряду України</t>
        </is>
      </c>
      <c r="I1078" s="115" t="inlineStr">
        <is>
          <t>П</t>
        </is>
      </c>
      <c r="J1078" s="117" t="n">
        <v>279358.36229</v>
      </c>
      <c r="K1078" s="117" t="n">
        <v>64404.78081</v>
      </c>
      <c r="L1078" s="117" t="n">
        <v>214953.58148</v>
      </c>
      <c r="M1078" s="117" t="n">
        <v>218050.52719</v>
      </c>
      <c r="N1078" s="116" t="n"/>
      <c r="O1078" s="117" t="n">
        <v>187469.0832</v>
      </c>
      <c r="P1078" s="117" t="n">
        <v>30581.44399</v>
      </c>
      <c r="Q1078" s="117" t="n">
        <v>22985630.28135</v>
      </c>
      <c r="R1078" s="117" t="n">
        <v>21237011.06111</v>
      </c>
      <c r="S1078" s="118" t="n">
        <v>1748619.22024</v>
      </c>
      <c r="T1078" s="110" t="n"/>
    </row>
    <row r="1079" ht="13.5" customHeight="1" s="52">
      <c r="A1079" s="104" t="n">
        <v>1072</v>
      </c>
      <c r="B1079" s="119" t="n"/>
      <c r="C1079" s="119" t="n"/>
      <c r="D1079" s="119" t="n"/>
      <c r="F1079" s="115" t="inlineStr">
        <is>
          <t>9031</t>
        </is>
      </c>
      <c r="G1079" s="116" t="n"/>
      <c r="H1079" s="115" t="inlineStr">
        <is>
          <t>Отримані гарантії</t>
        </is>
      </c>
      <c r="I1079" s="115" t="inlineStr">
        <is>
          <t>П</t>
        </is>
      </c>
      <c r="J1079" s="117" t="n">
        <v>10994347.1046</v>
      </c>
      <c r="K1079" s="117" t="n">
        <v>10599030.41152</v>
      </c>
      <c r="L1079" s="117" t="n">
        <v>395316.69308</v>
      </c>
      <c r="M1079" s="117" t="n">
        <v>21790044.68463</v>
      </c>
      <c r="N1079" s="116" t="n"/>
      <c r="O1079" s="117" t="n">
        <v>15400221.98611</v>
      </c>
      <c r="P1079" s="117" t="n">
        <v>6389822.69852</v>
      </c>
      <c r="Q1079" s="117" t="n">
        <v>439221335.85377</v>
      </c>
      <c r="R1079" s="117" t="n">
        <v>410932464.80155</v>
      </c>
      <c r="S1079" s="118" t="n">
        <v>28288871.05222</v>
      </c>
      <c r="T1079" s="110" t="n"/>
    </row>
    <row r="1080" ht="14.25" customHeight="1" s="52">
      <c r="A1080" s="104" t="n">
        <v>1073</v>
      </c>
      <c r="B1080" s="119" t="n"/>
      <c r="C1080" s="119" t="n"/>
      <c r="D1080" s="119" t="n"/>
      <c r="F1080" s="115" t="inlineStr">
        <is>
          <t>9036</t>
        </is>
      </c>
      <c r="G1080" s="116" t="n"/>
      <c r="H1080" s="115" t="inlineStr">
        <is>
          <t>Отримані контргарантії</t>
        </is>
      </c>
      <c r="I1080" s="115" t="inlineStr">
        <is>
          <t>П</t>
        </is>
      </c>
      <c r="J1080" s="117" t="n">
        <v>22246.1216</v>
      </c>
      <c r="K1080" s="117" t="n">
        <v>0</v>
      </c>
      <c r="L1080" s="117" t="n">
        <v>22246.1216</v>
      </c>
      <c r="M1080" s="117" t="n">
        <v>63714.6459</v>
      </c>
      <c r="N1080" s="116" t="n"/>
      <c r="O1080" s="117" t="n">
        <v>0</v>
      </c>
      <c r="P1080" s="117" t="n">
        <v>63714.6459</v>
      </c>
      <c r="Q1080" s="117" t="n">
        <v>492541.13564</v>
      </c>
      <c r="R1080" s="117" t="n">
        <v>124988</v>
      </c>
      <c r="S1080" s="118" t="n">
        <v>367553.13564</v>
      </c>
      <c r="T1080" s="110" t="n"/>
    </row>
    <row r="1081" ht="13.5" customHeight="1" s="52">
      <c r="A1081" s="104" t="n">
        <v>1074</v>
      </c>
      <c r="B1081" s="119" t="n"/>
      <c r="C1081" s="119" t="n"/>
      <c r="D1081" s="119" t="n"/>
      <c r="F1081" s="120" t="inlineStr">
        <is>
          <t>Група 903 - Усього</t>
        </is>
      </c>
      <c r="G1081" s="116" t="n"/>
      <c r="H1081" s="116" t="n"/>
      <c r="I1081" s="120" t="n"/>
      <c r="J1081" s="121" t="n">
        <v>11295951.58849</v>
      </c>
      <c r="K1081" s="121" t="n">
        <v>10663435.19233</v>
      </c>
      <c r="L1081" s="121" t="n">
        <v>632516.39616</v>
      </c>
      <c r="M1081" s="121" t="n">
        <v>22071809.85772</v>
      </c>
      <c r="N1081" s="116" t="n"/>
      <c r="O1081" s="121" t="n">
        <v>15587691.06931</v>
      </c>
      <c r="P1081" s="121" t="n">
        <v>6484118.78841</v>
      </c>
      <c r="Q1081" s="121" t="n">
        <v>462699507.27076</v>
      </c>
      <c r="R1081" s="121" t="n">
        <v>432294463.86266</v>
      </c>
      <c r="S1081" s="122" t="n">
        <v>30405043.4081</v>
      </c>
      <c r="T1081" s="110" t="n"/>
    </row>
    <row r="1082" ht="21" customHeight="1" s="52">
      <c r="A1082" s="104" t="n">
        <v>1075</v>
      </c>
      <c r="B1082" s="119" t="n"/>
      <c r="C1082" s="119" t="n"/>
      <c r="D1082" s="120" t="inlineStr">
        <is>
          <t>Розділ 90 - Усього</t>
        </is>
      </c>
      <c r="E1082" s="116" t="n"/>
      <c r="F1082" s="120" t="n"/>
      <c r="G1082" s="116" t="n"/>
      <c r="H1082" s="116" t="n"/>
      <c r="I1082" s="120" t="n"/>
      <c r="J1082" s="121" t="n">
        <v>11295951.58849</v>
      </c>
      <c r="K1082" s="121" t="n">
        <v>10663435.19233</v>
      </c>
      <c r="L1082" s="121" t="n">
        <v>632516.39616</v>
      </c>
      <c r="M1082" s="121" t="n">
        <v>22071809.85772</v>
      </c>
      <c r="N1082" s="116" t="n"/>
      <c r="O1082" s="121" t="n">
        <v>15587691.06931</v>
      </c>
      <c r="P1082" s="121" t="n">
        <v>6484118.78841</v>
      </c>
      <c r="Q1082" s="121" t="n">
        <v>462699507.27076</v>
      </c>
      <c r="R1082" s="121" t="n">
        <v>432294463.86266</v>
      </c>
      <c r="S1082" s="122" t="n">
        <v>30405043.4081</v>
      </c>
      <c r="T1082" s="110" t="n"/>
    </row>
    <row r="1083" ht="13.5" customHeight="1" s="52">
      <c r="A1083" s="104" t="n">
        <v>1076</v>
      </c>
      <c r="B1083" s="119" t="n"/>
      <c r="C1083" s="115" t="inlineStr">
        <is>
          <t>91</t>
        </is>
      </c>
      <c r="D1083" s="115" t="inlineStr">
        <is>
          <t>911</t>
        </is>
      </c>
      <c r="E1083" s="116" t="n"/>
      <c r="F1083" s="115" t="inlineStr">
        <is>
          <t>9110</t>
        </is>
      </c>
      <c r="G1083" s="116" t="n"/>
      <c r="H1083" s="115" t="inlineStr">
        <is>
          <t>Зобов'язання з кредитування, що отримані від банків</t>
        </is>
      </c>
      <c r="I1083" s="115" t="inlineStr">
        <is>
          <t>П</t>
        </is>
      </c>
      <c r="J1083" s="117" t="n">
        <v>0</v>
      </c>
      <c r="K1083" s="117" t="n">
        <v>0</v>
      </c>
      <c r="L1083" s="117" t="n">
        <v>0</v>
      </c>
      <c r="M1083" s="117" t="n">
        <v>0</v>
      </c>
      <c r="N1083" s="116" t="n"/>
      <c r="O1083" s="117" t="n">
        <v>0</v>
      </c>
      <c r="P1083" s="117" t="n">
        <v>0</v>
      </c>
      <c r="Q1083" s="117" t="n">
        <v>0</v>
      </c>
      <c r="R1083" s="117" t="n">
        <v>0</v>
      </c>
      <c r="S1083" s="118" t="n">
        <v>0</v>
      </c>
      <c r="T1083" s="110" t="n"/>
    </row>
    <row r="1084" ht="13.5" customHeight="1" s="52">
      <c r="A1084" s="104" t="n">
        <v>1077</v>
      </c>
      <c r="B1084" s="119" t="n"/>
      <c r="C1084" s="119" t="n"/>
      <c r="D1084" s="119" t="n"/>
      <c r="F1084" s="115" t="inlineStr">
        <is>
          <t>9111</t>
        </is>
      </c>
      <c r="G1084" s="116" t="n"/>
      <c r="H1084" s="115" t="inlineStr">
        <is>
          <t>Зобов'язання з кредитування, що отримані від міжнародних та інших фінансових організацій</t>
        </is>
      </c>
      <c r="I1084" s="115" t="inlineStr">
        <is>
          <t>П</t>
        </is>
      </c>
      <c r="J1084" s="117" t="n">
        <v>869157.5</v>
      </c>
      <c r="K1084" s="117" t="n">
        <v>0</v>
      </c>
      <c r="L1084" s="117" t="n">
        <v>869157.5</v>
      </c>
      <c r="M1084" s="117" t="n">
        <v>207819</v>
      </c>
      <c r="N1084" s="116" t="n"/>
      <c r="O1084" s="117" t="n">
        <v>0</v>
      </c>
      <c r="P1084" s="117" t="n">
        <v>207819</v>
      </c>
      <c r="Q1084" s="117" t="n">
        <v>9041301.5</v>
      </c>
      <c r="R1084" s="117" t="n">
        <v>0</v>
      </c>
      <c r="S1084" s="118" t="n">
        <v>9041301.5</v>
      </c>
      <c r="T1084" s="110" t="n"/>
    </row>
    <row r="1085" ht="14.25" customHeight="1" s="52">
      <c r="A1085" s="104" t="n">
        <v>1078</v>
      </c>
      <c r="B1085" s="119" t="n"/>
      <c r="C1085" s="119" t="n"/>
      <c r="D1085" s="119" t="n"/>
      <c r="F1085" s="120" t="inlineStr">
        <is>
          <t>Група 911 - Усього</t>
        </is>
      </c>
      <c r="G1085" s="116" t="n"/>
      <c r="H1085" s="116" t="n"/>
      <c r="I1085" s="120" t="n"/>
      <c r="J1085" s="121" t="n">
        <v>869157.5</v>
      </c>
      <c r="K1085" s="121" t="n">
        <v>0</v>
      </c>
      <c r="L1085" s="121" t="n">
        <v>869157.5</v>
      </c>
      <c r="M1085" s="121" t="n">
        <v>207819</v>
      </c>
      <c r="N1085" s="116" t="n"/>
      <c r="O1085" s="121" t="n">
        <v>0</v>
      </c>
      <c r="P1085" s="121" t="n">
        <v>207819</v>
      </c>
      <c r="Q1085" s="121" t="n">
        <v>9041301.5</v>
      </c>
      <c r="R1085" s="121" t="n">
        <v>0</v>
      </c>
      <c r="S1085" s="122" t="n">
        <v>9041301.5</v>
      </c>
      <c r="T1085" s="110" t="n"/>
    </row>
    <row r="1086" ht="21" customHeight="1" s="52">
      <c r="A1086" s="104" t="n">
        <v>1079</v>
      </c>
      <c r="B1086" s="119" t="n"/>
      <c r="C1086" s="119" t="n"/>
      <c r="D1086" s="120" t="inlineStr">
        <is>
          <t>Розділ 91 - Усього</t>
        </is>
      </c>
      <c r="E1086" s="116" t="n"/>
      <c r="F1086" s="120" t="n"/>
      <c r="G1086" s="116" t="n"/>
      <c r="H1086" s="116" t="n"/>
      <c r="I1086" s="120" t="n"/>
      <c r="J1086" s="121" t="n">
        <v>869157.5</v>
      </c>
      <c r="K1086" s="121" t="n">
        <v>0</v>
      </c>
      <c r="L1086" s="121" t="n">
        <v>869157.5</v>
      </c>
      <c r="M1086" s="121" t="n">
        <v>207819</v>
      </c>
      <c r="N1086" s="116" t="n"/>
      <c r="O1086" s="121" t="n">
        <v>0</v>
      </c>
      <c r="P1086" s="121" t="n">
        <v>207819</v>
      </c>
      <c r="Q1086" s="121" t="n">
        <v>9041301.5</v>
      </c>
      <c r="R1086" s="121" t="n">
        <v>0</v>
      </c>
      <c r="S1086" s="122" t="n">
        <v>9041301.5</v>
      </c>
      <c r="T1086" s="110" t="n"/>
    </row>
    <row r="1087" ht="13.5" customHeight="1" s="52">
      <c r="A1087" s="104" t="n">
        <v>1080</v>
      </c>
      <c r="B1087" s="119" t="n"/>
      <c r="C1087" s="115" t="inlineStr">
        <is>
          <t>92</t>
        </is>
      </c>
      <c r="D1087" s="115" t="inlineStr">
        <is>
          <t>921</t>
        </is>
      </c>
      <c r="E1087" s="116" t="n"/>
      <c r="F1087" s="115" t="inlineStr">
        <is>
          <t>9210</t>
        </is>
      </c>
      <c r="G1087" s="116" t="n"/>
      <c r="H1087" s="115" t="inlineStr">
        <is>
          <t>Валюта та банківські метали до відправлення за операціями спот</t>
        </is>
      </c>
      <c r="I1087" s="115" t="inlineStr">
        <is>
          <t>П</t>
        </is>
      </c>
      <c r="J1087" s="117" t="n">
        <v>42057356.8278</v>
      </c>
      <c r="K1087" s="117" t="n">
        <v>15539571.08</v>
      </c>
      <c r="L1087" s="117" t="n">
        <v>26517785.7478</v>
      </c>
      <c r="M1087" s="117" t="n">
        <v>52874814.26961</v>
      </c>
      <c r="N1087" s="116" t="n"/>
      <c r="O1087" s="117" t="n">
        <v>21440759.72</v>
      </c>
      <c r="P1087" s="117" t="n">
        <v>31434054.54961</v>
      </c>
      <c r="Q1087" s="117" t="n">
        <v>14151486.5755</v>
      </c>
      <c r="R1087" s="117" t="n">
        <v>9210688.24</v>
      </c>
      <c r="S1087" s="118" t="n">
        <v>4940798.3355</v>
      </c>
      <c r="T1087" s="110" t="n"/>
    </row>
    <row r="1088" ht="13.5" customHeight="1" s="52">
      <c r="A1088" s="104" t="n">
        <v>1081</v>
      </c>
      <c r="B1088" s="119" t="n"/>
      <c r="C1088" s="119" t="n"/>
      <c r="D1088" s="119" t="n"/>
      <c r="F1088" s="115" t="inlineStr">
        <is>
          <t>9212</t>
        </is>
      </c>
      <c r="G1088" s="116" t="n"/>
      <c r="H1088" s="115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88" s="115" t="inlineStr">
        <is>
          <t>П</t>
        </is>
      </c>
      <c r="J1088" s="117" t="n">
        <v>0</v>
      </c>
      <c r="K1088" s="117" t="n">
        <v>0</v>
      </c>
      <c r="L1088" s="117" t="n">
        <v>0</v>
      </c>
      <c r="M1088" s="117" t="n">
        <v>0</v>
      </c>
      <c r="N1088" s="116" t="n"/>
      <c r="O1088" s="117" t="n">
        <v>0</v>
      </c>
      <c r="P1088" s="117" t="n">
        <v>0</v>
      </c>
      <c r="Q1088" s="117" t="n">
        <v>0</v>
      </c>
      <c r="R1088" s="117" t="n">
        <v>0</v>
      </c>
      <c r="S1088" s="118" t="n">
        <v>0</v>
      </c>
      <c r="T1088" s="110" t="n"/>
    </row>
    <row r="1089" ht="13.5" customHeight="1" s="52">
      <c r="A1089" s="104" t="n">
        <v>1082</v>
      </c>
      <c r="B1089" s="119" t="n"/>
      <c r="C1089" s="119" t="n"/>
      <c r="D1089" s="119" t="n"/>
      <c r="F1089" s="115" t="inlineStr">
        <is>
          <t>9218</t>
        </is>
      </c>
      <c r="G1089" s="116" t="n"/>
      <c r="H1089" s="115" t="inlineStr">
        <is>
          <t>Зобов'язання щодо відправлення валюти за валютними своп-контрактами</t>
        </is>
      </c>
      <c r="I1089" s="115" t="inlineStr">
        <is>
          <t>П</t>
        </is>
      </c>
      <c r="J1089" s="117" t="n">
        <v>29225970.00065</v>
      </c>
      <c r="K1089" s="117" t="n">
        <v>15110634.5</v>
      </c>
      <c r="L1089" s="117" t="n">
        <v>14115335.50065</v>
      </c>
      <c r="M1089" s="117" t="n">
        <v>28230939.00065</v>
      </c>
      <c r="N1089" s="116" t="n"/>
      <c r="O1089" s="117" t="n">
        <v>14115603.5</v>
      </c>
      <c r="P1089" s="117" t="n">
        <v>14115335.50065</v>
      </c>
      <c r="Q1089" s="117" t="n">
        <v>800000</v>
      </c>
      <c r="R1089" s="117" t="n">
        <v>800000</v>
      </c>
      <c r="S1089" s="118" t="n">
        <v>0</v>
      </c>
      <c r="T1089" s="110" t="n"/>
    </row>
    <row r="1090" ht="14.25" customHeight="1" s="52">
      <c r="A1090" s="104" t="n">
        <v>1083</v>
      </c>
      <c r="B1090" s="119" t="n"/>
      <c r="C1090" s="119" t="n"/>
      <c r="D1090" s="119" t="n"/>
      <c r="F1090" s="120" t="inlineStr">
        <is>
          <t>Група 921 - Усього</t>
        </is>
      </c>
      <c r="G1090" s="116" t="n"/>
      <c r="H1090" s="116" t="n"/>
      <c r="I1090" s="120" t="n"/>
      <c r="J1090" s="121" t="n">
        <v>71283326.82844999</v>
      </c>
      <c r="K1090" s="121" t="n">
        <v>30650205.58</v>
      </c>
      <c r="L1090" s="121" t="n">
        <v>40633121.24845</v>
      </c>
      <c r="M1090" s="121" t="n">
        <v>81105753.27026001</v>
      </c>
      <c r="N1090" s="116" t="n"/>
      <c r="O1090" s="121" t="n">
        <v>35556363.22</v>
      </c>
      <c r="P1090" s="121" t="n">
        <v>45549390.05026</v>
      </c>
      <c r="Q1090" s="121" t="n">
        <v>14951486.5755</v>
      </c>
      <c r="R1090" s="121" t="n">
        <v>10010688.24</v>
      </c>
      <c r="S1090" s="122" t="n">
        <v>4940798.3355</v>
      </c>
      <c r="T1090" s="110" t="n"/>
    </row>
    <row r="1091" ht="13.5" customHeight="1" s="52">
      <c r="A1091" s="104" t="n">
        <v>1084</v>
      </c>
      <c r="B1091" s="119" t="n"/>
      <c r="C1091" s="119" t="n"/>
      <c r="D1091" s="115" t="inlineStr">
        <is>
          <t>923</t>
        </is>
      </c>
      <c r="E1091" s="116" t="n"/>
      <c r="F1091" s="115" t="inlineStr">
        <is>
          <t>9238</t>
        </is>
      </c>
      <c r="G1091" s="116" t="n"/>
      <c r="H1091" s="115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91" s="115" t="inlineStr">
        <is>
          <t>П</t>
        </is>
      </c>
      <c r="J1091" s="117" t="n">
        <v>0</v>
      </c>
      <c r="K1091" s="117" t="n">
        <v>0</v>
      </c>
      <c r="L1091" s="117" t="n">
        <v>0</v>
      </c>
      <c r="M1091" s="117" t="n">
        <v>0</v>
      </c>
      <c r="N1091" s="116" t="n"/>
      <c r="O1091" s="117" t="n">
        <v>0</v>
      </c>
      <c r="P1091" s="117" t="n">
        <v>0</v>
      </c>
      <c r="Q1091" s="117" t="n">
        <v>0</v>
      </c>
      <c r="R1091" s="117" t="n">
        <v>0</v>
      </c>
      <c r="S1091" s="118" t="n">
        <v>0</v>
      </c>
      <c r="T1091" s="110" t="n"/>
    </row>
    <row r="1092" ht="13.5" customHeight="1" s="52">
      <c r="A1092" s="104" t="n">
        <v>1085</v>
      </c>
      <c r="B1092" s="119" t="n"/>
      <c r="C1092" s="119" t="n"/>
      <c r="D1092" s="119" t="n"/>
      <c r="F1092" s="120" t="inlineStr">
        <is>
          <t>Група 923 - Усього</t>
        </is>
      </c>
      <c r="G1092" s="116" t="n"/>
      <c r="H1092" s="116" t="n"/>
      <c r="I1092" s="120" t="n"/>
      <c r="J1092" s="121" t="n">
        <v>0</v>
      </c>
      <c r="K1092" s="121" t="n">
        <v>0</v>
      </c>
      <c r="L1092" s="121" t="n">
        <v>0</v>
      </c>
      <c r="M1092" s="121" t="n">
        <v>0</v>
      </c>
      <c r="N1092" s="116" t="n"/>
      <c r="O1092" s="121" t="n">
        <v>0</v>
      </c>
      <c r="P1092" s="121" t="n">
        <v>0</v>
      </c>
      <c r="Q1092" s="121" t="n">
        <v>0</v>
      </c>
      <c r="R1092" s="121" t="n">
        <v>0</v>
      </c>
      <c r="S1092" s="122" t="n">
        <v>0</v>
      </c>
      <c r="T1092" s="110" t="n"/>
    </row>
    <row r="1093" ht="19.5" customHeight="1" s="52">
      <c r="A1093" s="104" t="n">
        <v>1086</v>
      </c>
      <c r="B1093" s="119" t="n"/>
      <c r="C1093" s="119" t="n"/>
      <c r="D1093" s="120" t="inlineStr">
        <is>
          <t>Розділ 92 - Усього</t>
        </is>
      </c>
      <c r="E1093" s="116" t="n"/>
      <c r="F1093" s="120" t="n"/>
      <c r="G1093" s="116" t="n"/>
      <c r="H1093" s="116" t="n"/>
      <c r="I1093" s="120" t="n"/>
      <c r="J1093" s="121" t="n">
        <v>71283326.82844999</v>
      </c>
      <c r="K1093" s="121" t="n">
        <v>30650205.58</v>
      </c>
      <c r="L1093" s="121" t="n">
        <v>40633121.24845</v>
      </c>
      <c r="M1093" s="121" t="n">
        <v>81105753.27026001</v>
      </c>
      <c r="N1093" s="116" t="n"/>
      <c r="O1093" s="121" t="n">
        <v>35556363.22</v>
      </c>
      <c r="P1093" s="121" t="n">
        <v>45549390.05026</v>
      </c>
      <c r="Q1093" s="121" t="n">
        <v>14951486.5755</v>
      </c>
      <c r="R1093" s="121" t="n">
        <v>10010688.24</v>
      </c>
      <c r="S1093" s="122" t="n">
        <v>4940798.3355</v>
      </c>
      <c r="T1093" s="110" t="n"/>
    </row>
    <row r="1094" ht="13.5" customHeight="1" s="52">
      <c r="A1094" s="104" t="n">
        <v>1087</v>
      </c>
      <c r="B1094" s="119" t="n"/>
      <c r="C1094" s="115" t="inlineStr">
        <is>
          <t>93</t>
        </is>
      </c>
      <c r="D1094" s="115" t="inlineStr">
        <is>
          <t>933</t>
        </is>
      </c>
      <c r="E1094" s="116" t="n"/>
      <c r="F1094" s="115" t="inlineStr">
        <is>
          <t>9338</t>
        </is>
      </c>
      <c r="G1094" s="116" t="n"/>
      <c r="H1094" s="115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94" s="115" t="inlineStr">
        <is>
          <t>П</t>
        </is>
      </c>
      <c r="J1094" s="117" t="n">
        <v>0</v>
      </c>
      <c r="K1094" s="117" t="n">
        <v>0</v>
      </c>
      <c r="L1094" s="117" t="n">
        <v>0</v>
      </c>
      <c r="M1094" s="117" t="n">
        <v>3657.53426</v>
      </c>
      <c r="N1094" s="116" t="n"/>
      <c r="O1094" s="117" t="n">
        <v>3657.53426</v>
      </c>
      <c r="P1094" s="117" t="n">
        <v>0</v>
      </c>
      <c r="Q1094" s="117" t="n">
        <v>569230.137</v>
      </c>
      <c r="R1094" s="117" t="n">
        <v>569230.137</v>
      </c>
      <c r="S1094" s="118" t="n">
        <v>0</v>
      </c>
      <c r="T1094" s="110" t="n"/>
    </row>
    <row r="1095" ht="14.25" customHeight="1" s="52">
      <c r="A1095" s="104" t="n">
        <v>1088</v>
      </c>
      <c r="B1095" s="119" t="n"/>
      <c r="C1095" s="119" t="n"/>
      <c r="D1095" s="119" t="n"/>
      <c r="F1095" s="120" t="inlineStr">
        <is>
          <t>Група 933 - Усього</t>
        </is>
      </c>
      <c r="G1095" s="116" t="n"/>
      <c r="H1095" s="116" t="n"/>
      <c r="I1095" s="120" t="n"/>
      <c r="J1095" s="121" t="n">
        <v>0</v>
      </c>
      <c r="K1095" s="121" t="n">
        <v>0</v>
      </c>
      <c r="L1095" s="121" t="n">
        <v>0</v>
      </c>
      <c r="M1095" s="121" t="n">
        <v>3657.53426</v>
      </c>
      <c r="N1095" s="116" t="n"/>
      <c r="O1095" s="121" t="n">
        <v>3657.53426</v>
      </c>
      <c r="P1095" s="121" t="n">
        <v>0</v>
      </c>
      <c r="Q1095" s="121" t="n">
        <v>569230.137</v>
      </c>
      <c r="R1095" s="121" t="n">
        <v>569230.137</v>
      </c>
      <c r="S1095" s="122" t="n">
        <v>0</v>
      </c>
      <c r="T1095" s="110" t="n"/>
    </row>
    <row r="1096" ht="13.5" customHeight="1" s="52">
      <c r="A1096" s="104" t="n">
        <v>1089</v>
      </c>
      <c r="B1096" s="119" t="n"/>
      <c r="C1096" s="119" t="n"/>
      <c r="D1096" s="115" t="inlineStr">
        <is>
          <t>936</t>
        </is>
      </c>
      <c r="E1096" s="116" t="n"/>
      <c r="F1096" s="115" t="inlineStr">
        <is>
          <t>9360</t>
        </is>
      </c>
      <c r="G1096" s="116" t="n"/>
      <c r="H1096" s="115" t="inlineStr">
        <is>
          <t>Активи до відправлення та депозити до залучення за спотовими контрактами</t>
        </is>
      </c>
      <c r="I1096" s="115" t="inlineStr">
        <is>
          <t>П</t>
        </is>
      </c>
      <c r="J1096" s="117" t="n">
        <v>10412210.25947</v>
      </c>
      <c r="K1096" s="117" t="n">
        <v>2342598.53251</v>
      </c>
      <c r="L1096" s="117" t="n">
        <v>8069611.72696</v>
      </c>
      <c r="M1096" s="117" t="n">
        <v>10412210.25947</v>
      </c>
      <c r="N1096" s="116" t="n"/>
      <c r="O1096" s="117" t="n">
        <v>2342598.53251</v>
      </c>
      <c r="P1096" s="117" t="n">
        <v>8069611.72696</v>
      </c>
      <c r="Q1096" s="117" t="n">
        <v>0</v>
      </c>
      <c r="R1096" s="117" t="n">
        <v>0</v>
      </c>
      <c r="S1096" s="118" t="n">
        <v>0</v>
      </c>
      <c r="T1096" s="110" t="n"/>
    </row>
    <row r="1097" ht="13.5" customHeight="1" s="52">
      <c r="A1097" s="104" t="n">
        <v>1090</v>
      </c>
      <c r="B1097" s="119" t="n"/>
      <c r="C1097" s="119" t="n"/>
      <c r="D1097" s="119" t="n"/>
      <c r="F1097" s="115" t="inlineStr">
        <is>
          <t>9362</t>
        </is>
      </c>
      <c r="G1097" s="116" t="n"/>
      <c r="H1097" s="115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97" s="115" t="inlineStr">
        <is>
          <t>П</t>
        </is>
      </c>
      <c r="J1097" s="117" t="n">
        <v>0</v>
      </c>
      <c r="K1097" s="117" t="n">
        <v>0</v>
      </c>
      <c r="L1097" s="117" t="n">
        <v>0</v>
      </c>
      <c r="M1097" s="117" t="n">
        <v>0</v>
      </c>
      <c r="N1097" s="116" t="n"/>
      <c r="O1097" s="117" t="n">
        <v>0</v>
      </c>
      <c r="P1097" s="117" t="n">
        <v>0</v>
      </c>
      <c r="Q1097" s="117" t="n">
        <v>0</v>
      </c>
      <c r="R1097" s="117" t="n">
        <v>0</v>
      </c>
      <c r="S1097" s="118" t="n">
        <v>0</v>
      </c>
      <c r="T1097" s="110" t="n"/>
    </row>
    <row r="1098" ht="13.5" customHeight="1" s="52">
      <c r="A1098" s="104" t="n">
        <v>1091</v>
      </c>
      <c r="B1098" s="119" t="n"/>
      <c r="C1098" s="119" t="n"/>
      <c r="D1098" s="119" t="n"/>
      <c r="F1098" s="115" t="inlineStr">
        <is>
          <t>9368</t>
        </is>
      </c>
      <c r="G1098" s="116" t="n"/>
      <c r="H1098" s="115" t="inlineStr">
        <is>
          <t>Грошові потоки до відправлення за процентними своп-контрактами</t>
        </is>
      </c>
      <c r="I1098" s="115" t="inlineStr">
        <is>
          <t>П</t>
        </is>
      </c>
      <c r="J1098" s="117" t="n">
        <v>0</v>
      </c>
      <c r="K1098" s="117" t="n">
        <v>0</v>
      </c>
      <c r="L1098" s="117" t="n">
        <v>0</v>
      </c>
      <c r="M1098" s="117" t="n">
        <v>0</v>
      </c>
      <c r="N1098" s="116" t="n"/>
      <c r="O1098" s="117" t="n">
        <v>0</v>
      </c>
      <c r="P1098" s="117" t="n">
        <v>0</v>
      </c>
      <c r="Q1098" s="117" t="n">
        <v>0</v>
      </c>
      <c r="R1098" s="117" t="n">
        <v>0</v>
      </c>
      <c r="S1098" s="118" t="n">
        <v>0</v>
      </c>
      <c r="T1098" s="110" t="n"/>
    </row>
    <row r="1099" ht="13.5" customHeight="1" s="52">
      <c r="A1099" s="104" t="n">
        <v>1092</v>
      </c>
      <c r="B1099" s="119" t="n"/>
      <c r="C1099" s="119" t="n"/>
      <c r="D1099" s="119" t="n"/>
      <c r="F1099" s="120" t="inlineStr">
        <is>
          <t>Група 936 - Усього</t>
        </is>
      </c>
      <c r="G1099" s="116" t="n"/>
      <c r="H1099" s="116" t="n"/>
      <c r="I1099" s="120" t="n"/>
      <c r="J1099" s="121" t="n">
        <v>10412210.25947</v>
      </c>
      <c r="K1099" s="121" t="n">
        <v>2342598.53251</v>
      </c>
      <c r="L1099" s="121" t="n">
        <v>8069611.72696</v>
      </c>
      <c r="M1099" s="121" t="n">
        <v>10412210.25947</v>
      </c>
      <c r="N1099" s="116" t="n"/>
      <c r="O1099" s="121" t="n">
        <v>2342598.53251</v>
      </c>
      <c r="P1099" s="121" t="n">
        <v>8069611.72696</v>
      </c>
      <c r="Q1099" s="121" t="n">
        <v>0</v>
      </c>
      <c r="R1099" s="121" t="n">
        <v>0</v>
      </c>
      <c r="S1099" s="122" t="n">
        <v>0</v>
      </c>
      <c r="T1099" s="110" t="n"/>
    </row>
    <row r="1100" ht="19.5" customHeight="1" s="52">
      <c r="A1100" s="104" t="n">
        <v>1093</v>
      </c>
      <c r="B1100" s="119" t="n"/>
      <c r="C1100" s="119" t="n"/>
      <c r="D1100" s="120" t="inlineStr">
        <is>
          <t>Розділ 93 - Усього</t>
        </is>
      </c>
      <c r="E1100" s="116" t="n"/>
      <c r="F1100" s="120" t="n"/>
      <c r="G1100" s="116" t="n"/>
      <c r="H1100" s="116" t="n"/>
      <c r="I1100" s="120" t="n"/>
      <c r="J1100" s="121" t="n">
        <v>10412210.25947</v>
      </c>
      <c r="K1100" s="121" t="n">
        <v>2342598.53251</v>
      </c>
      <c r="L1100" s="121" t="n">
        <v>8069611.72696</v>
      </c>
      <c r="M1100" s="121" t="n">
        <v>10415867.79373</v>
      </c>
      <c r="N1100" s="116" t="n"/>
      <c r="O1100" s="121" t="n">
        <v>2346256.06677</v>
      </c>
      <c r="P1100" s="121" t="n">
        <v>8069611.72696</v>
      </c>
      <c r="Q1100" s="121" t="n">
        <v>569230.137</v>
      </c>
      <c r="R1100" s="121" t="n">
        <v>569230.137</v>
      </c>
      <c r="S1100" s="122" t="n">
        <v>0</v>
      </c>
      <c r="T1100" s="110" t="n"/>
    </row>
    <row r="1101" ht="13.5" customHeight="1" s="52">
      <c r="A1101" s="104" t="n">
        <v>1094</v>
      </c>
      <c r="B1101" s="119" t="n"/>
      <c r="C1101" s="115" t="inlineStr">
        <is>
          <t>95</t>
        </is>
      </c>
      <c r="D1101" s="115" t="inlineStr">
        <is>
          <t>951</t>
        </is>
      </c>
      <c r="E1101" s="116" t="n"/>
      <c r="F1101" s="115" t="inlineStr">
        <is>
          <t>9510</t>
        </is>
      </c>
      <c r="G1101" s="116" t="n"/>
      <c r="H1101" s="115" t="inlineStr">
        <is>
          <t>Надана застава</t>
        </is>
      </c>
      <c r="I1101" s="115" t="inlineStr">
        <is>
          <t>П</t>
        </is>
      </c>
      <c r="J1101" s="117" t="n">
        <v>0</v>
      </c>
      <c r="K1101" s="117" t="n">
        <v>0</v>
      </c>
      <c r="L1101" s="117" t="n">
        <v>0</v>
      </c>
      <c r="M1101" s="117" t="n">
        <v>4075.41652</v>
      </c>
      <c r="N1101" s="116" t="n"/>
      <c r="O1101" s="117" t="n">
        <v>4075.41652</v>
      </c>
      <c r="P1101" s="117" t="n">
        <v>0</v>
      </c>
      <c r="Q1101" s="117" t="n">
        <v>10394026.57628</v>
      </c>
      <c r="R1101" s="117" t="n">
        <v>10394026.57628</v>
      </c>
      <c r="S1101" s="118" t="n">
        <v>0</v>
      </c>
      <c r="T1101" s="110" t="n"/>
    </row>
    <row r="1102" ht="13.5" customHeight="1" s="52">
      <c r="A1102" s="104" t="n">
        <v>1095</v>
      </c>
      <c r="B1102" s="119" t="n"/>
      <c r="C1102" s="119" t="n"/>
      <c r="D1102" s="119" t="n"/>
      <c r="F1102" s="120" t="inlineStr">
        <is>
          <t>Група 951 - Усього</t>
        </is>
      </c>
      <c r="G1102" s="116" t="n"/>
      <c r="H1102" s="116" t="n"/>
      <c r="I1102" s="120" t="n"/>
      <c r="J1102" s="121" t="n">
        <v>0</v>
      </c>
      <c r="K1102" s="121" t="n">
        <v>0</v>
      </c>
      <c r="L1102" s="121" t="n">
        <v>0</v>
      </c>
      <c r="M1102" s="121" t="n">
        <v>4075.41652</v>
      </c>
      <c r="N1102" s="116" t="n"/>
      <c r="O1102" s="121" t="n">
        <v>4075.41652</v>
      </c>
      <c r="P1102" s="121" t="n">
        <v>0</v>
      </c>
      <c r="Q1102" s="121" t="n">
        <v>10394026.57628</v>
      </c>
      <c r="R1102" s="121" t="n">
        <v>10394026.57628</v>
      </c>
      <c r="S1102" s="122" t="n">
        <v>0</v>
      </c>
      <c r="T1102" s="110" t="n"/>
    </row>
    <row r="1103" ht="13.5" customHeight="1" s="52">
      <c r="A1103" s="104" t="n">
        <v>1096</v>
      </c>
      <c r="B1103" s="119" t="n"/>
      <c r="C1103" s="119" t="n"/>
      <c r="D1103" s="115" t="inlineStr">
        <is>
          <t>953</t>
        </is>
      </c>
      <c r="E1103" s="116" t="n"/>
      <c r="F1103" s="115" t="inlineStr">
        <is>
          <t>9530</t>
        </is>
      </c>
      <c r="G1103" s="116" t="n"/>
      <c r="H1103" s="115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103" s="115" t="inlineStr">
        <is>
          <t>П</t>
        </is>
      </c>
      <c r="J1103" s="117" t="n">
        <v>0</v>
      </c>
      <c r="K1103" s="117" t="n">
        <v>0</v>
      </c>
      <c r="L1103" s="117" t="n">
        <v>0</v>
      </c>
      <c r="M1103" s="117" t="n">
        <v>0</v>
      </c>
      <c r="N1103" s="116" t="n"/>
      <c r="O1103" s="117" t="n">
        <v>0</v>
      </c>
      <c r="P1103" s="117" t="n">
        <v>0</v>
      </c>
      <c r="Q1103" s="117" t="n">
        <v>0</v>
      </c>
      <c r="R1103" s="117" t="n">
        <v>0</v>
      </c>
      <c r="S1103" s="118" t="n">
        <v>0</v>
      </c>
      <c r="T1103" s="110" t="n"/>
    </row>
    <row r="1104" ht="13.5" customHeight="1" s="52">
      <c r="A1104" s="104" t="n">
        <v>1097</v>
      </c>
      <c r="B1104" s="119" t="n"/>
      <c r="C1104" s="119" t="n"/>
      <c r="D1104" s="119" t="n"/>
      <c r="F1104" s="120" t="inlineStr">
        <is>
          <t>Група 953 - Усього</t>
        </is>
      </c>
      <c r="G1104" s="116" t="n"/>
      <c r="H1104" s="116" t="n"/>
      <c r="I1104" s="120" t="n"/>
      <c r="J1104" s="121" t="n">
        <v>0</v>
      </c>
      <c r="K1104" s="121" t="n">
        <v>0</v>
      </c>
      <c r="L1104" s="121" t="n">
        <v>0</v>
      </c>
      <c r="M1104" s="121" t="n">
        <v>0</v>
      </c>
      <c r="N1104" s="116" t="n"/>
      <c r="O1104" s="121" t="n">
        <v>0</v>
      </c>
      <c r="P1104" s="121" t="n">
        <v>0</v>
      </c>
      <c r="Q1104" s="121" t="n">
        <v>0</v>
      </c>
      <c r="R1104" s="121" t="n">
        <v>0</v>
      </c>
      <c r="S1104" s="122" t="n">
        <v>0</v>
      </c>
      <c r="T1104" s="110" t="n"/>
    </row>
    <row r="1105" ht="14.25" customHeight="1" s="52">
      <c r="A1105" s="104" t="n">
        <v>1098</v>
      </c>
      <c r="B1105" s="119" t="n"/>
      <c r="C1105" s="119" t="n"/>
      <c r="D1105" s="115" t="inlineStr">
        <is>
          <t>954</t>
        </is>
      </c>
      <c r="E1105" s="116" t="n"/>
      <c r="F1105" s="115" t="inlineStr">
        <is>
          <t>9540</t>
        </is>
      </c>
      <c r="G1105" s="116" t="n"/>
      <c r="H1105" s="115" t="inlineStr">
        <is>
          <t>Умовні зобов'язання</t>
        </is>
      </c>
      <c r="I1105" s="115" t="inlineStr">
        <is>
          <t>П</t>
        </is>
      </c>
      <c r="J1105" s="117" t="n">
        <v>0</v>
      </c>
      <c r="K1105" s="117" t="n">
        <v>0</v>
      </c>
      <c r="L1105" s="117" t="n">
        <v>0</v>
      </c>
      <c r="M1105" s="117" t="n">
        <v>0</v>
      </c>
      <c r="N1105" s="116" t="n"/>
      <c r="O1105" s="117" t="n">
        <v>0</v>
      </c>
      <c r="P1105" s="117" t="n">
        <v>0</v>
      </c>
      <c r="Q1105" s="117" t="n">
        <v>0</v>
      </c>
      <c r="R1105" s="117" t="n">
        <v>0</v>
      </c>
      <c r="S1105" s="118" t="n">
        <v>0</v>
      </c>
      <c r="T1105" s="110" t="n"/>
    </row>
    <row r="1106" ht="13.5" customHeight="1" s="52">
      <c r="A1106" s="104" t="n">
        <v>1099</v>
      </c>
      <c r="B1106" s="119" t="n"/>
      <c r="C1106" s="119" t="n"/>
      <c r="D1106" s="119" t="n"/>
      <c r="F1106" s="120" t="inlineStr">
        <is>
          <t>Група 954 - Усього</t>
        </is>
      </c>
      <c r="G1106" s="116" t="n"/>
      <c r="H1106" s="116" t="n"/>
      <c r="I1106" s="120" t="n"/>
      <c r="J1106" s="121" t="n">
        <v>0</v>
      </c>
      <c r="K1106" s="121" t="n">
        <v>0</v>
      </c>
      <c r="L1106" s="121" t="n">
        <v>0</v>
      </c>
      <c r="M1106" s="121" t="n">
        <v>0</v>
      </c>
      <c r="N1106" s="116" t="n"/>
      <c r="O1106" s="121" t="n">
        <v>0</v>
      </c>
      <c r="P1106" s="121" t="n">
        <v>0</v>
      </c>
      <c r="Q1106" s="121" t="n">
        <v>0</v>
      </c>
      <c r="R1106" s="121" t="n">
        <v>0</v>
      </c>
      <c r="S1106" s="122" t="n">
        <v>0</v>
      </c>
      <c r="T1106" s="110" t="n"/>
    </row>
    <row r="1107" ht="18" customHeight="1" s="52">
      <c r="A1107" s="104" t="n">
        <v>1100</v>
      </c>
      <c r="B1107" s="119" t="n"/>
      <c r="C1107" s="119" t="n"/>
      <c r="D1107" s="120" t="inlineStr">
        <is>
          <t>Розділ 95 - Усього</t>
        </is>
      </c>
      <c r="E1107" s="116" t="n"/>
      <c r="F1107" s="120" t="n"/>
      <c r="G1107" s="116" t="n"/>
      <c r="H1107" s="116" t="n"/>
      <c r="I1107" s="120" t="n"/>
      <c r="J1107" s="121" t="n">
        <v>0</v>
      </c>
      <c r="K1107" s="121" t="n">
        <v>0</v>
      </c>
      <c r="L1107" s="121" t="n">
        <v>0</v>
      </c>
      <c r="M1107" s="121" t="n">
        <v>4075.41652</v>
      </c>
      <c r="N1107" s="116" t="n"/>
      <c r="O1107" s="121" t="n">
        <v>4075.41652</v>
      </c>
      <c r="P1107" s="121" t="n">
        <v>0</v>
      </c>
      <c r="Q1107" s="121" t="n">
        <v>10394026.57628</v>
      </c>
      <c r="R1107" s="121" t="n">
        <v>10394026.57628</v>
      </c>
      <c r="S1107" s="122" t="n">
        <v>0</v>
      </c>
      <c r="T1107" s="110" t="n"/>
    </row>
    <row r="1108" ht="13.5" customHeight="1" s="52">
      <c r="A1108" s="104" t="n">
        <v>1101</v>
      </c>
      <c r="B1108" s="119" t="n"/>
      <c r="C1108" s="115" t="inlineStr">
        <is>
          <t>97</t>
        </is>
      </c>
      <c r="D1108" s="115" t="inlineStr">
        <is>
          <t>979</t>
        </is>
      </c>
      <c r="E1108" s="116" t="n"/>
      <c r="F1108" s="115" t="inlineStr">
        <is>
          <t>9790</t>
        </is>
      </c>
      <c r="G1108" s="116" t="n"/>
      <c r="H1108" s="115" t="inlineStr">
        <is>
          <t>Фонди банківського управління</t>
        </is>
      </c>
      <c r="I1108" s="115" t="inlineStr">
        <is>
          <t>П</t>
        </is>
      </c>
      <c r="J1108" s="117" t="n">
        <v>0</v>
      </c>
      <c r="K1108" s="117" t="n">
        <v>0</v>
      </c>
      <c r="L1108" s="117" t="n">
        <v>0</v>
      </c>
      <c r="M1108" s="117" t="n">
        <v>0</v>
      </c>
      <c r="N1108" s="116" t="n"/>
      <c r="O1108" s="117" t="n">
        <v>0</v>
      </c>
      <c r="P1108" s="117" t="n">
        <v>0</v>
      </c>
      <c r="Q1108" s="117" t="n">
        <v>0</v>
      </c>
      <c r="R1108" s="117" t="n">
        <v>0</v>
      </c>
      <c r="S1108" s="118" t="n">
        <v>0</v>
      </c>
      <c r="T1108" s="110" t="n"/>
    </row>
    <row r="1109" ht="13.5" customHeight="1" s="52">
      <c r="A1109" s="104" t="n">
        <v>1102</v>
      </c>
      <c r="B1109" s="119" t="n"/>
      <c r="C1109" s="119" t="n"/>
      <c r="D1109" s="119" t="n"/>
      <c r="F1109" s="115" t="inlineStr">
        <is>
          <t>9791</t>
        </is>
      </c>
      <c r="G1109" s="116" t="n"/>
      <c r="H1109" s="115" t="inlineStr">
        <is>
          <t>Рахунки установників</t>
        </is>
      </c>
      <c r="I1109" s="115" t="inlineStr">
        <is>
          <t>П</t>
        </is>
      </c>
      <c r="J1109" s="117" t="n">
        <v>0</v>
      </c>
      <c r="K1109" s="117" t="n">
        <v>0</v>
      </c>
      <c r="L1109" s="117" t="n">
        <v>0</v>
      </c>
      <c r="M1109" s="117" t="n">
        <v>0</v>
      </c>
      <c r="N1109" s="116" t="n"/>
      <c r="O1109" s="117" t="n">
        <v>0</v>
      </c>
      <c r="P1109" s="117" t="n">
        <v>0</v>
      </c>
      <c r="Q1109" s="117" t="n">
        <v>0</v>
      </c>
      <c r="R1109" s="117" t="n">
        <v>0</v>
      </c>
      <c r="S1109" s="118" t="n">
        <v>0</v>
      </c>
      <c r="T1109" s="110" t="n"/>
    </row>
    <row r="1110" ht="14.25" customHeight="1" s="52">
      <c r="A1110" s="104" t="n">
        <v>1103</v>
      </c>
      <c r="B1110" s="119" t="n"/>
      <c r="C1110" s="119" t="n"/>
      <c r="D1110" s="119" t="n"/>
      <c r="F1110" s="115" t="inlineStr">
        <is>
          <t>9792</t>
        </is>
      </c>
      <c r="G1110" s="116" t="n"/>
      <c r="H1110" s="115" t="inlineStr">
        <is>
          <t>Кредиторська заборгованість за операціями довірчого управління</t>
        </is>
      </c>
      <c r="I1110" s="115" t="inlineStr">
        <is>
          <t>П</t>
        </is>
      </c>
      <c r="J1110" s="117" t="n">
        <v>0</v>
      </c>
      <c r="K1110" s="117" t="n">
        <v>0</v>
      </c>
      <c r="L1110" s="117" t="n">
        <v>0</v>
      </c>
      <c r="M1110" s="117" t="n">
        <v>0</v>
      </c>
      <c r="N1110" s="116" t="n"/>
      <c r="O1110" s="117" t="n">
        <v>0</v>
      </c>
      <c r="P1110" s="117" t="n">
        <v>0</v>
      </c>
      <c r="Q1110" s="117" t="n">
        <v>0</v>
      </c>
      <c r="R1110" s="117" t="n">
        <v>0</v>
      </c>
      <c r="S1110" s="118" t="n">
        <v>0</v>
      </c>
      <c r="T1110" s="110" t="n"/>
    </row>
    <row r="1111" ht="13.5" customHeight="1" s="52">
      <c r="A1111" s="104" t="n">
        <v>1104</v>
      </c>
      <c r="B1111" s="119" t="n"/>
      <c r="C1111" s="119" t="n"/>
      <c r="D1111" s="119" t="n"/>
      <c r="F1111" s="115" t="inlineStr">
        <is>
          <t>9797</t>
        </is>
      </c>
      <c r="G1111" s="116" t="n"/>
      <c r="H1111" s="115" t="inlineStr">
        <is>
          <t>Доходи від операцій довірчого управління</t>
        </is>
      </c>
      <c r="I1111" s="115" t="inlineStr">
        <is>
          <t>П</t>
        </is>
      </c>
      <c r="J1111" s="117" t="n">
        <v>0</v>
      </c>
      <c r="K1111" s="117" t="n">
        <v>0</v>
      </c>
      <c r="L1111" s="117" t="n">
        <v>0</v>
      </c>
      <c r="M1111" s="117" t="n">
        <v>0</v>
      </c>
      <c r="N1111" s="116" t="n"/>
      <c r="O1111" s="117" t="n">
        <v>0</v>
      </c>
      <c r="P1111" s="117" t="n">
        <v>0</v>
      </c>
      <c r="Q1111" s="117" t="n">
        <v>0</v>
      </c>
      <c r="R1111" s="117" t="n">
        <v>0</v>
      </c>
      <c r="S1111" s="118" t="n">
        <v>0</v>
      </c>
      <c r="T1111" s="110" t="n"/>
    </row>
    <row r="1112" ht="13.5" customHeight="1" s="52">
      <c r="A1112" s="104" t="n">
        <v>1105</v>
      </c>
      <c r="B1112" s="119" t="n"/>
      <c r="C1112" s="119" t="n"/>
      <c r="D1112" s="119" t="n"/>
      <c r="F1112" s="120" t="inlineStr">
        <is>
          <t>Група 979 - Усього</t>
        </is>
      </c>
      <c r="G1112" s="116" t="n"/>
      <c r="H1112" s="116" t="n"/>
      <c r="I1112" s="120" t="n"/>
      <c r="J1112" s="121" t="n">
        <v>0</v>
      </c>
      <c r="K1112" s="121" t="n">
        <v>0</v>
      </c>
      <c r="L1112" s="121" t="n">
        <v>0</v>
      </c>
      <c r="M1112" s="121" t="n">
        <v>0</v>
      </c>
      <c r="N1112" s="116" t="n"/>
      <c r="O1112" s="121" t="n">
        <v>0</v>
      </c>
      <c r="P1112" s="121" t="n">
        <v>0</v>
      </c>
      <c r="Q1112" s="121" t="n">
        <v>0</v>
      </c>
      <c r="R1112" s="121" t="n">
        <v>0</v>
      </c>
      <c r="S1112" s="122" t="n">
        <v>0</v>
      </c>
      <c r="T1112" s="110" t="n"/>
    </row>
    <row r="1113" ht="19.5" customHeight="1" s="52">
      <c r="A1113" s="104" t="n">
        <v>1106</v>
      </c>
      <c r="B1113" s="119" t="n"/>
      <c r="C1113" s="119" t="n"/>
      <c r="D1113" s="120" t="inlineStr">
        <is>
          <t>Розділ 97 - Усього</t>
        </is>
      </c>
      <c r="E1113" s="116" t="n"/>
      <c r="F1113" s="120" t="n"/>
      <c r="G1113" s="116" t="n"/>
      <c r="H1113" s="116" t="n"/>
      <c r="I1113" s="120" t="n"/>
      <c r="J1113" s="121" t="n">
        <v>0</v>
      </c>
      <c r="K1113" s="121" t="n">
        <v>0</v>
      </c>
      <c r="L1113" s="121" t="n">
        <v>0</v>
      </c>
      <c r="M1113" s="121" t="n">
        <v>0</v>
      </c>
      <c r="N1113" s="116" t="n"/>
      <c r="O1113" s="121" t="n">
        <v>0</v>
      </c>
      <c r="P1113" s="121" t="n">
        <v>0</v>
      </c>
      <c r="Q1113" s="121" t="n">
        <v>0</v>
      </c>
      <c r="R1113" s="121" t="n">
        <v>0</v>
      </c>
      <c r="S1113" s="122" t="n">
        <v>0</v>
      </c>
      <c r="T1113" s="110" t="n"/>
    </row>
    <row r="1114" ht="19.5" customHeight="1" s="52">
      <c r="A1114" s="104" t="n">
        <v>1107</v>
      </c>
      <c r="B1114" s="119" t="n"/>
      <c r="C1114" s="120" t="inlineStr">
        <is>
          <t xml:space="preserve">  Клас 9 - Усього</t>
        </is>
      </c>
      <c r="D1114" s="120" t="n"/>
      <c r="E1114" s="116" t="n"/>
      <c r="F1114" s="120" t="n"/>
      <c r="G1114" s="116" t="n"/>
      <c r="H1114" s="116" t="n"/>
      <c r="I1114" s="120" t="n"/>
      <c r="J1114" s="121" t="n">
        <v>93860646.17641</v>
      </c>
      <c r="K1114" s="121" t="n">
        <v>43656239.30484</v>
      </c>
      <c r="L1114" s="121" t="n">
        <v>50204406.87157</v>
      </c>
      <c r="M1114" s="121" t="n">
        <v>113805325.33823</v>
      </c>
      <c r="N1114" s="116" t="n"/>
      <c r="O1114" s="121" t="n">
        <v>53494385.7726</v>
      </c>
      <c r="P1114" s="121" t="n">
        <v>60310939.56563</v>
      </c>
      <c r="Q1114" s="121" t="n">
        <v>497655552.05954</v>
      </c>
      <c r="R1114" s="121" t="n">
        <v>453268408.81594</v>
      </c>
      <c r="S1114" s="122" t="n">
        <v>44387143.2436</v>
      </c>
      <c r="T1114" s="110" t="n"/>
    </row>
    <row r="1115" ht="45" customHeight="1" s="52">
      <c r="A1115" s="104" t="n">
        <v>1108</v>
      </c>
      <c r="B1115" s="123" t="inlineStr">
        <is>
          <t>. Позабалансові 90-98 П - Усього</t>
        </is>
      </c>
      <c r="C1115" s="123" t="n"/>
      <c r="D1115" s="123" t="n"/>
      <c r="E1115" s="124" t="n"/>
      <c r="F1115" s="123" t="n"/>
      <c r="G1115" s="124" t="n"/>
      <c r="H1115" s="124" t="n"/>
      <c r="I1115" s="123" t="n"/>
      <c r="J1115" s="125" t="n">
        <v>93860646.17641</v>
      </c>
      <c r="K1115" s="125" t="n">
        <v>43656239.30484</v>
      </c>
      <c r="L1115" s="125" t="n">
        <v>50204406.87157</v>
      </c>
      <c r="M1115" s="125" t="n">
        <v>113805325.33823</v>
      </c>
      <c r="N1115" s="124" t="n"/>
      <c r="O1115" s="125" t="n">
        <v>53494385.7726</v>
      </c>
      <c r="P1115" s="125" t="n">
        <v>60310939.56563</v>
      </c>
      <c r="Q1115" s="125" t="n">
        <v>497655552.05954</v>
      </c>
      <c r="R1115" s="125" t="n">
        <v>453268408.81594</v>
      </c>
      <c r="S1115" s="126" t="n">
        <v>44387143.2436</v>
      </c>
      <c r="T1115" s="110" t="n"/>
    </row>
    <row r="1116" ht="13.5" customHeight="1" s="52">
      <c r="A1116" s="104" t="n">
        <v>1109</v>
      </c>
      <c r="B1116" s="115" t="inlineStr">
        <is>
          <t>Клас 9</t>
        </is>
      </c>
      <c r="C1116" s="115" t="inlineStr">
        <is>
          <t>99</t>
        </is>
      </c>
      <c r="D1116" s="115" t="inlineStr">
        <is>
          <t>990</t>
        </is>
      </c>
      <c r="E1116" s="116" t="n"/>
      <c r="F1116" s="115" t="inlineStr">
        <is>
          <t>9900</t>
        </is>
      </c>
      <c r="G1116" s="116" t="n"/>
      <c r="H1116" s="115" t="inlineStr">
        <is>
          <t>Контррахунки для рахунків розділів 90-95</t>
        </is>
      </c>
      <c r="I1116" s="115" t="inlineStr">
        <is>
          <t>П</t>
        </is>
      </c>
      <c r="J1116" s="117" t="n">
        <v>0</v>
      </c>
      <c r="K1116" s="117" t="n">
        <v>0</v>
      </c>
      <c r="L1116" s="117" t="n">
        <v>0</v>
      </c>
      <c r="M1116" s="117" t="n">
        <v>0</v>
      </c>
      <c r="N1116" s="116" t="n"/>
      <c r="O1116" s="117" t="n">
        <v>0</v>
      </c>
      <c r="P1116" s="117" t="n">
        <v>0</v>
      </c>
      <c r="Q1116" s="117" t="n">
        <v>346665811.54391</v>
      </c>
      <c r="R1116" s="117" t="n">
        <v>292435668.85272</v>
      </c>
      <c r="S1116" s="118" t="n">
        <v>54230142.69119</v>
      </c>
      <c r="T1116" s="110" t="n"/>
    </row>
    <row r="1117" ht="13.5" customHeight="1" s="52">
      <c r="A1117" s="104" t="n">
        <v>1110</v>
      </c>
      <c r="B1117" s="119" t="n"/>
      <c r="C1117" s="119" t="n"/>
      <c r="D1117" s="119" t="n"/>
      <c r="F1117" s="115" t="inlineStr">
        <is>
          <t>9901</t>
        </is>
      </c>
      <c r="G1117" s="116" t="n"/>
      <c r="H1117" s="115" t="inlineStr">
        <is>
          <t>0</t>
        </is>
      </c>
      <c r="I1117" s="115" t="inlineStr">
        <is>
          <t>П</t>
        </is>
      </c>
      <c r="J1117" s="117" t="n">
        <v>0</v>
      </c>
      <c r="K1117" s="117" t="n">
        <v>0</v>
      </c>
      <c r="L1117" s="117" t="n">
        <v>0</v>
      </c>
      <c r="M1117" s="117" t="n">
        <v>0</v>
      </c>
      <c r="N1117" s="116" t="n"/>
      <c r="O1117" s="117" t="n">
        <v>0</v>
      </c>
      <c r="P1117" s="117" t="n">
        <v>0</v>
      </c>
      <c r="Q1117" s="117" t="n">
        <v>0</v>
      </c>
      <c r="R1117" s="117" t="n">
        <v>0</v>
      </c>
      <c r="S1117" s="118" t="n">
        <v>0</v>
      </c>
      <c r="T1117" s="110" t="n"/>
    </row>
    <row r="1118" ht="14.25" customHeight="1" s="52">
      <c r="A1118" s="104" t="n">
        <v>1111</v>
      </c>
      <c r="B1118" s="119" t="n"/>
      <c r="C1118" s="119" t="n"/>
      <c r="D1118" s="119" t="n"/>
      <c r="F1118" s="115" t="inlineStr">
        <is>
          <t>9903</t>
        </is>
      </c>
      <c r="G1118" s="116" t="n"/>
      <c r="H1118" s="115" t="inlineStr">
        <is>
          <t>0</t>
        </is>
      </c>
      <c r="I1118" s="115" t="inlineStr">
        <is>
          <t>П</t>
        </is>
      </c>
      <c r="J1118" s="117" t="n">
        <v>0</v>
      </c>
      <c r="K1118" s="117" t="n">
        <v>0</v>
      </c>
      <c r="L1118" s="117" t="n">
        <v>0</v>
      </c>
      <c r="M1118" s="117" t="n">
        <v>0</v>
      </c>
      <c r="N1118" s="116" t="n"/>
      <c r="O1118" s="117" t="n">
        <v>0</v>
      </c>
      <c r="P1118" s="117" t="n">
        <v>0</v>
      </c>
      <c r="Q1118" s="117" t="n">
        <v>0</v>
      </c>
      <c r="R1118" s="117" t="n">
        <v>0</v>
      </c>
      <c r="S1118" s="118" t="n">
        <v>0</v>
      </c>
      <c r="T1118" s="110" t="n"/>
    </row>
    <row r="1119" ht="13.5" customHeight="1" s="52">
      <c r="A1119" s="104" t="n">
        <v>1112</v>
      </c>
      <c r="B1119" s="119" t="n"/>
      <c r="C1119" s="119" t="n"/>
      <c r="D1119" s="119" t="n"/>
      <c r="F1119" s="115" t="inlineStr">
        <is>
          <t>9904</t>
        </is>
      </c>
      <c r="G1119" s="116" t="n"/>
      <c r="H1119" s="115" t="inlineStr">
        <is>
          <t>0</t>
        </is>
      </c>
      <c r="I1119" s="115" t="inlineStr">
        <is>
          <t>П</t>
        </is>
      </c>
      <c r="J1119" s="117" t="n">
        <v>0</v>
      </c>
      <c r="K1119" s="117" t="n">
        <v>0</v>
      </c>
      <c r="L1119" s="117" t="n">
        <v>0</v>
      </c>
      <c r="M1119" s="117" t="n">
        <v>0</v>
      </c>
      <c r="N1119" s="116" t="n"/>
      <c r="O1119" s="117" t="n">
        <v>0</v>
      </c>
      <c r="P1119" s="117" t="n">
        <v>0</v>
      </c>
      <c r="Q1119" s="117" t="n">
        <v>0</v>
      </c>
      <c r="R1119" s="117" t="n">
        <v>0</v>
      </c>
      <c r="S1119" s="118" t="n">
        <v>0</v>
      </c>
      <c r="T1119" s="110" t="n"/>
    </row>
    <row r="1120" ht="13.5" customHeight="1" s="52">
      <c r="A1120" s="104" t="n">
        <v>1113</v>
      </c>
      <c r="B1120" s="119" t="n"/>
      <c r="C1120" s="119" t="n"/>
      <c r="D1120" s="119" t="n"/>
      <c r="F1120" s="120" t="inlineStr">
        <is>
          <t>Група 990 - Усього</t>
        </is>
      </c>
      <c r="G1120" s="116" t="n"/>
      <c r="H1120" s="116" t="n"/>
      <c r="I1120" s="120" t="n"/>
      <c r="J1120" s="121" t="n">
        <v>0</v>
      </c>
      <c r="K1120" s="121" t="n">
        <v>0</v>
      </c>
      <c r="L1120" s="121" t="n">
        <v>0</v>
      </c>
      <c r="M1120" s="121" t="n">
        <v>0</v>
      </c>
      <c r="N1120" s="116" t="n"/>
      <c r="O1120" s="121" t="n">
        <v>0</v>
      </c>
      <c r="P1120" s="121" t="n">
        <v>0</v>
      </c>
      <c r="Q1120" s="121" t="n">
        <v>346665811.54391</v>
      </c>
      <c r="R1120" s="121" t="n">
        <v>292435668.85272</v>
      </c>
      <c r="S1120" s="122" t="n">
        <v>54230142.69119</v>
      </c>
      <c r="T1120" s="110" t="n"/>
    </row>
    <row r="1121" ht="13.5" customHeight="1" s="52">
      <c r="A1121" s="104" t="n">
        <v>1114</v>
      </c>
      <c r="B1121" s="119" t="n"/>
      <c r="C1121" s="119" t="n"/>
      <c r="D1121" s="115" t="inlineStr">
        <is>
          <t>991</t>
        </is>
      </c>
      <c r="E1121" s="116" t="n"/>
      <c r="F1121" s="115" t="inlineStr">
        <is>
          <t>9910</t>
        </is>
      </c>
      <c r="G1121" s="116" t="n"/>
      <c r="H1121" s="115" t="inlineStr">
        <is>
          <t>Контррахунки для рахунків розділів 96-98</t>
        </is>
      </c>
      <c r="I1121" s="115" t="inlineStr">
        <is>
          <t>П</t>
        </is>
      </c>
      <c r="J1121" s="117" t="n">
        <v>0</v>
      </c>
      <c r="K1121" s="117" t="n">
        <v>0</v>
      </c>
      <c r="L1121" s="117" t="n">
        <v>0</v>
      </c>
      <c r="M1121" s="117" t="n">
        <v>0</v>
      </c>
      <c r="N1121" s="116" t="n"/>
      <c r="O1121" s="117" t="n">
        <v>0</v>
      </c>
      <c r="P1121" s="117" t="n">
        <v>0</v>
      </c>
      <c r="Q1121" s="117" t="n">
        <v>223988201.79085</v>
      </c>
      <c r="R1121" s="117" t="n">
        <v>73240485.38826001</v>
      </c>
      <c r="S1121" s="118" t="n">
        <v>150747716.40259</v>
      </c>
      <c r="T1121" s="110" t="n"/>
    </row>
    <row r="1122" ht="13.5" customHeight="1" s="52">
      <c r="A1122" s="104" t="n">
        <v>1115</v>
      </c>
      <c r="B1122" s="119" t="n"/>
      <c r="C1122" s="119" t="n"/>
      <c r="D1122" s="119" t="n"/>
      <c r="F1122" s="115" t="inlineStr">
        <is>
          <t>9911</t>
        </is>
      </c>
      <c r="G1122" s="116" t="n"/>
      <c r="H1122" s="115" t="inlineStr">
        <is>
          <t>0</t>
        </is>
      </c>
      <c r="I1122" s="115" t="inlineStr">
        <is>
          <t>П</t>
        </is>
      </c>
      <c r="J1122" s="117" t="n">
        <v>0</v>
      </c>
      <c r="K1122" s="117" t="n">
        <v>0</v>
      </c>
      <c r="L1122" s="117" t="n">
        <v>0</v>
      </c>
      <c r="M1122" s="117" t="n">
        <v>0</v>
      </c>
      <c r="N1122" s="116" t="n"/>
      <c r="O1122" s="117" t="n">
        <v>0</v>
      </c>
      <c r="P1122" s="117" t="n">
        <v>0</v>
      </c>
      <c r="Q1122" s="117" t="n">
        <v>0</v>
      </c>
      <c r="R1122" s="117" t="n">
        <v>0</v>
      </c>
      <c r="S1122" s="118" t="n">
        <v>0</v>
      </c>
      <c r="T1122" s="110" t="n"/>
    </row>
    <row r="1123" ht="14.25" customHeight="1" s="52">
      <c r="A1123" s="104" t="n">
        <v>1116</v>
      </c>
      <c r="B1123" s="119" t="n"/>
      <c r="C1123" s="119" t="n"/>
      <c r="D1123" s="119" t="n"/>
      <c r="F1123" s="115" t="inlineStr">
        <is>
          <t>9912</t>
        </is>
      </c>
      <c r="G1123" s="116" t="n"/>
      <c r="H1123" s="115" t="inlineStr">
        <is>
          <t>0</t>
        </is>
      </c>
      <c r="I1123" s="115" t="inlineStr">
        <is>
          <t>П</t>
        </is>
      </c>
      <c r="J1123" s="117" t="n">
        <v>0</v>
      </c>
      <c r="K1123" s="117" t="n">
        <v>0</v>
      </c>
      <c r="L1123" s="117" t="n">
        <v>0</v>
      </c>
      <c r="M1123" s="117" t="n">
        <v>0</v>
      </c>
      <c r="N1123" s="116" t="n"/>
      <c r="O1123" s="117" t="n">
        <v>0</v>
      </c>
      <c r="P1123" s="117" t="n">
        <v>0</v>
      </c>
      <c r="Q1123" s="117" t="n">
        <v>0</v>
      </c>
      <c r="R1123" s="117" t="n">
        <v>0</v>
      </c>
      <c r="S1123" s="118" t="n">
        <v>0</v>
      </c>
      <c r="T1123" s="110" t="n"/>
    </row>
    <row r="1124" ht="13.5" customHeight="1" s="52">
      <c r="A1124" s="104" t="n">
        <v>1117</v>
      </c>
      <c r="B1124" s="119" t="n"/>
      <c r="C1124" s="119" t="n"/>
      <c r="D1124" s="119" t="n"/>
      <c r="F1124" s="115" t="inlineStr">
        <is>
          <t>9914</t>
        </is>
      </c>
      <c r="G1124" s="116" t="n"/>
      <c r="H1124" s="115" t="inlineStr">
        <is>
          <t>0</t>
        </is>
      </c>
      <c r="I1124" s="115" t="inlineStr">
        <is>
          <t>П</t>
        </is>
      </c>
      <c r="J1124" s="117" t="n">
        <v>0</v>
      </c>
      <c r="K1124" s="117" t="n">
        <v>0</v>
      </c>
      <c r="L1124" s="117" t="n">
        <v>0</v>
      </c>
      <c r="M1124" s="117" t="n">
        <v>0</v>
      </c>
      <c r="N1124" s="116" t="n"/>
      <c r="O1124" s="117" t="n">
        <v>0</v>
      </c>
      <c r="P1124" s="117" t="n">
        <v>0</v>
      </c>
      <c r="Q1124" s="117" t="n">
        <v>0</v>
      </c>
      <c r="R1124" s="117" t="n">
        <v>0</v>
      </c>
      <c r="S1124" s="118" t="n">
        <v>0</v>
      </c>
      <c r="T1124" s="110" t="n"/>
    </row>
    <row r="1125" ht="13.5" customHeight="1" s="52">
      <c r="A1125" s="104" t="n">
        <v>1118</v>
      </c>
      <c r="B1125" s="119" t="n"/>
      <c r="C1125" s="119" t="n"/>
      <c r="D1125" s="119" t="n"/>
      <c r="F1125" s="115" t="inlineStr">
        <is>
          <t>9916</t>
        </is>
      </c>
      <c r="G1125" s="116" t="n"/>
      <c r="H1125" s="115" t="inlineStr">
        <is>
          <t>0</t>
        </is>
      </c>
      <c r="I1125" s="115" t="inlineStr">
        <is>
          <t>П</t>
        </is>
      </c>
      <c r="J1125" s="117" t="n">
        <v>0</v>
      </c>
      <c r="K1125" s="117" t="n">
        <v>0</v>
      </c>
      <c r="L1125" s="117" t="n">
        <v>0</v>
      </c>
      <c r="M1125" s="117" t="n">
        <v>0</v>
      </c>
      <c r="N1125" s="116" t="n"/>
      <c r="O1125" s="117" t="n">
        <v>0</v>
      </c>
      <c r="P1125" s="117" t="n">
        <v>0</v>
      </c>
      <c r="Q1125" s="117" t="n">
        <v>0</v>
      </c>
      <c r="R1125" s="117" t="n">
        <v>0</v>
      </c>
      <c r="S1125" s="118" t="n">
        <v>0</v>
      </c>
      <c r="T1125" s="110" t="n"/>
    </row>
    <row r="1126" ht="13.5" customHeight="1" s="52">
      <c r="A1126" s="104" t="n">
        <v>1119</v>
      </c>
      <c r="B1126" s="119" t="n"/>
      <c r="C1126" s="119" t="n"/>
      <c r="D1126" s="119" t="n"/>
      <c r="F1126" s="120" t="inlineStr">
        <is>
          <t>Група 991 - Усього</t>
        </is>
      </c>
      <c r="G1126" s="116" t="n"/>
      <c r="H1126" s="116" t="n"/>
      <c r="I1126" s="120" t="n"/>
      <c r="J1126" s="121" t="n">
        <v>0</v>
      </c>
      <c r="K1126" s="121" t="n">
        <v>0</v>
      </c>
      <c r="L1126" s="121" t="n">
        <v>0</v>
      </c>
      <c r="M1126" s="121" t="n">
        <v>0</v>
      </c>
      <c r="N1126" s="116" t="n"/>
      <c r="O1126" s="121" t="n">
        <v>0</v>
      </c>
      <c r="P1126" s="121" t="n">
        <v>0</v>
      </c>
      <c r="Q1126" s="121" t="n">
        <v>223988201.79085</v>
      </c>
      <c r="R1126" s="121" t="n">
        <v>73240485.38826001</v>
      </c>
      <c r="S1126" s="122" t="n">
        <v>150747716.40259</v>
      </c>
      <c r="T1126" s="110" t="n"/>
    </row>
    <row r="1127" ht="13.5" customHeight="1" s="52">
      <c r="A1127" s="104" t="n">
        <v>1120</v>
      </c>
      <c r="B1127" s="119" t="n"/>
      <c r="C1127" s="119" t="n"/>
      <c r="D1127" s="115" t="inlineStr">
        <is>
          <t>992</t>
        </is>
      </c>
      <c r="E1127" s="116" t="n"/>
      <c r="F1127" s="115" t="inlineStr">
        <is>
          <t>9920</t>
        </is>
      </c>
      <c r="G1127" s="116" t="n"/>
      <c r="H1127" s="115" t="inlineStr">
        <is>
          <t>Позабалансова позиція банку за іноземною валютою та банківськими металами</t>
        </is>
      </c>
      <c r="I1127" s="115" t="inlineStr">
        <is>
          <t>П</t>
        </is>
      </c>
      <c r="J1127" s="117" t="n">
        <v>0</v>
      </c>
      <c r="K1127" s="117" t="n">
        <v>0</v>
      </c>
      <c r="L1127" s="117" t="n">
        <v>0</v>
      </c>
      <c r="M1127" s="117" t="n">
        <v>0</v>
      </c>
      <c r="N1127" s="116" t="n"/>
      <c r="O1127" s="117" t="n">
        <v>0</v>
      </c>
      <c r="P1127" s="117" t="n">
        <v>0</v>
      </c>
      <c r="Q1127" s="117" t="n">
        <v>14928303.67794</v>
      </c>
      <c r="R1127" s="117" t="n">
        <v>2e-05</v>
      </c>
      <c r="S1127" s="118" t="n">
        <v>14928303.67792</v>
      </c>
      <c r="T1127" s="110" t="n"/>
    </row>
    <row r="1128" ht="14.25" customHeight="1" s="52">
      <c r="A1128" s="104" t="n">
        <v>1121</v>
      </c>
      <c r="B1128" s="119" t="n"/>
      <c r="C1128" s="119" t="n"/>
      <c r="D1128" s="119" t="n"/>
      <c r="F1128" s="120" t="inlineStr">
        <is>
          <t>Група 992 - Усього</t>
        </is>
      </c>
      <c r="G1128" s="116" t="n"/>
      <c r="H1128" s="116" t="n"/>
      <c r="I1128" s="120" t="n"/>
      <c r="J1128" s="121" t="n">
        <v>0</v>
      </c>
      <c r="K1128" s="121" t="n">
        <v>0</v>
      </c>
      <c r="L1128" s="121" t="n">
        <v>0</v>
      </c>
      <c r="M1128" s="121" t="n">
        <v>0</v>
      </c>
      <c r="N1128" s="116" t="n"/>
      <c r="O1128" s="121" t="n">
        <v>0</v>
      </c>
      <c r="P1128" s="121" t="n">
        <v>0</v>
      </c>
      <c r="Q1128" s="121" t="n">
        <v>14928303.67794</v>
      </c>
      <c r="R1128" s="121" t="n">
        <v>2e-05</v>
      </c>
      <c r="S1128" s="122" t="n">
        <v>14928303.67792</v>
      </c>
      <c r="T1128" s="110" t="n"/>
    </row>
    <row r="1129" ht="24" customHeight="1" s="52">
      <c r="A1129" s="104" t="n">
        <v>1122</v>
      </c>
      <c r="B1129" s="119" t="n"/>
      <c r="C1129" s="119" t="n"/>
      <c r="D1129" s="120" t="inlineStr">
        <is>
          <t>Розділ 99 - Усього</t>
        </is>
      </c>
      <c r="E1129" s="116" t="n"/>
      <c r="F1129" s="120" t="n"/>
      <c r="G1129" s="116" t="n"/>
      <c r="H1129" s="116" t="n"/>
      <c r="I1129" s="120" t="n"/>
      <c r="J1129" s="121" t="n">
        <v>0</v>
      </c>
      <c r="K1129" s="121" t="n">
        <v>0</v>
      </c>
      <c r="L1129" s="121" t="n">
        <v>0</v>
      </c>
      <c r="M1129" s="121" t="n">
        <v>0</v>
      </c>
      <c r="N1129" s="116" t="n"/>
      <c r="O1129" s="121" t="n">
        <v>0</v>
      </c>
      <c r="P1129" s="121" t="n">
        <v>0</v>
      </c>
      <c r="Q1129" s="121" t="n">
        <v>585582317.0127</v>
      </c>
      <c r="R1129" s="121" t="n">
        <v>365676154.241</v>
      </c>
      <c r="S1129" s="122" t="n">
        <v>219906162.7717</v>
      </c>
      <c r="T1129" s="110" t="n"/>
    </row>
    <row r="1130" ht="21" customHeight="1" s="52">
      <c r="A1130" s="104" t="n">
        <v>1123</v>
      </c>
      <c r="B1130" s="119" t="n"/>
      <c r="C1130" s="120" t="inlineStr">
        <is>
          <t xml:space="preserve">  Клас 9 - Усього</t>
        </is>
      </c>
      <c r="D1130" s="120" t="n"/>
      <c r="E1130" s="116" t="n"/>
      <c r="F1130" s="120" t="n"/>
      <c r="G1130" s="116" t="n"/>
      <c r="H1130" s="116" t="n"/>
      <c r="I1130" s="120" t="n"/>
      <c r="J1130" s="121" t="n">
        <v>0</v>
      </c>
      <c r="K1130" s="121" t="n">
        <v>0</v>
      </c>
      <c r="L1130" s="121" t="n">
        <v>0</v>
      </c>
      <c r="M1130" s="121" t="n">
        <v>0</v>
      </c>
      <c r="N1130" s="116" t="n"/>
      <c r="O1130" s="121" t="n">
        <v>0</v>
      </c>
      <c r="P1130" s="121" t="n">
        <v>0</v>
      </c>
      <c r="Q1130" s="121" t="n">
        <v>585582317.0127</v>
      </c>
      <c r="R1130" s="121" t="n">
        <v>365676154.241</v>
      </c>
      <c r="S1130" s="122" t="n">
        <v>219906162.7717</v>
      </c>
      <c r="T1130" s="110" t="n"/>
    </row>
    <row r="1131" ht="42.75" customHeight="1" s="52">
      <c r="A1131" s="104" t="n">
        <v>1124</v>
      </c>
      <c r="B1131" s="123" t="inlineStr">
        <is>
          <t xml:space="preserve">  Позабалансові контррах.П - Усього</t>
        </is>
      </c>
      <c r="C1131" s="123" t="n"/>
      <c r="D1131" s="123" t="n"/>
      <c r="E1131" s="124" t="n"/>
      <c r="F1131" s="123" t="n"/>
      <c r="G1131" s="124" t="n"/>
      <c r="H1131" s="124" t="n"/>
      <c r="I1131" s="123" t="n"/>
      <c r="J1131" s="125" t="n">
        <v>0</v>
      </c>
      <c r="K1131" s="125" t="n">
        <v>0</v>
      </c>
      <c r="L1131" s="125" t="n">
        <v>0</v>
      </c>
      <c r="M1131" s="125" t="n">
        <v>0</v>
      </c>
      <c r="N1131" s="124" t="n"/>
      <c r="O1131" s="125" t="n">
        <v>0</v>
      </c>
      <c r="P1131" s="125" t="n">
        <v>0</v>
      </c>
      <c r="Q1131" s="125" t="n">
        <v>585582317.0127</v>
      </c>
      <c r="R1131" s="125" t="n">
        <v>365676154.241</v>
      </c>
      <c r="S1131" s="126" t="n">
        <v>219906162.7717</v>
      </c>
      <c r="T1131" s="110" t="n"/>
    </row>
    <row r="1132" ht="12.75" customHeight="1" s="52">
      <c r="A1132" s="104" t="n">
        <v>1125</v>
      </c>
      <c r="B1132" s="138" t="inlineStr">
        <is>
          <t>За позабалансовими пасивними рахунками - усього</t>
        </is>
      </c>
      <c r="C1132" s="106" t="n"/>
      <c r="D1132" s="106" t="n"/>
      <c r="E1132" s="106" t="n"/>
      <c r="F1132" s="106" t="n"/>
      <c r="G1132" s="106" t="n"/>
      <c r="H1132" s="107" t="n"/>
      <c r="I1132" s="140" t="n"/>
      <c r="J1132" s="141" t="n">
        <v>93860646.17641</v>
      </c>
      <c r="K1132" s="132" t="n">
        <v>43656239.30484</v>
      </c>
      <c r="L1132" s="132" t="n">
        <v>50204406.87157</v>
      </c>
      <c r="M1132" s="132" t="n">
        <v>113805325.33823</v>
      </c>
      <c r="N1132" s="124" t="n"/>
      <c r="O1132" s="132" t="n">
        <v>53494385.7726</v>
      </c>
      <c r="P1132" s="132" t="n">
        <v>60310939.56563</v>
      </c>
      <c r="Q1132" s="132" t="n">
        <v>1083237869.07224</v>
      </c>
      <c r="R1132" s="132" t="n">
        <v>818944563.05694</v>
      </c>
      <c r="S1132" s="133" t="n">
        <v>264293306.0153</v>
      </c>
      <c r="T1132" s="110" t="n"/>
    </row>
    <row r="1133" ht="13.5" customHeight="1" s="52">
      <c r="B1133" s="110" t="n"/>
      <c r="C1133" s="110" t="n"/>
      <c r="D1133" s="110" t="n"/>
      <c r="E1133" s="110" t="n"/>
      <c r="F1133" s="110" t="n"/>
      <c r="G1133" s="110" t="n"/>
      <c r="H1133" s="110" t="n"/>
      <c r="I1133" s="110" t="n"/>
      <c r="J1133" s="110" t="n"/>
      <c r="K1133" s="110" t="n"/>
      <c r="L1133" s="110" t="n"/>
      <c r="M1133" s="110" t="n"/>
      <c r="N1133" s="110" t="n"/>
      <c r="O1133" s="110" t="n"/>
      <c r="P1133" s="110" t="n"/>
      <c r="Q1133" s="110" t="n"/>
      <c r="R1133" s="110" t="n"/>
      <c r="S1133" s="110" t="n"/>
      <c r="T1133" s="110" t="n"/>
    </row>
    <row r="1134" ht="21.75" customHeight="1" s="52">
      <c r="B1134" s="110" t="n"/>
      <c r="C1134" s="110" t="n"/>
      <c r="D1134" s="110" t="n"/>
      <c r="E1134" s="110" t="n"/>
      <c r="F1134" s="110" t="n"/>
      <c r="G1134" s="110" t="n"/>
      <c r="H1134" s="110" t="n"/>
      <c r="I1134" s="110" t="n"/>
      <c r="J1134" s="110" t="n"/>
      <c r="K1134" s="110" t="n"/>
      <c r="L1134" s="110" t="n"/>
      <c r="M1134" s="110" t="n"/>
      <c r="N1134" s="110" t="n"/>
      <c r="O1134" s="110" t="n"/>
      <c r="P1134" s="110" t="n"/>
      <c r="Q1134" s="110" t="n"/>
      <c r="R1134" s="110" t="n"/>
      <c r="S1134" s="110" t="n"/>
      <c r="T1134" s="110" t="n"/>
    </row>
    <row r="1137">
      <c r="I1137" s="142" t="inlineStr">
        <is>
          <t>Index</t>
        </is>
      </c>
      <c r="J1137" s="142" t="inlineStr">
        <is>
          <t>debit_total</t>
        </is>
      </c>
      <c r="K1137" s="142" t="inlineStr">
        <is>
          <t>debit_nc</t>
        </is>
      </c>
      <c r="L1137" s="142" t="inlineStr">
        <is>
          <t>debit_ic</t>
        </is>
      </c>
      <c r="M1137" s="142" t="inlineStr">
        <is>
          <t>credit_total</t>
        </is>
      </c>
      <c r="N1137" s="142" t="inlineStr">
        <is>
          <t>credit_nc</t>
        </is>
      </c>
      <c r="O1137" s="142" t="inlineStr">
        <is>
          <t>credit_ic</t>
        </is>
      </c>
      <c r="P1137" s="142" t="inlineStr">
        <is>
          <t>balance_total</t>
        </is>
      </c>
      <c r="Q1137" s="142" t="inlineStr">
        <is>
          <t>balance_nc</t>
        </is>
      </c>
      <c r="R1137" s="142" t="inlineStr">
        <is>
          <t>balance_ic</t>
        </is>
      </c>
    </row>
    <row r="1138">
      <c r="I1138" s="143" t="inlineStr">
        <is>
          <t>Проценти по ОВДП (коди 6120-6122)</t>
        </is>
      </c>
      <c r="J1138" s="143" t="n">
        <v/>
      </c>
      <c r="K1138" s="143" t="n">
        <v/>
      </c>
      <c r="L1138" s="143" t="n">
        <v/>
      </c>
      <c r="M1138" s="143" t="n">
        <v/>
      </c>
      <c r="N1138" s="143" t="n">
        <v/>
      </c>
      <c r="O1138" s="143" t="n">
        <v/>
      </c>
      <c r="P1138" s="143">
        <f>SUM(Q713:Q717)</f>
        <v/>
      </c>
      <c r="Q1138" s="143">
        <f>SUM(R713:R717)</f>
        <v/>
      </c>
      <c r="R1138" s="143">
        <f>SUM(S713:S717)</f>
        <v/>
      </c>
    </row>
    <row r="1139">
      <c r="I1139" s="144" t="inlineStr">
        <is>
          <t>Проценти по ДС (коди 6127-6128)</t>
        </is>
      </c>
      <c r="J1139" s="144" t="n">
        <v/>
      </c>
      <c r="K1139" s="144" t="n">
        <v/>
      </c>
      <c r="L1139" s="144" t="n">
        <v/>
      </c>
      <c r="M1139" s="144" t="n">
        <v/>
      </c>
      <c r="N1139" s="144" t="n">
        <v/>
      </c>
      <c r="O1139" s="144" t="n">
        <v/>
      </c>
      <c r="P1139" s="144">
        <f>SUM(Q723:Q726)</f>
        <v/>
      </c>
      <c r="Q1139" s="144">
        <f>SUM(R723:R726)</f>
        <v/>
      </c>
      <c r="R1139" s="144">
        <f>SUM(S723:S726)</f>
        <v/>
      </c>
    </row>
    <row r="1140">
      <c r="I1140" s="143" t="inlineStr">
        <is>
          <t>Обсяг ДС дебит (середні, поділено на кількість банк.днів) (код 1430, 1440)</t>
        </is>
      </c>
      <c r="J1140" s="143">
        <f>J60+J66</f>
        <v/>
      </c>
      <c r="K1140" s="143">
        <f>K60+K66</f>
        <v/>
      </c>
      <c r="L1140" s="143">
        <f>L60+L66</f>
        <v/>
      </c>
      <c r="M1140" s="143" t="n">
        <v/>
      </c>
      <c r="N1140" s="143" t="n">
        <v/>
      </c>
      <c r="O1140" s="143" t="n">
        <v/>
      </c>
      <c r="P1140" s="143" t="n">
        <v/>
      </c>
      <c r="Q1140" s="143" t="n">
        <v/>
      </c>
      <c r="R1140" s="143" t="n">
        <v/>
      </c>
    </row>
    <row r="1141">
      <c r="I1141" s="144" t="inlineStr">
        <is>
          <t>Обсяг ДС кредит (середні, поділено на кількість банк.днів) (код 1430, 1440)</t>
        </is>
      </c>
      <c r="J1141" s="144" t="n">
        <v/>
      </c>
      <c r="K1141" s="144" t="n">
        <v/>
      </c>
      <c r="L1141" s="144" t="n">
        <v/>
      </c>
      <c r="M1141" s="144">
        <f>M60+M66</f>
        <v/>
      </c>
      <c r="N1141" s="144">
        <f>O60+O66</f>
        <v/>
      </c>
      <c r="O1141" s="144">
        <f>P60+P66</f>
        <v/>
      </c>
      <c r="P1141" s="144" t="n">
        <v/>
      </c>
      <c r="Q1141" s="144" t="n">
        <v/>
      </c>
      <c r="R1141" s="144" t="n">
        <v/>
      </c>
    </row>
    <row r="1142">
      <c r="I1142" s="143" t="inlineStr">
        <is>
          <t>Кошти в НБУ (кор.рахунок) (кредит) (код 1200)</t>
        </is>
      </c>
      <c r="J1142" s="143" t="n">
        <v/>
      </c>
      <c r="K1142" s="143" t="n">
        <v/>
      </c>
      <c r="L1142" s="143" t="n">
        <v/>
      </c>
      <c r="M1142" s="143">
        <f>M31</f>
        <v/>
      </c>
      <c r="N1142" s="143">
        <f>O31</f>
        <v/>
      </c>
      <c r="O1142" s="143">
        <f>P31</f>
        <v/>
      </c>
      <c r="P1142" s="143" t="n">
        <v/>
      </c>
      <c r="Q1142" s="143" t="n">
        <v/>
      </c>
      <c r="R1142" s="143" t="n">
        <v/>
      </c>
    </row>
    <row r="1143">
      <c r="I1143" s="144" t="inlineStr">
        <is>
          <t>Кошти в НБУ (УСЬОГО) (кредит) (розділ 12)</t>
        </is>
      </c>
      <c r="J1143" s="144" t="n">
        <v/>
      </c>
      <c r="K1143" s="144" t="n">
        <v/>
      </c>
      <c r="L1143" s="144" t="n">
        <v/>
      </c>
      <c r="M1143" s="144">
        <f>M31+M34</f>
        <v/>
      </c>
      <c r="N1143" s="144">
        <f>O31+O34</f>
        <v/>
      </c>
      <c r="O1143" s="144">
        <f>P31+P34</f>
        <v/>
      </c>
      <c r="P1143" s="144" t="n">
        <v/>
      </c>
      <c r="Q1143" s="144" t="n">
        <v/>
      </c>
      <c r="R1143" s="144" t="n">
        <v/>
      </c>
    </row>
    <row r="1144">
      <c r="I1144" s="143" t="inlineStr">
        <is>
          <t>Процентні доходи (коди р.60,р.61)</t>
        </is>
      </c>
      <c r="J1144" s="143" t="n">
        <v/>
      </c>
      <c r="K1144" s="143" t="n">
        <v/>
      </c>
      <c r="L1144" s="143" t="n">
        <v/>
      </c>
      <c r="M1144" s="143" t="n">
        <v/>
      </c>
      <c r="N1144" s="143" t="n">
        <v/>
      </c>
      <c r="O1144" s="143" t="n">
        <v/>
      </c>
      <c r="P1144" s="143">
        <f>Q645+Q646+SUM(Q648:Q659)+SUM(Q661:Q676)+SUM(Q678:Q683)+SUM(Q685:Q688)+SUM(Q690:Q697)+SUM(Q699:Q704)+SUM(Q706:Q707)+SUM(Q710:Q711)+SUM(Q713:Q726)+Q728+Q729</f>
        <v/>
      </c>
      <c r="Q1144" s="143">
        <f>R645+R646+SUM(R648:R659)+SUM(R661:R676)+SUM(R678:R683)+SUM(R685:R688)+SUM(R690:R697)+SUM(R699:R704)+SUM(R706:R707)+SUM(R710:R711)+SUM(R713:R726)+R728+R729</f>
        <v/>
      </c>
      <c r="R1144" s="143">
        <f>S645+S646+SUM(S648:S659)+SUM(S661:S676)+SUM(S678:S683)+SUM(S685:S688)+SUM(S690:S697)+SUM(S699:S704)+SUM(S706:S707)+SUM(S710:S711)+SUM(S713:S726)+S728+S729</f>
        <v/>
      </c>
    </row>
    <row r="1145">
      <c r="I1145" s="144" t="inlineStr">
        <is>
          <t>Проценти по ДС у % до процентних доходів</t>
        </is>
      </c>
      <c r="J1145" s="144" t="n">
        <v/>
      </c>
      <c r="K1145" s="144" t="n">
        <v/>
      </c>
      <c r="L1145" s="144" t="n">
        <v/>
      </c>
      <c r="M1145" s="144" t="n">
        <v/>
      </c>
      <c r="N1145" s="144" t="n">
        <v/>
      </c>
      <c r="O1145" s="144" t="n">
        <v/>
      </c>
      <c r="P1145" s="144">
        <f>P1139/P1144*100</f>
        <v/>
      </c>
      <c r="Q1145" s="144">
        <f>Q1139/Q1144*100</f>
        <v/>
      </c>
      <c r="R1145" s="144">
        <f>R1139/R1144*100</f>
        <v/>
      </c>
    </row>
    <row r="1146">
      <c r="I1146" s="143" t="inlineStr">
        <is>
          <t>Проценти по ОВДП у % до процентних доходів</t>
        </is>
      </c>
      <c r="J1146" s="143" t="n">
        <v/>
      </c>
      <c r="K1146" s="143" t="n">
        <v/>
      </c>
      <c r="L1146" s="143" t="n">
        <v/>
      </c>
      <c r="M1146" s="143" t="n">
        <v/>
      </c>
      <c r="N1146" s="143" t="n">
        <v/>
      </c>
      <c r="O1146" s="143" t="n">
        <v/>
      </c>
      <c r="P1146" s="143">
        <f>P1138/P1144*100</f>
        <v/>
      </c>
      <c r="Q1146" s="143">
        <f>Q1138/Q1144*100</f>
        <v/>
      </c>
      <c r="R1146" s="143">
        <f>R1138/R1144*100</f>
        <v/>
      </c>
    </row>
    <row r="1147">
      <c r="I1147" s="144" t="inlineStr">
        <is>
          <t>Проценти по ДС+ОВДП у % до процентних доходів</t>
        </is>
      </c>
      <c r="J1147" s="144" t="n">
        <v/>
      </c>
      <c r="K1147" s="144" t="n">
        <v/>
      </c>
      <c r="L1147" s="144" t="n">
        <v/>
      </c>
      <c r="M1147" s="144" t="n">
        <v/>
      </c>
      <c r="N1147" s="144" t="n">
        <v/>
      </c>
      <c r="O1147" s="144" t="n">
        <v/>
      </c>
      <c r="P1147" s="144">
        <f>P1145+P1146</f>
        <v/>
      </c>
      <c r="Q1147" s="144">
        <f>Q1145+Q1146</f>
        <v/>
      </c>
      <c r="R1147" s="144">
        <f>R1145+R1146</f>
        <v/>
      </c>
    </row>
    <row r="1148">
      <c r="I1148" s="143" t="inlineStr">
        <is>
          <t>Проценти за кредитами НК (коди 602, 603, 609)</t>
        </is>
      </c>
      <c r="J1148" s="143" t="n">
        <v/>
      </c>
      <c r="K1148" s="143" t="n">
        <v/>
      </c>
      <c r="L1148" s="143" t="n">
        <v/>
      </c>
      <c r="M1148" s="143" t="n">
        <v/>
      </c>
      <c r="N1148" s="143" t="n">
        <v/>
      </c>
      <c r="O1148" s="143" t="n">
        <v/>
      </c>
      <c r="P1148" s="143">
        <f>SUM(Q661:Q676)+SUM(Q678:Q683)+SUM(Q706:Q707)</f>
        <v/>
      </c>
      <c r="Q1148" s="143">
        <f>SUM(R661:R676)+SUM(R678:R683)+SUM(R706:R707)</f>
        <v/>
      </c>
      <c r="R1148" s="143">
        <f>SUM(S661:S676)+SUM(S678:S683)+SUM(S706:S707)</f>
        <v/>
      </c>
    </row>
    <row r="1149">
      <c r="I1149" s="144" t="inlineStr">
        <is>
          <t>Проценти за кредитами ДГ (коди 605, 606, 611)</t>
        </is>
      </c>
      <c r="J1149" s="144" t="n">
        <v/>
      </c>
      <c r="K1149" s="144" t="n">
        <v/>
      </c>
      <c r="L1149" s="144" t="n">
        <v/>
      </c>
      <c r="M1149" s="144" t="n">
        <v/>
      </c>
      <c r="N1149" s="144" t="n">
        <v/>
      </c>
      <c r="O1149" s="144" t="n">
        <v/>
      </c>
      <c r="P1149" s="144">
        <f>SUM(Q690:Q697)+SUM(Q699:Q704)+SUM(Q710:Q711)</f>
        <v/>
      </c>
      <c r="Q1149" s="144">
        <f>SUM(R690:R697)+SUM(R699:R704)+SUM(R710:R711)</f>
        <v/>
      </c>
      <c r="R1149" s="144">
        <f>SUM(S690:S697)+SUM(S699:S704)+SUM(S710:S711)</f>
        <v/>
      </c>
    </row>
    <row r="1150">
      <c r="I1150" s="143" t="inlineStr">
        <is>
          <t>Проценти за кредитами ЗДУ (код 604)</t>
        </is>
      </c>
      <c r="J1150" s="143" t="n">
        <v/>
      </c>
      <c r="K1150" s="143" t="n">
        <v/>
      </c>
      <c r="L1150" s="143" t="n">
        <v/>
      </c>
      <c r="M1150" s="143" t="n">
        <v/>
      </c>
      <c r="N1150" s="143" t="n">
        <v/>
      </c>
      <c r="O1150" s="143" t="n">
        <v/>
      </c>
      <c r="P1150" s="143">
        <f>SUM(Q685:Q688)</f>
        <v/>
      </c>
      <c r="Q1150" s="143">
        <f>SUM(R685:R688)</f>
        <v/>
      </c>
      <c r="R1150" s="143">
        <f>SUM(S685:S688)</f>
        <v/>
      </c>
    </row>
    <row r="1151">
      <c r="I1151" s="144" t="inlineStr">
        <is>
          <t>Проценти за поточними вкладами ДГ (код 7040)</t>
        </is>
      </c>
      <c r="J1151" s="144" t="n">
        <v/>
      </c>
      <c r="K1151" s="144" t="n">
        <v/>
      </c>
      <c r="L1151" s="144" t="n">
        <v/>
      </c>
      <c r="M1151" s="144" t="n">
        <v/>
      </c>
      <c r="N1151" s="144" t="n">
        <v/>
      </c>
      <c r="O1151" s="144" t="n">
        <v/>
      </c>
      <c r="P1151" s="144">
        <f>Q834+Q835</f>
        <v/>
      </c>
      <c r="Q1151" s="144">
        <f>R834+R835</f>
        <v/>
      </c>
      <c r="R1151" s="144">
        <f>S834+S835</f>
        <v/>
      </c>
    </row>
    <row r="1152">
      <c r="I1152" s="143" t="inlineStr">
        <is>
          <t>Проценти за строковими вкладами ДГ (код 7041)</t>
        </is>
      </c>
      <c r="J1152" s="143" t="n">
        <v/>
      </c>
      <c r="K1152" s="143" t="n">
        <v/>
      </c>
      <c r="L1152" s="143" t="n">
        <v/>
      </c>
      <c r="M1152" s="143" t="n">
        <v/>
      </c>
      <c r="N1152" s="143" t="n">
        <v/>
      </c>
      <c r="O1152" s="143" t="n">
        <v/>
      </c>
      <c r="P1152" s="143">
        <f>Q836+Q837</f>
        <v/>
      </c>
      <c r="Q1152" s="143">
        <f>R836+R837</f>
        <v/>
      </c>
      <c r="R1152" s="143">
        <f>S836+S837</f>
        <v/>
      </c>
    </row>
    <row r="1153">
      <c r="I1153" s="144" t="inlineStr">
        <is>
          <t xml:space="preserve">Процентні витрати банків ДГ - всього </t>
        </is>
      </c>
      <c r="J1153" s="144" t="n">
        <v/>
      </c>
      <c r="K1153" s="144" t="n">
        <v/>
      </c>
      <c r="L1153" s="144" t="n">
        <v/>
      </c>
      <c r="M1153" s="144" t="n">
        <v/>
      </c>
      <c r="N1153" s="144" t="n">
        <v/>
      </c>
      <c r="O1153" s="144" t="n">
        <v/>
      </c>
      <c r="P1153" s="144">
        <f>P1151+P1152</f>
        <v/>
      </c>
      <c r="Q1153" s="144">
        <f>Q1151+Q1152</f>
        <v/>
      </c>
      <c r="R1153" s="144">
        <f>R1151+R1152</f>
        <v/>
      </c>
    </row>
    <row r="1154">
      <c r="I1154" s="143" t="inlineStr">
        <is>
          <t>Кредити субʼєктам господарювання (р.20, р.23, 260)</t>
        </is>
      </c>
      <c r="J1154" s="143" t="n">
        <v/>
      </c>
      <c r="K1154" s="143" t="n">
        <v/>
      </c>
      <c r="L1154" s="143" t="n">
        <v/>
      </c>
      <c r="M1154" s="143" t="n">
        <v/>
      </c>
      <c r="N1154" s="143" t="n">
        <v/>
      </c>
      <c r="O1154" s="143" t="n">
        <v/>
      </c>
      <c r="P1154" s="143">
        <f>SUM(Q105:Q149)+SUM(Q198:Q208)+SUM(Q220:Q222)</f>
        <v/>
      </c>
      <c r="Q1154" s="143">
        <f>SUM(R105:R149)+SUM(R198:R208)+SUM(R220:R222)</f>
        <v/>
      </c>
      <c r="R1154" s="143">
        <f>SUM(S105:S149)+SUM(S198:S208)+SUM(S220:S222)</f>
        <v/>
      </c>
    </row>
    <row r="1155">
      <c r="I1155" s="144" t="inlineStr">
        <is>
          <t>Кредити ЗДУ (р.21)</t>
        </is>
      </c>
      <c r="J1155" s="144" t="n">
        <v/>
      </c>
      <c r="K1155" s="144" t="n">
        <v/>
      </c>
      <c r="L1155" s="144" t="n">
        <v/>
      </c>
      <c r="M1155" s="144" t="n">
        <v/>
      </c>
      <c r="N1155" s="144" t="n">
        <v/>
      </c>
      <c r="O1155" s="144" t="n">
        <v/>
      </c>
      <c r="P1155" s="144">
        <f>SUM(Q152:Q167)</f>
        <v/>
      </c>
      <c r="Q1155" s="144">
        <f>SUM(R152:R167)</f>
        <v/>
      </c>
      <c r="R1155" s="144">
        <f>SUM(S152:S167)</f>
        <v/>
      </c>
    </row>
    <row r="1156">
      <c r="I1156" s="143" t="inlineStr">
        <is>
          <t>Кредити фізичним особам (р. 22, 24, 262)</t>
        </is>
      </c>
      <c r="J1156" s="143" t="n">
        <v/>
      </c>
      <c r="K1156" s="143" t="n">
        <v/>
      </c>
      <c r="L1156" s="143" t="n">
        <v/>
      </c>
      <c r="M1156" s="143" t="n">
        <v/>
      </c>
      <c r="N1156" s="143" t="n">
        <v/>
      </c>
      <c r="O1156" s="143" t="n">
        <v/>
      </c>
      <c r="P1156" s="143">
        <f>SUM(Q170:Q195)+SUM(Q211:Q217)+SUM(Q224:Q227)</f>
        <v/>
      </c>
      <c r="Q1156" s="143">
        <f>SUM(R170:R195)+SUM(R211:R217)+SUM(R224:R227)</f>
        <v/>
      </c>
      <c r="R1156" s="143">
        <f>SUM(S170:S195)+SUM(S211:S217)+SUM(S224:S227)</f>
        <v/>
      </c>
    </row>
    <row r="1157">
      <c r="I1157" s="144" t="inlineStr">
        <is>
          <t>Кредити небанківським установам (265)</t>
        </is>
      </c>
      <c r="J1157" s="144" t="n">
        <v/>
      </c>
      <c r="K1157" s="144" t="n">
        <v/>
      </c>
      <c r="L1157" s="144" t="n">
        <v/>
      </c>
      <c r="M1157" s="144" t="n">
        <v/>
      </c>
      <c r="N1157" s="144" t="n">
        <v/>
      </c>
      <c r="O1157" s="144" t="n">
        <v/>
      </c>
      <c r="P1157" s="144">
        <f>SUM(Q229:Q231)</f>
        <v/>
      </c>
      <c r="Q1157" s="144">
        <f>SUM(R229:R231)</f>
        <v/>
      </c>
      <c r="R1157" s="144">
        <f>SUM(S229:S231)</f>
        <v/>
      </c>
    </row>
    <row r="1158">
      <c r="I1158" s="143" t="inlineStr">
        <is>
          <t>Прибуток звітного року (5040)</t>
        </is>
      </c>
      <c r="J1158" s="143" t="n">
        <v/>
      </c>
      <c r="K1158" s="143" t="n">
        <v/>
      </c>
      <c r="L1158" s="143" t="n">
        <v/>
      </c>
      <c r="M1158" s="143" t="n">
        <v/>
      </c>
      <c r="N1158" s="143" t="n">
        <v/>
      </c>
      <c r="O1158" s="143" t="n">
        <v/>
      </c>
      <c r="P1158" s="143">
        <f>Q623</f>
        <v/>
      </c>
      <c r="Q1158" s="143">
        <f>R623</f>
        <v/>
      </c>
      <c r="R1158" s="143">
        <f>S623</f>
        <v/>
      </c>
    </row>
    <row r="1159">
      <c r="I1159" s="144" t="inlineStr">
        <is>
          <t>Збиток звітного року (5041)</t>
        </is>
      </c>
      <c r="J1159" s="144" t="n">
        <v/>
      </c>
      <c r="K1159" s="144" t="n">
        <v/>
      </c>
      <c r="L1159" s="144" t="n">
        <v/>
      </c>
      <c r="M1159" s="144" t="n">
        <v/>
      </c>
      <c r="N1159" s="144" t="n">
        <v/>
      </c>
      <c r="O1159" s="144" t="n">
        <v/>
      </c>
      <c r="P1159" s="144">
        <f>Q624</f>
        <v/>
      </c>
      <c r="Q1159" s="144">
        <f>R624</f>
        <v/>
      </c>
      <c r="R1159" s="144">
        <f>S624</f>
        <v/>
      </c>
    </row>
    <row r="1160">
      <c r="I1160" s="143" t="inlineStr">
        <is>
          <t>Податок на прибуток (7900)</t>
        </is>
      </c>
      <c r="J1160" s="143" t="n">
        <v/>
      </c>
      <c r="K1160" s="143" t="n">
        <v/>
      </c>
      <c r="L1160" s="143" t="n">
        <v/>
      </c>
      <c r="M1160" s="143" t="n">
        <v/>
      </c>
      <c r="N1160" s="143" t="n">
        <v/>
      </c>
      <c r="O1160" s="143" t="n">
        <v/>
      </c>
      <c r="P1160" s="143">
        <f>Q945+Q946</f>
        <v/>
      </c>
      <c r="Q1160" s="143">
        <f>R945+R946</f>
        <v/>
      </c>
      <c r="R1160" s="143">
        <f>S945+S946</f>
        <v/>
      </c>
    </row>
    <row r="1161">
      <c r="I1161" s="144" t="inlineStr">
        <is>
          <t>Інші податки (741)</t>
        </is>
      </c>
      <c r="J1161" s="144" t="n">
        <v/>
      </c>
      <c r="K1161" s="144" t="n">
        <v/>
      </c>
      <c r="L1161" s="144" t="n">
        <v/>
      </c>
      <c r="M1161" s="144" t="n">
        <v/>
      </c>
      <c r="N1161" s="144" t="n">
        <v/>
      </c>
      <c r="O1161" s="144" t="n">
        <v/>
      </c>
      <c r="P1161" s="144">
        <f>SUM(Q889:Q892)</f>
        <v/>
      </c>
      <c r="Q1161" s="144">
        <f>SUM(R889:R892)</f>
        <v/>
      </c>
      <c r="R1161" s="144">
        <f>SUM(S889:S892)</f>
        <v/>
      </c>
    </row>
    <row r="1162">
      <c r="I1162" s="143" t="inlineStr">
        <is>
          <t>Відрахування в резерви (770)</t>
        </is>
      </c>
      <c r="J1162" s="143" t="n">
        <v/>
      </c>
      <c r="K1162" s="143" t="n">
        <v/>
      </c>
      <c r="L1162" s="143" t="n">
        <v/>
      </c>
      <c r="M1162" s="143" t="n">
        <v/>
      </c>
      <c r="N1162" s="143" t="n">
        <v/>
      </c>
      <c r="O1162" s="143" t="n">
        <v/>
      </c>
      <c r="P1162" s="143">
        <f>SUM(Q927:Q942)</f>
        <v/>
      </c>
      <c r="Q1162" s="143">
        <f>SUM(R927:R942)</f>
        <v/>
      </c>
      <c r="R1162" s="143">
        <f>SUM(S927:S942)</f>
        <v/>
      </c>
    </row>
    <row r="1163">
      <c r="I1163" s="144" t="inlineStr">
        <is>
          <t>Загальні доходи (6)</t>
        </is>
      </c>
      <c r="J1163" s="144" t="n">
        <v/>
      </c>
      <c r="K1163" s="144" t="n">
        <v/>
      </c>
      <c r="L1163" s="144" t="n">
        <v/>
      </c>
      <c r="M1163" s="144" t="n">
        <v/>
      </c>
      <c r="N1163" s="144" t="n">
        <v/>
      </c>
      <c r="O1163" s="144" t="n">
        <v/>
      </c>
      <c r="P1163" s="144">
        <f>SUM(Q645:Q646)+SUM(Q648:Q659)+SUM(Q661:Q676)+SUM(Q678:Q683)+SUM(Q685:Q688)+SUM(Q690:Q697)+SUM(Q699:Q704)+SUM(Q706:Q707)+SUM(Q710:Q711)+SUM(Q713:Q726)+SUM(Q728:Q729)+SUM(Q732:Q741)+SUM(Q743:Q749)+SUM(Q751:Q756)+SUM(Q759:Q761)+Q763+Q765+Q767+Q769+Q771+SUM(Q773:Q781)+SUM(Q784:Q785)+SUM(Q788:Q792)+SUM(Q794:Q800)+Q802+SUM(Q805:Q808)</f>
        <v/>
      </c>
      <c r="Q1163" s="144">
        <f>SUM(R645:R646)+SUM(R648:R659)+SUM(R661:R676)+SUM(R678:R683)+SUM(R685:R688)+SUM(R690:R697)+SUM(R699:R704)+SUM(R706:R707)+SUM(R710:R711)+SUM(R713:R726)+SUM(R728:R729)+SUM(R732:R741)+SUM(R743:R749)+SUM(R751:R756)+SUM(R759:R761)+R763+R765+R767+R769+R771+SUM(R773:R781)+SUM(R784:R785)+SUM(R788:R792)+SUM(R794:R800)+R802+SUM(R805:R808)</f>
        <v/>
      </c>
      <c r="R1163" s="144">
        <f>SUM(S645:S646)+SUM(S648:S659)+SUM(S661:S676)+SUM(S678:S683)+SUM(S685:S688)+SUM(S690:S697)+SUM(S699:S704)+SUM(S706:S707)+SUM(S710:S711)+SUM(S713:S726)+SUM(S728:S729)+SUM(S732:S741)+SUM(S743:S749)+SUM(S751:S756)+SUM(S759:S761)+S763+S765+S767+S769+S771+SUM(S773:S781)+SUM(S784:S785)+SUM(S788:S792)+SUM(S794:S800)+S802+SUM(S805:S808)</f>
        <v/>
      </c>
    </row>
    <row r="1164">
      <c r="I1164" s="143" t="inlineStr">
        <is>
          <t>Загальні витрати (7)</t>
        </is>
      </c>
      <c r="J1164" s="143" t="n">
        <v/>
      </c>
      <c r="K1164" s="143" t="n">
        <v/>
      </c>
      <c r="L1164" s="143" t="n">
        <v/>
      </c>
      <c r="M1164" s="143" t="n">
        <v/>
      </c>
      <c r="N1164" s="143" t="n">
        <v/>
      </c>
      <c r="O1164" s="143" t="n">
        <v/>
      </c>
      <c r="P1164" s="143">
        <f>Q815+SUM(Q817:Q823)+SUM(Q825:Q830)+SUM(Q834:Q839)+SUM(Q841:Q842)+SUM(Q844:Q846)+SUM(Q849:Q850)+SUM(Q852:Q855)+SUM(Q858:Q859)+Q861+Q863+Q865+Q867+Q869+SUM(Q871:Q879)+SUM(Q882:Q887)+SUM(Q889:Q892)+SUM(Q894:Q897)+SUM(Q899:Q902)+SUM(Q904:Q909)+SUM(Q911:Q914)+SUM(Q917:Q922)+Q924+SUM(Q927:Q942)+Q945</f>
        <v/>
      </c>
      <c r="Q1164" s="143">
        <f>R815+SUM(R817:R823)+SUM(R825:R830)+SUM(R834:R839)+SUM(R841:R842)+SUM(R844:R846)+SUM(R849:R850)+SUM(R852:R855)+SUM(R858:R859)+R861+R863+R865+R867+R869+SUM(R871:R879)+SUM(R882:R887)+SUM(R889:R892)+SUM(R894:R897)+SUM(R899:R902)+SUM(R904:R909)+SUM(R911:R914)+SUM(R917:R922)+R924+SUM(R927:R942)+R945</f>
        <v/>
      </c>
      <c r="R1164" s="143">
        <f>S815+SUM(S817:S823)+SUM(S825:S830)+SUM(S834:S839)+SUM(S841:S842)+SUM(S844:S846)+SUM(S849:S850)+SUM(S852:S855)+SUM(S858:S859)+S861+S863+S865+S867+S869+SUM(S871:S879)+SUM(S882:S887)+SUM(S889:S892)+SUM(S894:S897)+SUM(S899:S902)+SUM(S904:S909)+SUM(S911:S914)+SUM(S917:S922)+S924+SUM(S927:S942)+S945</f>
        <v/>
      </c>
    </row>
  </sheetData>
  <mergeCells count="2654">
    <mergeCell ref="D145:E150"/>
    <mergeCell ref="D139:E144"/>
    <mergeCell ref="F473:G473"/>
    <mergeCell ref="F16:G16"/>
    <mergeCell ref="M1090:N1090"/>
    <mergeCell ref="M1065:N1065"/>
    <mergeCell ref="F174:G174"/>
    <mergeCell ref="H692:H693"/>
    <mergeCell ref="F472:G472"/>
    <mergeCell ref="F772:H772"/>
    <mergeCell ref="F17:H17"/>
    <mergeCell ref="F466:G466"/>
    <mergeCell ref="C398:C401"/>
    <mergeCell ref="F351:H351"/>
    <mergeCell ref="M1092:N1092"/>
    <mergeCell ref="M60:N60"/>
    <mergeCell ref="M35:N35"/>
    <mergeCell ref="M673:N673"/>
    <mergeCell ref="M358:N358"/>
    <mergeCell ref="F264:H264"/>
    <mergeCell ref="H694:H695"/>
    <mergeCell ref="F1072:H1072"/>
    <mergeCell ref="F497:G497"/>
    <mergeCell ref="M787:N787"/>
    <mergeCell ref="M1085:N1085"/>
    <mergeCell ref="F983:G983"/>
    <mergeCell ref="M366:N366"/>
    <mergeCell ref="M360:N360"/>
    <mergeCell ref="C220:C233"/>
    <mergeCell ref="M664:N664"/>
    <mergeCell ref="M658:N658"/>
    <mergeCell ref="M1087:N1087"/>
    <mergeCell ref="M689:N689"/>
    <mergeCell ref="D1049:E1055"/>
    <mergeCell ref="F96:G96"/>
    <mergeCell ref="F1122:G1122"/>
    <mergeCell ref="D332:E332"/>
    <mergeCell ref="M361:N361"/>
    <mergeCell ref="M1118:N1118"/>
    <mergeCell ref="F823:G823"/>
    <mergeCell ref="F1001:H1001"/>
    <mergeCell ref="D586:E587"/>
    <mergeCell ref="M989:N989"/>
    <mergeCell ref="F98:G98"/>
    <mergeCell ref="D638:E638"/>
    <mergeCell ref="M50:N50"/>
    <mergeCell ref="M392:N392"/>
    <mergeCell ref="F1131:H1131"/>
    <mergeCell ref="M386:N386"/>
    <mergeCell ref="F194:G195"/>
    <mergeCell ref="M684:N684"/>
    <mergeCell ref="M1119:N1119"/>
    <mergeCell ref="M815:N815"/>
    <mergeCell ref="F406:H406"/>
    <mergeCell ref="F650:G651"/>
    <mergeCell ref="M1113:N1113"/>
    <mergeCell ref="F398:G398"/>
    <mergeCell ref="M394:N394"/>
    <mergeCell ref="M692:N692"/>
    <mergeCell ref="M686:N686"/>
    <mergeCell ref="M990:N990"/>
    <mergeCell ref="F1125:G1125"/>
    <mergeCell ref="M229:N229"/>
    <mergeCell ref="M387:N387"/>
    <mergeCell ref="F1004:H1004"/>
    <mergeCell ref="B607:H607"/>
    <mergeCell ref="M831:N831"/>
    <mergeCell ref="D815:E816"/>
    <mergeCell ref="D351:E351"/>
    <mergeCell ref="F109:G109"/>
    <mergeCell ref="M105:N105"/>
    <mergeCell ref="F538:G538"/>
    <mergeCell ref="M534:N534"/>
    <mergeCell ref="M528:N528"/>
    <mergeCell ref="M316:N316"/>
    <mergeCell ref="M826:N826"/>
    <mergeCell ref="F417:H417"/>
    <mergeCell ref="F111:G111"/>
    <mergeCell ref="F1055:H1055"/>
    <mergeCell ref="D1041:E1043"/>
    <mergeCell ref="M745:N745"/>
    <mergeCell ref="M101:N101"/>
    <mergeCell ref="M405:N405"/>
    <mergeCell ref="F845:G846"/>
    <mergeCell ref="M834:N834"/>
    <mergeCell ref="M828:N828"/>
    <mergeCell ref="M1132:N1132"/>
    <mergeCell ref="M616:N616"/>
    <mergeCell ref="M1045:N1045"/>
    <mergeCell ref="F869:G869"/>
    <mergeCell ref="D312:E315"/>
    <mergeCell ref="M916:N916"/>
    <mergeCell ref="F266:G266"/>
    <mergeCell ref="H146:H147"/>
    <mergeCell ref="F442:G442"/>
    <mergeCell ref="F564:G564"/>
    <mergeCell ref="F137:G137"/>
    <mergeCell ref="D889:E893"/>
    <mergeCell ref="D439:E444"/>
    <mergeCell ref="M1061:N1061"/>
    <mergeCell ref="F900:G900"/>
    <mergeCell ref="H663:H664"/>
    <mergeCell ref="F164:G164"/>
    <mergeCell ref="F139:G139"/>
    <mergeCell ref="C95:C103"/>
    <mergeCell ref="M458:N458"/>
    <mergeCell ref="M756:N756"/>
    <mergeCell ref="F43:H43"/>
    <mergeCell ref="M31:N31"/>
    <mergeCell ref="F470:G470"/>
    <mergeCell ref="C353:C355"/>
    <mergeCell ref="F770:H770"/>
    <mergeCell ref="M758:N758"/>
    <mergeCell ref="F920:G920"/>
    <mergeCell ref="M1056:N1056"/>
    <mergeCell ref="D713:E727"/>
    <mergeCell ref="M331:N331"/>
    <mergeCell ref="F1070:H1070"/>
    <mergeCell ref="F495:G495"/>
    <mergeCell ref="M1058:N1058"/>
    <mergeCell ref="M26:N26"/>
    <mergeCell ref="F344:H344"/>
    <mergeCell ref="D454:E458"/>
    <mergeCell ref="F795:G795"/>
    <mergeCell ref="H78:H79"/>
    <mergeCell ref="H200:H201"/>
    <mergeCell ref="F496:G496"/>
    <mergeCell ref="H716:H717"/>
    <mergeCell ref="D94:E94"/>
    <mergeCell ref="D101:E102"/>
    <mergeCell ref="B814:H814"/>
    <mergeCell ref="M171:N171"/>
    <mergeCell ref="F69:G69"/>
    <mergeCell ref="F367:G367"/>
    <mergeCell ref="D603:E603"/>
    <mergeCell ref="M898:N898"/>
    <mergeCell ref="F796:G796"/>
    <mergeCell ref="M173:N173"/>
    <mergeCell ref="M811:N811"/>
    <mergeCell ref="M471:N471"/>
    <mergeCell ref="M1109:N1109"/>
    <mergeCell ref="F193:G193"/>
    <mergeCell ref="M769:N769"/>
    <mergeCell ref="M927:N927"/>
    <mergeCell ref="M688:N688"/>
    <mergeCell ref="M473:N473"/>
    <mergeCell ref="M174:N174"/>
    <mergeCell ref="H404:H405"/>
    <mergeCell ref="D182:E187"/>
    <mergeCell ref="M497:N497"/>
    <mergeCell ref="F359:H359"/>
    <mergeCell ref="F517:H517"/>
    <mergeCell ref="F211:G211"/>
    <mergeCell ref="F966:G966"/>
    <mergeCell ref="C1116:C1129"/>
    <mergeCell ref="F509:G509"/>
    <mergeCell ref="F809:H809"/>
    <mergeCell ref="H126:H127"/>
    <mergeCell ref="M103:N103"/>
    <mergeCell ref="M401:N401"/>
    <mergeCell ref="M395:N395"/>
    <mergeCell ref="F1115:H1115"/>
    <mergeCell ref="M830:N830"/>
    <mergeCell ref="M1128:N1128"/>
    <mergeCell ref="M824:N824"/>
    <mergeCell ref="M1122:N1122"/>
    <mergeCell ref="M96:N96"/>
    <mergeCell ref="M403:N403"/>
    <mergeCell ref="M701:N701"/>
    <mergeCell ref="C376:C381"/>
    <mergeCell ref="F110:H110"/>
    <mergeCell ref="F865:G865"/>
    <mergeCell ref="M98:N98"/>
    <mergeCell ref="D308:E311"/>
    <mergeCell ref="M527:N527"/>
    <mergeCell ref="C266:C284"/>
    <mergeCell ref="F894:G894"/>
    <mergeCell ref="C784:C787"/>
    <mergeCell ref="D1130:E1130"/>
    <mergeCell ref="D375:E375"/>
    <mergeCell ref="F133:G133"/>
    <mergeCell ref="M398:N398"/>
    <mergeCell ref="F692:G693"/>
    <mergeCell ref="D419:E421"/>
    <mergeCell ref="D608:E611"/>
    <mergeCell ref="F562:G562"/>
    <mergeCell ref="M840:N840"/>
    <mergeCell ref="D769:E770"/>
    <mergeCell ref="F896:G896"/>
    <mergeCell ref="F685:G686"/>
    <mergeCell ref="M423:N423"/>
    <mergeCell ref="F224:G224"/>
    <mergeCell ref="D1131:E1131"/>
    <mergeCell ref="M543:N543"/>
    <mergeCell ref="M124:N124"/>
    <mergeCell ref="F687:G688"/>
    <mergeCell ref="F435:G435"/>
    <mergeCell ref="M431:N431"/>
    <mergeCell ref="D83:E90"/>
    <mergeCell ref="M116:N116"/>
    <mergeCell ref="M238:N238"/>
    <mergeCell ref="M414:N414"/>
    <mergeCell ref="F891:G891"/>
    <mergeCell ref="M545:N545"/>
    <mergeCell ref="B642:H642"/>
    <mergeCell ref="M843:N843"/>
    <mergeCell ref="M126:N126"/>
    <mergeCell ref="M424:N424"/>
    <mergeCell ref="D522:E523"/>
    <mergeCell ref="B4:H5"/>
    <mergeCell ref="M416:N416"/>
    <mergeCell ref="D253:E259"/>
    <mergeCell ref="B644:H644"/>
    <mergeCell ref="F745:G746"/>
    <mergeCell ref="F283:H283"/>
    <mergeCell ref="F1036:G1036"/>
    <mergeCell ref="B643:H643"/>
    <mergeCell ref="F275:G275"/>
    <mergeCell ref="F609:G609"/>
    <mergeCell ref="F1038:G1038"/>
    <mergeCell ref="M142:N142"/>
    <mergeCell ref="F881:H881"/>
    <mergeCell ref="F575:G575"/>
    <mergeCell ref="M571:N571"/>
    <mergeCell ref="F740:G741"/>
    <mergeCell ref="M869:N869"/>
    <mergeCell ref="F909:G909"/>
    <mergeCell ref="F276:G276"/>
    <mergeCell ref="A4:A6"/>
    <mergeCell ref="M899:N899"/>
    <mergeCell ref="M144:N144"/>
    <mergeCell ref="F306:G306"/>
    <mergeCell ref="M442:N442"/>
    <mergeCell ref="F577:G577"/>
    <mergeCell ref="F910:H910"/>
    <mergeCell ref="M871:N871"/>
    <mergeCell ref="F1033:G1033"/>
    <mergeCell ref="M137:N137"/>
    <mergeCell ref="F151:H151"/>
    <mergeCell ref="M925:N925"/>
    <mergeCell ref="M164:N164"/>
    <mergeCell ref="M139:N139"/>
    <mergeCell ref="D176:E181"/>
    <mergeCell ref="F303:G303"/>
    <mergeCell ref="F601:G601"/>
    <mergeCell ref="M41:N41"/>
    <mergeCell ref="F1095:H1095"/>
    <mergeCell ref="D239:E240"/>
    <mergeCell ref="M493:N493"/>
    <mergeCell ref="F288:G288"/>
    <mergeCell ref="M284:N284"/>
    <mergeCell ref="F962:G962"/>
    <mergeCell ref="M66:N66"/>
    <mergeCell ref="M197:N197"/>
    <mergeCell ref="D478:E483"/>
    <mergeCell ref="M495:N495"/>
    <mergeCell ref="F596:H596"/>
    <mergeCell ref="M793:N793"/>
    <mergeCell ref="F384:H384"/>
    <mergeCell ref="M951:N951"/>
    <mergeCell ref="M584:N584"/>
    <mergeCell ref="M68:N68"/>
    <mergeCell ref="F507:G507"/>
    <mergeCell ref="F753:G754"/>
    <mergeCell ref="M188:N188"/>
    <mergeCell ref="D72:E75"/>
    <mergeCell ref="M795:N795"/>
    <mergeCell ref="I4:I6"/>
    <mergeCell ref="M67:N67"/>
    <mergeCell ref="F386:H386"/>
    <mergeCell ref="F630:G631"/>
    <mergeCell ref="F684:H684"/>
    <mergeCell ref="M496:N496"/>
    <mergeCell ref="C759:C783"/>
    <mergeCell ref="M69:N69"/>
    <mergeCell ref="F381:H381"/>
    <mergeCell ref="F973:G973"/>
    <mergeCell ref="M969:N969"/>
    <mergeCell ref="M208:N208"/>
    <mergeCell ref="F656:G657"/>
    <mergeCell ref="F981:G981"/>
    <mergeCell ref="F975:G975"/>
    <mergeCell ref="F220:G220"/>
    <mergeCell ref="F518:G518"/>
    <mergeCell ref="M210:N210"/>
    <mergeCell ref="M514:N514"/>
    <mergeCell ref="D844:E847"/>
    <mergeCell ref="F991:G991"/>
    <mergeCell ref="F658:G659"/>
    <mergeCell ref="F397:H397"/>
    <mergeCell ref="M666:N666"/>
    <mergeCell ref="F1105:G1105"/>
    <mergeCell ref="M964:N964"/>
    <mergeCell ref="M209:N209"/>
    <mergeCell ref="F222:G222"/>
    <mergeCell ref="F520:G520"/>
    <mergeCell ref="M122:N122"/>
    <mergeCell ref="F223:H223"/>
    <mergeCell ref="F976:G976"/>
    <mergeCell ref="F521:H521"/>
    <mergeCell ref="M966:N966"/>
    <mergeCell ref="M211:N211"/>
    <mergeCell ref="M509:N509"/>
    <mergeCell ref="D1046:E1048"/>
    <mergeCell ref="F94:H94"/>
    <mergeCell ref="F523:H523"/>
    <mergeCell ref="F1007:G1007"/>
    <mergeCell ref="M536:N536"/>
    <mergeCell ref="M236:N236"/>
    <mergeCell ref="C980:C987"/>
    <mergeCell ref="D219:E219"/>
    <mergeCell ref="F248:G248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539:H539"/>
    <mergeCell ref="F600:G600"/>
    <mergeCell ref="M867:N867"/>
    <mergeCell ref="M894:N894"/>
    <mergeCell ref="F1029:G1029"/>
    <mergeCell ref="M133:N133"/>
    <mergeCell ref="F696:G697"/>
    <mergeCell ref="F243:G243"/>
    <mergeCell ref="M440:N440"/>
    <mergeCell ref="M562:N562"/>
    <mergeCell ref="M738:N738"/>
    <mergeCell ref="M598:N598"/>
    <mergeCell ref="M896:N896"/>
    <mergeCell ref="M135:N135"/>
    <mergeCell ref="F1060:G1060"/>
    <mergeCell ref="C306:C332"/>
    <mergeCell ref="B426:B525"/>
    <mergeCell ref="M435:N435"/>
    <mergeCell ref="H485:H486"/>
    <mergeCell ref="M280:N280"/>
    <mergeCell ref="F126:G127"/>
    <mergeCell ref="D333:E335"/>
    <mergeCell ref="F592:H592"/>
    <mergeCell ref="M1037:N1037"/>
    <mergeCell ref="M580:N580"/>
    <mergeCell ref="B1:S1"/>
    <mergeCell ref="F926:H926"/>
    <mergeCell ref="H937:H938"/>
    <mergeCell ref="F1048:H1048"/>
    <mergeCell ref="M1036:N1036"/>
    <mergeCell ref="M153:N153"/>
    <mergeCell ref="M275:N275"/>
    <mergeCell ref="F173:G173"/>
    <mergeCell ref="M311:N311"/>
    <mergeCell ref="M582:N582"/>
    <mergeCell ref="M740:N740"/>
    <mergeCell ref="F287:G287"/>
    <mergeCell ref="F773:G773"/>
    <mergeCell ref="M1038:N1038"/>
    <mergeCell ref="M277:N277"/>
    <mergeCell ref="C242:C245"/>
    <mergeCell ref="M611:N611"/>
    <mergeCell ref="M909:N909"/>
    <mergeCell ref="M792:N792"/>
    <mergeCell ref="F318:G318"/>
    <mergeCell ref="F312:G312"/>
    <mergeCell ref="D849:E851"/>
    <mergeCell ref="M577:N577"/>
    <mergeCell ref="F610:G610"/>
    <mergeCell ref="D379:E380"/>
    <mergeCell ref="D1017:E1018"/>
    <mergeCell ref="F13:G13"/>
    <mergeCell ref="M179:N179"/>
    <mergeCell ref="F347:G347"/>
    <mergeCell ref="D590:E591"/>
    <mergeCell ref="F341:G341"/>
    <mergeCell ref="F618:G618"/>
    <mergeCell ref="F647:H647"/>
    <mergeCell ref="D881:E881"/>
    <mergeCell ref="M608:N608"/>
    <mergeCell ref="H533:H534"/>
    <mergeCell ref="F1068:G1068"/>
    <mergeCell ref="F313:G313"/>
    <mergeCell ref="F349:G349"/>
    <mergeCell ref="F654:G655"/>
    <mergeCell ref="F947:H947"/>
    <mergeCell ref="F648:G649"/>
    <mergeCell ref="M662:N662"/>
    <mergeCell ref="M960:N960"/>
    <mergeCell ref="F219:H219"/>
    <mergeCell ref="F949:H949"/>
    <mergeCell ref="M962:N962"/>
    <mergeCell ref="M207:N207"/>
    <mergeCell ref="M505:N505"/>
    <mergeCell ref="F38:G39"/>
    <mergeCell ref="D425:E425"/>
    <mergeCell ref="F519:H519"/>
    <mergeCell ref="D92:E93"/>
    <mergeCell ref="F788:G788"/>
    <mergeCell ref="F33:G33"/>
    <mergeCell ref="F67:G68"/>
    <mergeCell ref="F489:G489"/>
    <mergeCell ref="F999:G999"/>
    <mergeCell ref="F781:G781"/>
    <mergeCell ref="F362:H362"/>
    <mergeCell ref="F245:H245"/>
    <mergeCell ref="F998:G998"/>
    <mergeCell ref="D596:E596"/>
    <mergeCell ref="F660:H660"/>
    <mergeCell ref="M690:N690"/>
    <mergeCell ref="M988:N988"/>
    <mergeCell ref="F789:G789"/>
    <mergeCell ref="M944:N944"/>
    <mergeCell ref="F273:G273"/>
    <mergeCell ref="F28:G28"/>
    <mergeCell ref="M980:N980"/>
    <mergeCell ref="F116:H116"/>
    <mergeCell ref="M1102:N1102"/>
    <mergeCell ref="F667:G668"/>
    <mergeCell ref="F239:G239"/>
    <mergeCell ref="D21:E22"/>
    <mergeCell ref="F527:G528"/>
    <mergeCell ref="M681:N681"/>
    <mergeCell ref="M996:N996"/>
    <mergeCell ref="M973:N973"/>
    <mergeCell ref="D805:E809"/>
    <mergeCell ref="M264:N264"/>
    <mergeCell ref="M220:N220"/>
    <mergeCell ref="C788:C804"/>
    <mergeCell ref="M1006:N1006"/>
    <mergeCell ref="D581:E584"/>
    <mergeCell ref="F413:G413"/>
    <mergeCell ref="D329:E331"/>
    <mergeCell ref="D960:E961"/>
    <mergeCell ref="H939:H940"/>
    <mergeCell ref="F415:G415"/>
    <mergeCell ref="M551:N551"/>
    <mergeCell ref="F713:G713"/>
    <mergeCell ref="M709:N709"/>
    <mergeCell ref="M703:N703"/>
    <mergeCell ref="M1007:N1007"/>
    <mergeCell ref="F294:H294"/>
    <mergeCell ref="M246:N246"/>
    <mergeCell ref="M1001:N1001"/>
    <mergeCell ref="F1013:G1013"/>
    <mergeCell ref="M273:N273"/>
    <mergeCell ref="M248:N248"/>
    <mergeCell ref="F439:G439"/>
    <mergeCell ref="M302:N302"/>
    <mergeCell ref="D526:E531"/>
    <mergeCell ref="M573:N573"/>
    <mergeCell ref="F441:G441"/>
    <mergeCell ref="F320:H320"/>
    <mergeCell ref="F14:G14"/>
    <mergeCell ref="M631:N631"/>
    <mergeCell ref="F1039:G1039"/>
    <mergeCell ref="M1060:N1060"/>
    <mergeCell ref="M299:N299"/>
    <mergeCell ref="F314:G314"/>
    <mergeCell ref="F943:H943"/>
    <mergeCell ref="H654:H655"/>
    <mergeCell ref="M633:N633"/>
    <mergeCell ref="F1074:H1074"/>
    <mergeCell ref="M931:N931"/>
    <mergeCell ref="F1066:G1066"/>
    <mergeCell ref="M170:N170"/>
    <mergeCell ref="M1062:N1062"/>
    <mergeCell ref="M328:N328"/>
    <mergeCell ref="F488:H488"/>
    <mergeCell ref="M933:N933"/>
    <mergeCell ref="M172:N172"/>
    <mergeCell ref="B389:H389"/>
    <mergeCell ref="D31:E35"/>
    <mergeCell ref="D1026:E1026"/>
    <mergeCell ref="D858:E860"/>
    <mergeCell ref="M46:N46"/>
    <mergeCell ref="M317:N317"/>
    <mergeCell ref="H680:H681"/>
    <mergeCell ref="M773:N773"/>
    <mergeCell ref="C858:C881"/>
    <mergeCell ref="F58:G58"/>
    <mergeCell ref="F40:G41"/>
    <mergeCell ref="F52:G52"/>
    <mergeCell ref="D592:E592"/>
    <mergeCell ref="M346:N346"/>
    <mergeCell ref="F481:G481"/>
    <mergeCell ref="F785:G785"/>
    <mergeCell ref="F787:H787"/>
    <mergeCell ref="F779:G779"/>
    <mergeCell ref="F1085:H1085"/>
    <mergeCell ref="M775:N775"/>
    <mergeCell ref="M1073:N1073"/>
    <mergeCell ref="M14:N14"/>
    <mergeCell ref="F60:G60"/>
    <mergeCell ref="D98:E100"/>
    <mergeCell ref="M312:N312"/>
    <mergeCell ref="M318:N318"/>
    <mergeCell ref="H675:H676"/>
    <mergeCell ref="M348:N348"/>
    <mergeCell ref="F1093:H1093"/>
    <mergeCell ref="M646:N646"/>
    <mergeCell ref="C105:C151"/>
    <mergeCell ref="M1100:N1100"/>
    <mergeCell ref="M1075:N1075"/>
    <mergeCell ref="D170:E175"/>
    <mergeCell ref="M43:N43"/>
    <mergeCell ref="M314:N314"/>
    <mergeCell ref="M347:N347"/>
    <mergeCell ref="F482:G482"/>
    <mergeCell ref="F1086:H1086"/>
    <mergeCell ref="M648:N648"/>
    <mergeCell ref="D998:E1000"/>
    <mergeCell ref="F84:G84"/>
    <mergeCell ref="F1110:G1110"/>
    <mergeCell ref="H393:H394"/>
    <mergeCell ref="F935:G936"/>
    <mergeCell ref="B1076:H1076"/>
    <mergeCell ref="D537:E539"/>
    <mergeCell ref="F80:G80"/>
    <mergeCell ref="M374:N374"/>
    <mergeCell ref="F937:G938"/>
    <mergeCell ref="D220:E223"/>
    <mergeCell ref="F807:G807"/>
    <mergeCell ref="F1111:G1111"/>
    <mergeCell ref="H570:H571"/>
    <mergeCell ref="M488:N488"/>
    <mergeCell ref="H728:H729"/>
    <mergeCell ref="M25:N25"/>
    <mergeCell ref="F990:H990"/>
    <mergeCell ref="M997:N997"/>
    <mergeCell ref="M242:N242"/>
    <mergeCell ref="F81:G81"/>
    <mergeCell ref="F343:H343"/>
    <mergeCell ref="M788:N788"/>
    <mergeCell ref="M33:N33"/>
    <mergeCell ref="F677:H677"/>
    <mergeCell ref="M1005:N1005"/>
    <mergeCell ref="D402:E406"/>
    <mergeCell ref="M244:N244"/>
    <mergeCell ref="M999:N999"/>
    <mergeCell ref="M542:N542"/>
    <mergeCell ref="M62:N62"/>
    <mergeCell ref="M700:N700"/>
    <mergeCell ref="F226:G226"/>
    <mergeCell ref="D767:E768"/>
    <mergeCell ref="M544:N544"/>
    <mergeCell ref="F437:G437"/>
    <mergeCell ref="F526:G526"/>
    <mergeCell ref="F533:G534"/>
    <mergeCell ref="D305:E305"/>
    <mergeCell ref="F99:G99"/>
    <mergeCell ref="F106:G107"/>
    <mergeCell ref="F404:G405"/>
    <mergeCell ref="M418:N418"/>
    <mergeCell ref="D1093:E1093"/>
    <mergeCell ref="F310:G310"/>
    <mergeCell ref="F1124:G1124"/>
    <mergeCell ref="H747:H748"/>
    <mergeCell ref="F730:H730"/>
    <mergeCell ref="F705:H705"/>
    <mergeCell ref="F311:H311"/>
    <mergeCell ref="M718:N718"/>
    <mergeCell ref="M712:N712"/>
    <mergeCell ref="F425:H425"/>
    <mergeCell ref="M255:N255"/>
    <mergeCell ref="M413:N413"/>
    <mergeCell ref="F611:H611"/>
    <mergeCell ref="M720:N720"/>
    <mergeCell ref="M842:N842"/>
    <mergeCell ref="M1018:N1018"/>
    <mergeCell ref="M415:N415"/>
    <mergeCell ref="M713:N713"/>
    <mergeCell ref="H774:H775"/>
    <mergeCell ref="D927:E943"/>
    <mergeCell ref="F877:G877"/>
    <mergeCell ref="D1005:E1011"/>
    <mergeCell ref="F29:H29"/>
    <mergeCell ref="F1053:G1053"/>
    <mergeCell ref="F152:G152"/>
    <mergeCell ref="F450:G450"/>
    <mergeCell ref="M715:N715"/>
    <mergeCell ref="F906:G906"/>
    <mergeCell ref="D265:E265"/>
    <mergeCell ref="M560:N560"/>
    <mergeCell ref="F758:H758"/>
    <mergeCell ref="F452:G452"/>
    <mergeCell ref="F1056:H1056"/>
    <mergeCell ref="F301:H301"/>
    <mergeCell ref="M771:N771"/>
    <mergeCell ref="F295:H295"/>
    <mergeCell ref="M746:N746"/>
    <mergeCell ref="M1069:N1069"/>
    <mergeCell ref="F908:G908"/>
    <mergeCell ref="M1044:N1044"/>
    <mergeCell ref="H671:H672"/>
    <mergeCell ref="F331:H331"/>
    <mergeCell ref="F451:G451"/>
    <mergeCell ref="F453:H453"/>
    <mergeCell ref="B2:S2"/>
    <mergeCell ref="F1058:H1058"/>
    <mergeCell ref="M1071:N1071"/>
    <mergeCell ref="M1046:N1046"/>
    <mergeCell ref="M39:N39"/>
    <mergeCell ref="M614:N614"/>
    <mergeCell ref="H673:H674"/>
    <mergeCell ref="M731:N731"/>
    <mergeCell ref="D597:E602"/>
    <mergeCell ref="M766:N766"/>
    <mergeCell ref="F1112:H1112"/>
    <mergeCell ref="M339:N339"/>
    <mergeCell ref="D366:E368"/>
    <mergeCell ref="B11:B104"/>
    <mergeCell ref="F931:G932"/>
    <mergeCell ref="D904:E910"/>
    <mergeCell ref="F890:G890"/>
    <mergeCell ref="F933:G934"/>
    <mergeCell ref="F471:H471"/>
    <mergeCell ref="F165:G165"/>
    <mergeCell ref="M484:N484"/>
    <mergeCell ref="M459:N459"/>
    <mergeCell ref="H86:H87"/>
    <mergeCell ref="F628:G629"/>
    <mergeCell ref="F892:G892"/>
    <mergeCell ref="F919:G919"/>
    <mergeCell ref="F171:G172"/>
    <mergeCell ref="F1109:G1109"/>
    <mergeCell ref="D1074:E1074"/>
    <mergeCell ref="F832:G832"/>
    <mergeCell ref="F77:G77"/>
    <mergeCell ref="M486:N486"/>
    <mergeCell ref="M784:N784"/>
    <mergeCell ref="M29:N29"/>
    <mergeCell ref="M1082:N1082"/>
    <mergeCell ref="M23:N23"/>
    <mergeCell ref="M365:N365"/>
    <mergeCell ref="F804:H804"/>
    <mergeCell ref="M479:N479"/>
    <mergeCell ref="D1015:E1016"/>
    <mergeCell ref="F1102:H1102"/>
    <mergeCell ref="F377:G377"/>
    <mergeCell ref="F368:H368"/>
    <mergeCell ref="M786:N786"/>
    <mergeCell ref="M373:N373"/>
    <mergeCell ref="M58:N58"/>
    <mergeCell ref="M1084:N1084"/>
    <mergeCell ref="M785:N785"/>
    <mergeCell ref="D731:E731"/>
    <mergeCell ref="C345:C351"/>
    <mergeCell ref="H112:H113"/>
    <mergeCell ref="D554:E555"/>
    <mergeCell ref="F70:H70"/>
    <mergeCell ref="F522:G522"/>
    <mergeCell ref="D123:E131"/>
    <mergeCell ref="D758:E758"/>
    <mergeCell ref="D1056:E1056"/>
    <mergeCell ref="M512:N512"/>
    <mergeCell ref="M810:N810"/>
    <mergeCell ref="F401:H401"/>
    <mergeCell ref="F95:G95"/>
    <mergeCell ref="C1101:C1107"/>
    <mergeCell ref="M383:N383"/>
    <mergeCell ref="F191:G192"/>
    <mergeCell ref="F822:G822"/>
    <mergeCell ref="D1058:E1058"/>
    <mergeCell ref="F1128:H1128"/>
    <mergeCell ref="M812:N812"/>
    <mergeCell ref="M84:N84"/>
    <mergeCell ref="M1110:N1110"/>
    <mergeCell ref="F395:G395"/>
    <mergeCell ref="M385:N385"/>
    <mergeCell ref="M507:N507"/>
    <mergeCell ref="F1130:H1130"/>
    <mergeCell ref="F396:H396"/>
    <mergeCell ref="H745:H746"/>
    <mergeCell ref="M86:N86"/>
    <mergeCell ref="M42:N42"/>
    <mergeCell ref="M80:N80"/>
    <mergeCell ref="M384:N384"/>
    <mergeCell ref="M411:N411"/>
    <mergeCell ref="F878:G878"/>
    <mergeCell ref="F123:G123"/>
    <mergeCell ref="M711:N711"/>
    <mergeCell ref="F237:G237"/>
    <mergeCell ref="F579:G579"/>
    <mergeCell ref="F535:G535"/>
    <mergeCell ref="M525:N525"/>
    <mergeCell ref="D616:E619"/>
    <mergeCell ref="F238:H238"/>
    <mergeCell ref="F108:G108"/>
    <mergeCell ref="D1038:E1040"/>
    <mergeCell ref="F843:H843"/>
    <mergeCell ref="F537:G537"/>
    <mergeCell ref="D430:E433"/>
    <mergeCell ref="F143:G143"/>
    <mergeCell ref="M856:N856"/>
    <mergeCell ref="F240:H240"/>
    <mergeCell ref="M70:N70"/>
    <mergeCell ref="M437:N437"/>
    <mergeCell ref="M735:N735"/>
    <mergeCell ref="F22:H22"/>
    <mergeCell ref="M1042:N1042"/>
    <mergeCell ref="M858:N858"/>
    <mergeCell ref="M99:N99"/>
    <mergeCell ref="M615:N615"/>
    <mergeCell ref="M737:N737"/>
    <mergeCell ref="M397:N397"/>
    <mergeCell ref="D505:E505"/>
    <mergeCell ref="F263:G263"/>
    <mergeCell ref="D499:E499"/>
    <mergeCell ref="M310:N310"/>
    <mergeCell ref="D541:E542"/>
    <mergeCell ref="F563:G563"/>
    <mergeCell ref="H941:H942"/>
    <mergeCell ref="D71:E71"/>
    <mergeCell ref="F728:G729"/>
    <mergeCell ref="D852:E856"/>
    <mergeCell ref="D970:E971"/>
    <mergeCell ref="M455:N455"/>
    <mergeCell ref="F565:G565"/>
    <mergeCell ref="F617:G617"/>
    <mergeCell ref="D962:E964"/>
    <mergeCell ref="M150:N150"/>
    <mergeCell ref="F925:H925"/>
    <mergeCell ref="M755:N755"/>
    <mergeCell ref="M877:N877"/>
    <mergeCell ref="F917:G917"/>
    <mergeCell ref="F162:G162"/>
    <mergeCell ref="M1053:N1053"/>
    <mergeCell ref="F462:H462"/>
    <mergeCell ref="M913:N913"/>
    <mergeCell ref="M152:N152"/>
    <mergeCell ref="M450:N450"/>
    <mergeCell ref="F35:H35"/>
    <mergeCell ref="M757:N757"/>
    <mergeCell ref="F768:H768"/>
    <mergeCell ref="M452:N452"/>
    <mergeCell ref="F189:G189"/>
    <mergeCell ref="F487:G487"/>
    <mergeCell ref="D484:E488"/>
    <mergeCell ref="H408:H409"/>
    <mergeCell ref="F66:G66"/>
    <mergeCell ref="F188:G188"/>
    <mergeCell ref="M597:N597"/>
    <mergeCell ref="C31:C36"/>
    <mergeCell ref="C815:C848"/>
    <mergeCell ref="M292:N292"/>
    <mergeCell ref="M808:N808"/>
    <mergeCell ref="M468:N468"/>
    <mergeCell ref="M1106:N1106"/>
    <mergeCell ref="F190:G190"/>
    <mergeCell ref="F490:H490"/>
    <mergeCell ref="M626:N626"/>
    <mergeCell ref="M897:N897"/>
    <mergeCell ref="M163:N163"/>
    <mergeCell ref="D706:E708"/>
    <mergeCell ref="F61:G61"/>
    <mergeCell ref="M592:N592"/>
    <mergeCell ref="F645:G646"/>
    <mergeCell ref="M1108:N1108"/>
    <mergeCell ref="M76:N76"/>
    <mergeCell ref="M380:N380"/>
    <mergeCell ref="C645:C709"/>
    <mergeCell ref="B526:B604"/>
    <mergeCell ref="M165:N165"/>
    <mergeCell ref="M1107:N1107"/>
    <mergeCell ref="D743:E750"/>
    <mergeCell ref="M382:N382"/>
    <mergeCell ref="M892:N892"/>
    <mergeCell ref="M680:N680"/>
    <mergeCell ref="F963:G963"/>
    <mergeCell ref="F208:G208"/>
    <mergeCell ref="F215:G216"/>
    <mergeCell ref="D811:E811"/>
    <mergeCell ref="H129:H130"/>
    <mergeCell ref="F360:G360"/>
    <mergeCell ref="M521:N521"/>
    <mergeCell ref="F671:G672"/>
    <mergeCell ref="M819:N819"/>
    <mergeCell ref="F956:G956"/>
    <mergeCell ref="F875:G875"/>
    <mergeCell ref="F114:G114"/>
    <mergeCell ref="M523:N523"/>
    <mergeCell ref="F673:G674"/>
    <mergeCell ref="M827:N827"/>
    <mergeCell ref="M821:N821"/>
    <mergeCell ref="F203:G203"/>
    <mergeCell ref="M979:N979"/>
    <mergeCell ref="M522:N522"/>
    <mergeCell ref="F868:H868"/>
    <mergeCell ref="F82:H82"/>
    <mergeCell ref="D284:E284"/>
    <mergeCell ref="M95:N95"/>
    <mergeCell ref="F536:H536"/>
    <mergeCell ref="M89:N89"/>
    <mergeCell ref="M393:N393"/>
    <mergeCell ref="D491:E498"/>
    <mergeCell ref="M524:N524"/>
    <mergeCell ref="F870:H870"/>
    <mergeCell ref="M822:N822"/>
    <mergeCell ref="F1103:G1103"/>
    <mergeCell ref="M97:N97"/>
    <mergeCell ref="F261:G261"/>
    <mergeCell ref="F559:G559"/>
    <mergeCell ref="D524:E524"/>
    <mergeCell ref="B606:H606"/>
    <mergeCell ref="H912:H913"/>
    <mergeCell ref="F86:G87"/>
    <mergeCell ref="M549:N549"/>
    <mergeCell ref="F1015:G1015"/>
    <mergeCell ref="D1129:E1129"/>
    <mergeCell ref="F438:H438"/>
    <mergeCell ref="F560:H560"/>
    <mergeCell ref="H134:H135"/>
    <mergeCell ref="F561:G561"/>
    <mergeCell ref="F588:G588"/>
    <mergeCell ref="F859:G859"/>
    <mergeCell ref="F1017:G1017"/>
    <mergeCell ref="F860:H860"/>
    <mergeCell ref="M550:N550"/>
    <mergeCell ref="M113:N113"/>
    <mergeCell ref="F590:G590"/>
    <mergeCell ref="F433:H433"/>
    <mergeCell ref="M884:N884"/>
    <mergeCell ref="M123:N123"/>
    <mergeCell ref="F285:G285"/>
    <mergeCell ref="M421:N421"/>
    <mergeCell ref="F862:H862"/>
    <mergeCell ref="M535:N535"/>
    <mergeCell ref="M108:N108"/>
    <mergeCell ref="D210:E210"/>
    <mergeCell ref="C356:C359"/>
    <mergeCell ref="D245:E245"/>
    <mergeCell ref="F274:G274"/>
    <mergeCell ref="F432:G432"/>
    <mergeCell ref="D972:E972"/>
    <mergeCell ref="H493:H494"/>
    <mergeCell ref="F186:G186"/>
    <mergeCell ref="F1030:G1030"/>
    <mergeCell ref="M159:N159"/>
    <mergeCell ref="M134:N134"/>
    <mergeCell ref="M588:N588"/>
    <mergeCell ref="M624:N624"/>
    <mergeCell ref="F786:H786"/>
    <mergeCell ref="M922:N922"/>
    <mergeCell ref="M167:N167"/>
    <mergeCell ref="M161:N161"/>
    <mergeCell ref="F300:G300"/>
    <mergeCell ref="M932:N932"/>
    <mergeCell ref="D1059:E1064"/>
    <mergeCell ref="M617:N617"/>
    <mergeCell ref="M888:N888"/>
    <mergeCell ref="M924:N924"/>
    <mergeCell ref="M461:N461"/>
    <mergeCell ref="F329:G329"/>
    <mergeCell ref="M919:N919"/>
    <mergeCell ref="F504:H504"/>
    <mergeCell ref="F356:G356"/>
    <mergeCell ref="M492:N492"/>
    <mergeCell ref="M650:N650"/>
    <mergeCell ref="D690:E698"/>
    <mergeCell ref="M948:N948"/>
    <mergeCell ref="F1083:G1083"/>
    <mergeCell ref="M187:N187"/>
    <mergeCell ref="F810:H810"/>
    <mergeCell ref="M485:N485"/>
    <mergeCell ref="H935:H936"/>
    <mergeCell ref="F960:G960"/>
    <mergeCell ref="F505:H505"/>
    <mergeCell ref="F199:G199"/>
    <mergeCell ref="F499:H499"/>
    <mergeCell ref="M195:N195"/>
    <mergeCell ref="M950:N950"/>
    <mergeCell ref="M189:N189"/>
    <mergeCell ref="M487:N487"/>
    <mergeCell ref="D345:E350"/>
    <mergeCell ref="F202:H202"/>
    <mergeCell ref="M190:N190"/>
    <mergeCell ref="D710:E712"/>
    <mergeCell ref="F1101:G1101"/>
    <mergeCell ref="M205:N205"/>
    <mergeCell ref="F980:G980"/>
    <mergeCell ref="M363:N363"/>
    <mergeCell ref="M634:N634"/>
    <mergeCell ref="F1094:G1094"/>
    <mergeCell ref="M849:N849"/>
    <mergeCell ref="M329:N329"/>
    <mergeCell ref="M627:N627"/>
    <mergeCell ref="F856:H856"/>
    <mergeCell ref="M663:N663"/>
    <mergeCell ref="M961:N961"/>
    <mergeCell ref="M880:N880"/>
    <mergeCell ref="M874:N874"/>
    <mergeCell ref="M629:N629"/>
    <mergeCell ref="F682:G683"/>
    <mergeCell ref="M665:N665"/>
    <mergeCell ref="M548:N548"/>
    <mergeCell ref="M963:N963"/>
    <mergeCell ref="D1105:E1106"/>
    <mergeCell ref="D635:E635"/>
    <mergeCell ref="M875:N875"/>
    <mergeCell ref="D234:E238"/>
    <mergeCell ref="D76:E82"/>
    <mergeCell ref="H166:H167"/>
    <mergeCell ref="F393:G394"/>
    <mergeCell ref="F246:H246"/>
    <mergeCell ref="M259:N259"/>
    <mergeCell ref="F605:H605"/>
    <mergeCell ref="H290:H291"/>
    <mergeCell ref="M864:N864"/>
    <mergeCell ref="F271:G271"/>
    <mergeCell ref="M130:N130"/>
    <mergeCell ref="M1022:N1022"/>
    <mergeCell ref="M1016:N1016"/>
    <mergeCell ref="M261:N261"/>
    <mergeCell ref="M559:N559"/>
    <mergeCell ref="M1015:N1015"/>
    <mergeCell ref="F1028:G1028"/>
    <mergeCell ref="M132:N132"/>
    <mergeCell ref="M430:N430"/>
    <mergeCell ref="B1077:H1077"/>
    <mergeCell ref="M290:N290"/>
    <mergeCell ref="M561:N561"/>
    <mergeCell ref="M859:N859"/>
    <mergeCell ref="D363:E364"/>
    <mergeCell ref="M1017:N1017"/>
    <mergeCell ref="F298:G298"/>
    <mergeCell ref="M590:N590"/>
    <mergeCell ref="D316:E320"/>
    <mergeCell ref="C1078:C1082"/>
    <mergeCell ref="D882:E888"/>
    <mergeCell ref="D352:E352"/>
    <mergeCell ref="F414:G414"/>
    <mergeCell ref="F1052:G1052"/>
    <mergeCell ref="D412:E417"/>
    <mergeCell ref="D784:E786"/>
    <mergeCell ref="F327:G327"/>
    <mergeCell ref="F416:G416"/>
    <mergeCell ref="C506:C524"/>
    <mergeCell ref="F328:H328"/>
    <mergeCell ref="F1054:G1054"/>
    <mergeCell ref="F284:H284"/>
    <mergeCell ref="F626:H626"/>
    <mergeCell ref="M272:N272"/>
    <mergeCell ref="F118:G119"/>
    <mergeCell ref="F749:G749"/>
    <mergeCell ref="M946:N946"/>
    <mergeCell ref="F584:H584"/>
    <mergeCell ref="M1035:N1035"/>
    <mergeCell ref="B1132:H1132"/>
    <mergeCell ref="M274:N274"/>
    <mergeCell ref="M730:N730"/>
    <mergeCell ref="F11:G11"/>
    <mergeCell ref="C500:C505"/>
    <mergeCell ref="M941:N941"/>
    <mergeCell ref="M186:N186"/>
    <mergeCell ref="D709:E709"/>
    <mergeCell ref="F467:G467"/>
    <mergeCell ref="F134:G135"/>
    <mergeCell ref="M1030:N1030"/>
    <mergeCell ref="D246:E246"/>
    <mergeCell ref="D1103:E1104"/>
    <mergeCell ref="F469:G469"/>
    <mergeCell ref="F1073:H1073"/>
    <mergeCell ref="F767:G767"/>
    <mergeCell ref="F12:G12"/>
    <mergeCell ref="F774:G775"/>
    <mergeCell ref="F1065:G1065"/>
    <mergeCell ref="M1086:N1086"/>
    <mergeCell ref="D841:E843"/>
    <mergeCell ref="M300:N300"/>
    <mergeCell ref="F944:H944"/>
    <mergeCell ref="M659:N659"/>
    <mergeCell ref="F1075:H1075"/>
    <mergeCell ref="M1088:N1088"/>
    <mergeCell ref="H690:H691"/>
    <mergeCell ref="M661:N661"/>
    <mergeCell ref="M959:N959"/>
    <mergeCell ref="M204:N204"/>
    <mergeCell ref="F366:G366"/>
    <mergeCell ref="M356:N356"/>
    <mergeCell ref="F979:H979"/>
    <mergeCell ref="M654:N654"/>
    <mergeCell ref="M1083:N1083"/>
    <mergeCell ref="F972:H972"/>
    <mergeCell ref="D518:E519"/>
    <mergeCell ref="D37:E43"/>
    <mergeCell ref="D424:E424"/>
    <mergeCell ref="F493:G494"/>
    <mergeCell ref="F480:G480"/>
    <mergeCell ref="M1114:N1114"/>
    <mergeCell ref="F974:H974"/>
    <mergeCell ref="D295:E295"/>
    <mergeCell ref="M687:N687"/>
    <mergeCell ref="F234:G234"/>
    <mergeCell ref="M372:N372"/>
    <mergeCell ref="M985:N985"/>
    <mergeCell ref="C419:C424"/>
    <mergeCell ref="F392:G392"/>
    <mergeCell ref="F25:G25"/>
    <mergeCell ref="F945:G946"/>
    <mergeCell ref="H701:H702"/>
    <mergeCell ref="F244:H244"/>
    <mergeCell ref="F542:H542"/>
    <mergeCell ref="F236:G236"/>
    <mergeCell ref="M987:N987"/>
    <mergeCell ref="M672:N672"/>
    <mergeCell ref="H703:H704"/>
    <mergeCell ref="M682:N682"/>
    <mergeCell ref="F1121:G1121"/>
    <mergeCell ref="C927:C944"/>
    <mergeCell ref="F1000:H1000"/>
    <mergeCell ref="D869:E870"/>
    <mergeCell ref="M227:N227"/>
    <mergeCell ref="F573:H573"/>
    <mergeCell ref="D1073:E1073"/>
    <mergeCell ref="C391:C397"/>
    <mergeCell ref="M586:N586"/>
    <mergeCell ref="D944:E944"/>
    <mergeCell ref="M400:N400"/>
    <mergeCell ref="D804:E804"/>
    <mergeCell ref="M698:N698"/>
    <mergeCell ref="D1075:E1075"/>
    <mergeCell ref="F105:G105"/>
    <mergeCell ref="M886:N886"/>
    <mergeCell ref="M1127:N1127"/>
    <mergeCell ref="F412:G412"/>
    <mergeCell ref="B645:B811"/>
    <mergeCell ref="F710:G710"/>
    <mergeCell ref="M1129:N1129"/>
    <mergeCell ref="F1018:H1018"/>
    <mergeCell ref="M1031:N1031"/>
    <mergeCell ref="F407:G407"/>
    <mergeCell ref="F1011:H1011"/>
    <mergeCell ref="M726:N726"/>
    <mergeCell ref="M1033:N1033"/>
    <mergeCell ref="H658:H659"/>
    <mergeCell ref="M728:N728"/>
    <mergeCell ref="D359:E359"/>
    <mergeCell ref="M1026:N1026"/>
    <mergeCell ref="M599:N599"/>
    <mergeCell ref="F465:G465"/>
    <mergeCell ref="F763:G763"/>
    <mergeCell ref="M1028:N1028"/>
    <mergeCell ref="F1061:G1061"/>
    <mergeCell ref="F290:G291"/>
    <mergeCell ref="M1057:N1057"/>
    <mergeCell ref="D1027:E1031"/>
    <mergeCell ref="D1101:E1102"/>
    <mergeCell ref="M296:N296"/>
    <mergeCell ref="M752:N752"/>
    <mergeCell ref="F765:G765"/>
    <mergeCell ref="M630:N630"/>
    <mergeCell ref="F256:G257"/>
    <mergeCell ref="F731:H731"/>
    <mergeCell ref="F1063:G1063"/>
    <mergeCell ref="F31:G31"/>
    <mergeCell ref="M1059:N1059"/>
    <mergeCell ref="D832:E833"/>
    <mergeCell ref="H661:H662"/>
    <mergeCell ref="M27:N27"/>
    <mergeCell ref="M298:N298"/>
    <mergeCell ref="M325:N325"/>
    <mergeCell ref="M596:N596"/>
    <mergeCell ref="F766:H766"/>
    <mergeCell ref="F1064:H1064"/>
    <mergeCell ref="M456:N456"/>
    <mergeCell ref="M754:N754"/>
    <mergeCell ref="M930:N930"/>
    <mergeCell ref="M1052:N1052"/>
    <mergeCell ref="F339:H339"/>
    <mergeCell ref="F637:H637"/>
    <mergeCell ref="M327:N327"/>
    <mergeCell ref="M625:N625"/>
    <mergeCell ref="D418:E418"/>
    <mergeCell ref="M1054:N1054"/>
    <mergeCell ref="F64:G64"/>
    <mergeCell ref="B388:H388"/>
    <mergeCell ref="H501:H502"/>
    <mergeCell ref="H38:H39"/>
    <mergeCell ref="F476:G476"/>
    <mergeCell ref="D506:E514"/>
    <mergeCell ref="F159:G160"/>
    <mergeCell ref="F355:H355"/>
    <mergeCell ref="D1116:E1120"/>
    <mergeCell ref="F153:G154"/>
    <mergeCell ref="H40:H41"/>
    <mergeCell ref="F478:G478"/>
    <mergeCell ref="F1082:H1082"/>
    <mergeCell ref="F23:H23"/>
    <mergeCell ref="F21:G21"/>
    <mergeCell ref="F776:G776"/>
    <mergeCell ref="M772:N772"/>
    <mergeCell ref="M1112:N1112"/>
    <mergeCell ref="M11:N11"/>
    <mergeCell ref="D152:E157"/>
    <mergeCell ref="M169:N169"/>
    <mergeCell ref="M467:N467"/>
    <mergeCell ref="F350:H350"/>
    <mergeCell ref="M1072:N1072"/>
    <mergeCell ref="H699:H700"/>
    <mergeCell ref="M40:N40"/>
    <mergeCell ref="F479:G479"/>
    <mergeCell ref="M678:N678"/>
    <mergeCell ref="F777:G777"/>
    <mergeCell ref="M469:N469"/>
    <mergeCell ref="M767:N767"/>
    <mergeCell ref="M12:N12"/>
    <mergeCell ref="F358:H358"/>
    <mergeCell ref="F352:H352"/>
    <mergeCell ref="M340:N340"/>
    <mergeCell ref="M978:N978"/>
    <mergeCell ref="F53:H53"/>
    <mergeCell ref="F802:G802"/>
    <mergeCell ref="F506:G506"/>
    <mergeCell ref="H269:H270"/>
    <mergeCell ref="M1123:N1123"/>
    <mergeCell ref="H725:H726"/>
    <mergeCell ref="M696:N696"/>
    <mergeCell ref="D1100:E1100"/>
    <mergeCell ref="M994:N994"/>
    <mergeCell ref="F378:H378"/>
    <mergeCell ref="F376:G376"/>
    <mergeCell ref="M1125:N1125"/>
    <mergeCell ref="F805:G805"/>
    <mergeCell ref="F411:H411"/>
    <mergeCell ref="F709:H709"/>
    <mergeCell ref="M399:N399"/>
    <mergeCell ref="F982:H982"/>
    <mergeCell ref="M697:N697"/>
    <mergeCell ref="M691:N691"/>
    <mergeCell ref="M1126:N1126"/>
    <mergeCell ref="D203:E209"/>
    <mergeCell ref="M1120:N1120"/>
    <mergeCell ref="M699:N699"/>
    <mergeCell ref="F861:G861"/>
    <mergeCell ref="H743:H744"/>
    <mergeCell ref="H140:H141"/>
    <mergeCell ref="D924:E925"/>
    <mergeCell ref="F550:G550"/>
    <mergeCell ref="D338:E339"/>
    <mergeCell ref="M838:N838"/>
    <mergeCell ref="F727:H727"/>
    <mergeCell ref="F543:G543"/>
    <mergeCell ref="H738:H739"/>
    <mergeCell ref="D247:E252"/>
    <mergeCell ref="F850:G850"/>
    <mergeCell ref="F431:G431"/>
    <mergeCell ref="D1115:E1115"/>
    <mergeCell ref="M112:N112"/>
    <mergeCell ref="D787:E787"/>
    <mergeCell ref="M719:N719"/>
    <mergeCell ref="F851:H851"/>
    <mergeCell ref="F887:G887"/>
    <mergeCell ref="M541:N541"/>
    <mergeCell ref="M1048:N1048"/>
    <mergeCell ref="M839:N839"/>
    <mergeCell ref="M833:N833"/>
    <mergeCell ref="F424:H424"/>
    <mergeCell ref="F1037:H1037"/>
    <mergeCell ref="M114:N114"/>
    <mergeCell ref="M412:N412"/>
    <mergeCell ref="M1050:N1050"/>
    <mergeCell ref="M710:N710"/>
    <mergeCell ref="D812:E812"/>
    <mergeCell ref="M841:N841"/>
    <mergeCell ref="M107:N107"/>
    <mergeCell ref="D385:E385"/>
    <mergeCell ref="F447:G447"/>
    <mergeCell ref="F876:G876"/>
    <mergeCell ref="F150:H150"/>
    <mergeCell ref="F142:G142"/>
    <mergeCell ref="H159:H160"/>
    <mergeCell ref="M138:N138"/>
    <mergeCell ref="F701:G702"/>
    <mergeCell ref="F449:G449"/>
    <mergeCell ref="C72:C91"/>
    <mergeCell ref="D645:E647"/>
    <mergeCell ref="F905:G905"/>
    <mergeCell ref="F912:G913"/>
    <mergeCell ref="D386:E386"/>
    <mergeCell ref="F703:G704"/>
    <mergeCell ref="M463:N463"/>
    <mergeCell ref="D1113:E1113"/>
    <mergeCell ref="F871:G871"/>
    <mergeCell ref="F907:G907"/>
    <mergeCell ref="M36:N36"/>
    <mergeCell ref="F750:H750"/>
    <mergeCell ref="M465:N465"/>
    <mergeCell ref="M763:N763"/>
    <mergeCell ref="C426:C463"/>
    <mergeCell ref="M336:N336"/>
    <mergeCell ref="F1081:H1081"/>
    <mergeCell ref="M765:N765"/>
    <mergeCell ref="D459:E462"/>
    <mergeCell ref="M1063:N1063"/>
    <mergeCell ref="D574:E576"/>
    <mergeCell ref="D865:E866"/>
    <mergeCell ref="C1002:C1026"/>
    <mergeCell ref="F806:G806"/>
    <mergeCell ref="F1106:H1106"/>
    <mergeCell ref="D867:E868"/>
    <mergeCell ref="C1087:C1093"/>
    <mergeCell ref="B1078:B1114"/>
    <mergeCell ref="F163:H163"/>
    <mergeCell ref="M193:N193"/>
    <mergeCell ref="D397:E397"/>
    <mergeCell ref="M491:N491"/>
    <mergeCell ref="F292:G292"/>
    <mergeCell ref="F286:G286"/>
    <mergeCell ref="H49:H50"/>
    <mergeCell ref="F74:G74"/>
    <mergeCell ref="F380:H380"/>
    <mergeCell ref="F372:G372"/>
    <mergeCell ref="D360:E362"/>
    <mergeCell ref="M64:N64"/>
    <mergeCell ref="F503:G503"/>
    <mergeCell ref="M781:N781"/>
    <mergeCell ref="M362:N362"/>
    <mergeCell ref="M178:N178"/>
    <mergeCell ref="M791:N791"/>
    <mergeCell ref="M476:N476"/>
    <mergeCell ref="F76:G76"/>
    <mergeCell ref="M783:N783"/>
    <mergeCell ref="F811:H811"/>
    <mergeCell ref="M364:N364"/>
    <mergeCell ref="M1116:N1116"/>
    <mergeCell ref="M65:N65"/>
    <mergeCell ref="M1091:N1091"/>
    <mergeCell ref="M776:N776"/>
    <mergeCell ref="M21:N21"/>
    <mergeCell ref="D11:E17"/>
    <mergeCell ref="D376:E378"/>
    <mergeCell ref="D285:E294"/>
    <mergeCell ref="D593:E595"/>
    <mergeCell ref="M965:N965"/>
    <mergeCell ref="H838:H839"/>
    <mergeCell ref="F819:G819"/>
    <mergeCell ref="D23:E23"/>
    <mergeCell ref="M809:N809"/>
    <mergeCell ref="F977:G977"/>
    <mergeCell ref="C296:C305"/>
    <mergeCell ref="F698:H698"/>
    <mergeCell ref="D763:E764"/>
    <mergeCell ref="M510:N510"/>
    <mergeCell ref="F59:H59"/>
    <mergeCell ref="M206:N206"/>
    <mergeCell ref="M504:N504"/>
    <mergeCell ref="H106:H107"/>
    <mergeCell ref="M802:N802"/>
    <mergeCell ref="M83:N83"/>
    <mergeCell ref="F524:H524"/>
    <mergeCell ref="C732:C758"/>
    <mergeCell ref="F516:G516"/>
    <mergeCell ref="M835:N835"/>
    <mergeCell ref="M506:N506"/>
    <mergeCell ref="F97:H97"/>
    <mergeCell ref="M49:N49"/>
    <mergeCell ref="F89:G89"/>
    <mergeCell ref="F553:H553"/>
    <mergeCell ref="F824:H824"/>
    <mergeCell ref="F90:H90"/>
    <mergeCell ref="M837:N837"/>
    <mergeCell ref="D464:E471"/>
    <mergeCell ref="M78:N78"/>
    <mergeCell ref="F242:G242"/>
    <mergeCell ref="D732:E742"/>
    <mergeCell ref="D117:E122"/>
    <mergeCell ref="F567:G567"/>
    <mergeCell ref="M217:N217"/>
    <mergeCell ref="F901:G901"/>
    <mergeCell ref="D569:E573"/>
    <mergeCell ref="F115:G115"/>
    <mergeCell ref="M136:N136"/>
    <mergeCell ref="F699:G700"/>
    <mergeCell ref="M434:N434"/>
    <mergeCell ref="F544:G544"/>
    <mergeCell ref="F229:G229"/>
    <mergeCell ref="F867:G867"/>
    <mergeCell ref="M225:N225"/>
    <mergeCell ref="M863:N863"/>
    <mergeCell ref="D636:E637"/>
    <mergeCell ref="F423:H423"/>
    <mergeCell ref="M436:N436"/>
    <mergeCell ref="F598:G598"/>
    <mergeCell ref="M734:N734"/>
    <mergeCell ref="M848:N848"/>
    <mergeCell ref="M131:N131"/>
    <mergeCell ref="F694:G695"/>
    <mergeCell ref="F723:G724"/>
    <mergeCell ref="F20:H20"/>
    <mergeCell ref="M736:N736"/>
    <mergeCell ref="M1034:N1034"/>
    <mergeCell ref="D817:E824"/>
    <mergeCell ref="F725:G726"/>
    <mergeCell ref="M276:N276"/>
    <mergeCell ref="F316:G316"/>
    <mergeCell ref="C234:C241"/>
    <mergeCell ref="F282:G282"/>
    <mergeCell ref="F624:G624"/>
    <mergeCell ref="M278:N278"/>
    <mergeCell ref="M576:N576"/>
    <mergeCell ref="D356:E358"/>
    <mergeCell ref="F616:G616"/>
    <mergeCell ref="H933:H934"/>
    <mergeCell ref="F914:G914"/>
    <mergeCell ref="M904:N904"/>
    <mergeCell ref="M149:N149"/>
    <mergeCell ref="M271:N271"/>
    <mergeCell ref="M447:N447"/>
    <mergeCell ref="F582:G582"/>
    <mergeCell ref="F915:H915"/>
    <mergeCell ref="F924:G924"/>
    <mergeCell ref="M578:N578"/>
    <mergeCell ref="M605:N605"/>
    <mergeCell ref="M876:N876"/>
    <mergeCell ref="M151:N151"/>
    <mergeCell ref="M449:N449"/>
    <mergeCell ref="M878:N878"/>
    <mergeCell ref="F911:G911"/>
    <mergeCell ref="M905:N905"/>
    <mergeCell ref="D1032:E1037"/>
    <mergeCell ref="F1069:G1069"/>
    <mergeCell ref="D372:E374"/>
    <mergeCell ref="D848:E848"/>
    <mergeCell ref="D382:E384"/>
    <mergeCell ref="F948:H948"/>
    <mergeCell ref="M907:N907"/>
    <mergeCell ref="C1094:C1100"/>
    <mergeCell ref="F179:G179"/>
    <mergeCell ref="F1071:G1071"/>
    <mergeCell ref="H834:H835"/>
    <mergeCell ref="F738:G739"/>
    <mergeCell ref="F608:G608"/>
    <mergeCell ref="B608:B639"/>
    <mergeCell ref="H836:H837"/>
    <mergeCell ref="M177:N177"/>
    <mergeCell ref="M500:N500"/>
    <mergeCell ref="M798:N798"/>
    <mergeCell ref="M291:N291"/>
    <mergeCell ref="M79:N79"/>
    <mergeCell ref="M589:N589"/>
    <mergeCell ref="H191:H192"/>
    <mergeCell ref="M508:N508"/>
    <mergeCell ref="M502:N502"/>
    <mergeCell ref="M806:N806"/>
    <mergeCell ref="M800:N800"/>
    <mergeCell ref="B390:H390"/>
    <mergeCell ref="F326:G326"/>
    <mergeCell ref="M958:N958"/>
    <mergeCell ref="M501:N501"/>
    <mergeCell ref="F602:H602"/>
    <mergeCell ref="F970:G970"/>
    <mergeCell ref="M74:N74"/>
    <mergeCell ref="D95:E97"/>
    <mergeCell ref="M503:N503"/>
    <mergeCell ref="H249:H250"/>
    <mergeCell ref="F784:G784"/>
    <mergeCell ref="D198:E202"/>
    <mergeCell ref="F357:G357"/>
    <mergeCell ref="F961:H961"/>
    <mergeCell ref="F1084:G1084"/>
    <mergeCell ref="F627:G627"/>
    <mergeCell ref="F233:H233"/>
    <mergeCell ref="F531:H531"/>
    <mergeCell ref="M976:N976"/>
    <mergeCell ref="M221:N221"/>
    <mergeCell ref="M215:N215"/>
    <mergeCell ref="F874:G874"/>
    <mergeCell ref="F996:G996"/>
    <mergeCell ref="M513:N513"/>
    <mergeCell ref="F663:G664"/>
    <mergeCell ref="D728:E730"/>
    <mergeCell ref="F988:G988"/>
    <mergeCell ref="M92:N92"/>
    <mergeCell ref="F569:G569"/>
    <mergeCell ref="F831:H831"/>
    <mergeCell ref="F665:G666"/>
    <mergeCell ref="F228:H228"/>
    <mergeCell ref="D948:E948"/>
    <mergeCell ref="M977:N977"/>
    <mergeCell ref="M971:N971"/>
    <mergeCell ref="M216:N216"/>
    <mergeCell ref="D426:E429"/>
    <mergeCell ref="F833:H833"/>
    <mergeCell ref="B951:I951"/>
    <mergeCell ref="D1044:E1045"/>
    <mergeCell ref="F556:G556"/>
    <mergeCell ref="F721:G722"/>
    <mergeCell ref="D950:E950"/>
    <mergeCell ref="F259:H259"/>
    <mergeCell ref="M218:N218"/>
    <mergeCell ref="F251:G251"/>
    <mergeCell ref="M516:N516"/>
    <mergeCell ref="M1002:N1002"/>
    <mergeCell ref="F42:G42"/>
    <mergeCell ref="F49:G50"/>
    <mergeCell ref="D197:E197"/>
    <mergeCell ref="F1008:G1008"/>
    <mergeCell ref="F253:G253"/>
    <mergeCell ref="F551:G551"/>
    <mergeCell ref="M572:N572"/>
    <mergeCell ref="M243:N243"/>
    <mergeCell ref="F78:G79"/>
    <mergeCell ref="F716:G717"/>
    <mergeCell ref="C526:C540"/>
    <mergeCell ref="M120:N120"/>
    <mergeCell ref="M234:N234"/>
    <mergeCell ref="F711:G711"/>
    <mergeCell ref="M872:N872"/>
    <mergeCell ref="H474:H475"/>
    <mergeCell ref="F1009:G1009"/>
    <mergeCell ref="F888:H888"/>
    <mergeCell ref="M901:N901"/>
    <mergeCell ref="D365:E365"/>
    <mergeCell ref="M115:N115"/>
    <mergeCell ref="F458:H458"/>
    <mergeCell ref="M903:N903"/>
    <mergeCell ref="F1067:G1067"/>
    <mergeCell ref="F734:G735"/>
    <mergeCell ref="F272:H272"/>
    <mergeCell ref="C608:C626"/>
    <mergeCell ref="F124:G124"/>
    <mergeCell ref="F422:G422"/>
    <mergeCell ref="F483:H483"/>
    <mergeCell ref="H194:H195"/>
    <mergeCell ref="F736:G737"/>
    <mergeCell ref="F1027:G1027"/>
    <mergeCell ref="H650:H651"/>
    <mergeCell ref="M287:N287"/>
    <mergeCell ref="M262:N262"/>
    <mergeCell ref="M585:N585"/>
    <mergeCell ref="F1062:G1062"/>
    <mergeCell ref="F783:H783"/>
    <mergeCell ref="M587:N587"/>
    <mergeCell ref="M929:N929"/>
    <mergeCell ref="M885:N885"/>
    <mergeCell ref="M168:N168"/>
    <mergeCell ref="M921:N921"/>
    <mergeCell ref="M1043:N1043"/>
    <mergeCell ref="H645:H646"/>
    <mergeCell ref="M282:N282"/>
    <mergeCell ref="F603:H603"/>
    <mergeCell ref="M914:N914"/>
    <mergeCell ref="F780:G780"/>
    <mergeCell ref="F1078:G1078"/>
    <mergeCell ref="M313:N313"/>
    <mergeCell ref="F353:G353"/>
    <mergeCell ref="H213:H214"/>
    <mergeCell ref="D500:E504"/>
    <mergeCell ref="F1080:G1080"/>
    <mergeCell ref="M184:N184"/>
    <mergeCell ref="H678:H679"/>
    <mergeCell ref="F923:H923"/>
    <mergeCell ref="M342:N342"/>
    <mergeCell ref="M613:N613"/>
    <mergeCell ref="F959:H959"/>
    <mergeCell ref="H215:H216"/>
    <mergeCell ref="M911:N911"/>
    <mergeCell ref="M947:N947"/>
    <mergeCell ref="M308:N308"/>
    <mergeCell ref="F348:G348"/>
    <mergeCell ref="F75:H75"/>
    <mergeCell ref="M344:N344"/>
    <mergeCell ref="C1108:C1113"/>
    <mergeCell ref="M940:N940"/>
    <mergeCell ref="F661:G662"/>
    <mergeCell ref="M669:N669"/>
    <mergeCell ref="M967:N967"/>
    <mergeCell ref="M212:N212"/>
    <mergeCell ref="F51:G51"/>
    <mergeCell ref="M942:N942"/>
    <mergeCell ref="M214:N214"/>
    <mergeCell ref="F1108:G1108"/>
    <mergeCell ref="M28:N28"/>
    <mergeCell ref="H714:H715"/>
    <mergeCell ref="M326:N326"/>
    <mergeCell ref="F501:G502"/>
    <mergeCell ref="M1000:N1000"/>
    <mergeCell ref="F382:G382"/>
    <mergeCell ref="F338:G338"/>
    <mergeCell ref="D916:E916"/>
    <mergeCell ref="M57:N57"/>
    <mergeCell ref="C285:C295"/>
    <mergeCell ref="M355:N355"/>
    <mergeCell ref="F794:G794"/>
    <mergeCell ref="F375:H375"/>
    <mergeCell ref="F707:G707"/>
    <mergeCell ref="C152:C169"/>
    <mergeCell ref="F252:H252"/>
    <mergeCell ref="F1005:G1005"/>
    <mergeCell ref="M357:N357"/>
    <mergeCell ref="M240:N240"/>
    <mergeCell ref="M995:N995"/>
    <mergeCell ref="F857:H857"/>
    <mergeCell ref="M574:N574"/>
    <mergeCell ref="C973:C979"/>
    <mergeCell ref="M111:N111"/>
    <mergeCell ref="M1003:N1003"/>
    <mergeCell ref="M986:N986"/>
    <mergeCell ref="M540:N540"/>
    <mergeCell ref="F821:G821"/>
    <mergeCell ref="D765:E766"/>
    <mergeCell ref="M569:N569"/>
    <mergeCell ref="D391:E396"/>
    <mergeCell ref="F829:G830"/>
    <mergeCell ref="F568:H568"/>
    <mergeCell ref="M1013:N1013"/>
    <mergeCell ref="M258:N258"/>
    <mergeCell ref="F420:G420"/>
    <mergeCell ref="M556:N556"/>
    <mergeCell ref="F718:G718"/>
    <mergeCell ref="M714:N714"/>
    <mergeCell ref="C955:C959"/>
    <mergeCell ref="M251:N251"/>
    <mergeCell ref="M558:N558"/>
    <mergeCell ref="F1026:H1026"/>
    <mergeCell ref="F265:H265"/>
    <mergeCell ref="M716:N716"/>
    <mergeCell ref="B813:H813"/>
    <mergeCell ref="M1014:N1014"/>
    <mergeCell ref="M1008:N1008"/>
    <mergeCell ref="M253:N253"/>
    <mergeCell ref="F293:G293"/>
    <mergeCell ref="M289:N289"/>
    <mergeCell ref="F1020:G1020"/>
    <mergeCell ref="M1041:N1041"/>
    <mergeCell ref="D987:E987"/>
    <mergeCell ref="D44:E53"/>
    <mergeCell ref="D111:E116"/>
    <mergeCell ref="D1107:E1107"/>
    <mergeCell ref="F148:G148"/>
    <mergeCell ref="F446:G446"/>
    <mergeCell ref="H755:H756"/>
    <mergeCell ref="F1051:G1051"/>
    <mergeCell ref="F325:H325"/>
    <mergeCell ref="F19:G19"/>
    <mergeCell ref="F448:G448"/>
    <mergeCell ref="C402:C418"/>
    <mergeCell ref="M129:N129"/>
    <mergeCell ref="F625:H625"/>
    <mergeCell ref="F319:G319"/>
    <mergeCell ref="M315:N315"/>
    <mergeCell ref="M638:N638"/>
    <mergeCell ref="M936:N936"/>
    <mergeCell ref="F1046:G1046"/>
    <mergeCell ref="M429:N429"/>
    <mergeCell ref="M1067:N1067"/>
    <mergeCell ref="H669:H670"/>
    <mergeCell ref="M727:N727"/>
    <mergeCell ref="F950:H950"/>
    <mergeCell ref="M640:N640"/>
    <mergeCell ref="M938:N938"/>
    <mergeCell ref="M183:N183"/>
    <mergeCell ref="F464:G464"/>
    <mergeCell ref="M729:N729"/>
    <mergeCell ref="M335:N335"/>
    <mergeCell ref="M1027:N1027"/>
    <mergeCell ref="C464:C499"/>
    <mergeCell ref="D103:E103"/>
    <mergeCell ref="H656:H657"/>
    <mergeCell ref="D802:E803"/>
    <mergeCell ref="D401:E401"/>
    <mergeCell ref="C1027:C1056"/>
    <mergeCell ref="M24:N24"/>
    <mergeCell ref="F922:G922"/>
    <mergeCell ref="H685:H686"/>
    <mergeCell ref="M322:N322"/>
    <mergeCell ref="F161:G161"/>
    <mergeCell ref="F929:G930"/>
    <mergeCell ref="D1127:E1128"/>
    <mergeCell ref="F459:G459"/>
    <mergeCell ref="M53:N53"/>
    <mergeCell ref="M324:N324"/>
    <mergeCell ref="F474:G475"/>
    <mergeCell ref="M351:N351"/>
    <mergeCell ref="M622:N622"/>
    <mergeCell ref="F461:G461"/>
    <mergeCell ref="H687:H688"/>
    <mergeCell ref="M482:N482"/>
    <mergeCell ref="D1001:E1001"/>
    <mergeCell ref="B391:B425"/>
    <mergeCell ref="M780:N780"/>
    <mergeCell ref="M1078:N1078"/>
    <mergeCell ref="F47:G48"/>
    <mergeCell ref="D229:E232"/>
    <mergeCell ref="F340:H340"/>
    <mergeCell ref="F978:H978"/>
    <mergeCell ref="M55:N55"/>
    <mergeCell ref="M353:N353"/>
    <mergeCell ref="F792:G792"/>
    <mergeCell ref="M651:N651"/>
    <mergeCell ref="F1092:H1092"/>
    <mergeCell ref="M782:N782"/>
    <mergeCell ref="D1057:E1057"/>
    <mergeCell ref="M1080:N1080"/>
    <mergeCell ref="M48:N48"/>
    <mergeCell ref="M319:N319"/>
    <mergeCell ref="H682:H683"/>
    <mergeCell ref="D788:E793"/>
    <mergeCell ref="F969:H969"/>
    <mergeCell ref="M477:N477"/>
    <mergeCell ref="F1100:H1100"/>
    <mergeCell ref="M653:N653"/>
    <mergeCell ref="M354:N354"/>
    <mergeCell ref="F210:H210"/>
    <mergeCell ref="H827:H828"/>
    <mergeCell ref="D980:E982"/>
    <mergeCell ref="F1123:G1123"/>
    <mergeCell ref="F1117:G1117"/>
    <mergeCell ref="D1108:E1112"/>
    <mergeCell ref="H740:H741"/>
    <mergeCell ref="M81:N81"/>
    <mergeCell ref="M37:N37"/>
    <mergeCell ref="F180:G180"/>
    <mergeCell ref="M379:N379"/>
    <mergeCell ref="M677:N677"/>
    <mergeCell ref="F241:H241"/>
    <mergeCell ref="F485:G486"/>
    <mergeCell ref="F818:G818"/>
    <mergeCell ref="H829:H830"/>
    <mergeCell ref="F391:G391"/>
    <mergeCell ref="M1098:N1098"/>
    <mergeCell ref="M381:N381"/>
    <mergeCell ref="F820:G820"/>
    <mergeCell ref="F1126:H1126"/>
    <mergeCell ref="H67:H68"/>
    <mergeCell ref="M679:N679"/>
    <mergeCell ref="R5:R6"/>
    <mergeCell ref="F1118:G1118"/>
    <mergeCell ref="F1120:H1120"/>
    <mergeCell ref="M38:N38"/>
    <mergeCell ref="F515:G515"/>
    <mergeCell ref="F997:H997"/>
    <mergeCell ref="F989:G989"/>
    <mergeCell ref="M1010:N1010"/>
    <mergeCell ref="F849:G849"/>
    <mergeCell ref="M1004:N1004"/>
    <mergeCell ref="M338:N338"/>
    <mergeCell ref="M1012:N1012"/>
    <mergeCell ref="F532:G532"/>
    <mergeCell ref="M707:N707"/>
    <mergeCell ref="M1124:N1124"/>
    <mergeCell ref="D612:E615"/>
    <mergeCell ref="D353:E354"/>
    <mergeCell ref="D340:E340"/>
    <mergeCell ref="F235:G235"/>
    <mergeCell ref="H753:H754"/>
    <mergeCell ref="M94:N94"/>
    <mergeCell ref="F838:G839"/>
    <mergeCell ref="F1042:G1042"/>
    <mergeCell ref="M425:N425"/>
    <mergeCell ref="M723:N723"/>
    <mergeCell ref="M6:N6"/>
    <mergeCell ref="F112:G113"/>
    <mergeCell ref="M733:N733"/>
    <mergeCell ref="F712:H712"/>
    <mergeCell ref="M427:N427"/>
    <mergeCell ref="M725:N725"/>
    <mergeCell ref="D759:E762"/>
    <mergeCell ref="M1023:N1023"/>
    <mergeCell ref="M306:N306"/>
    <mergeCell ref="B953:H953"/>
    <mergeCell ref="M420:N420"/>
    <mergeCell ref="F714:G715"/>
    <mergeCell ref="F132:G132"/>
    <mergeCell ref="F455:G455"/>
    <mergeCell ref="F430:G430"/>
    <mergeCell ref="M451:N451"/>
    <mergeCell ref="F36:H36"/>
    <mergeCell ref="F307:H307"/>
    <mergeCell ref="M295:N295"/>
    <mergeCell ref="F457:G457"/>
    <mergeCell ref="M453:N453"/>
    <mergeCell ref="H55:H56"/>
    <mergeCell ref="M751:N751"/>
    <mergeCell ref="F634:H634"/>
    <mergeCell ref="M148:N148"/>
    <mergeCell ref="M446:N446"/>
    <mergeCell ref="F254:G255"/>
    <mergeCell ref="C382:C385"/>
    <mergeCell ref="M753:N753"/>
    <mergeCell ref="M1051:N1051"/>
    <mergeCell ref="M448:N448"/>
    <mergeCell ref="C198:C210"/>
    <mergeCell ref="F337:H337"/>
    <mergeCell ref="F279:G280"/>
    <mergeCell ref="F902:G902"/>
    <mergeCell ref="F185:G185"/>
    <mergeCell ref="F597:G597"/>
    <mergeCell ref="M593:N593"/>
    <mergeCell ref="F176:G176"/>
    <mergeCell ref="F170:G170"/>
    <mergeCell ref="H825:H826"/>
    <mergeCell ref="M166:N166"/>
    <mergeCell ref="F468:G468"/>
    <mergeCell ref="M804:N804"/>
    <mergeCell ref="M464:N464"/>
    <mergeCell ref="F364:H364"/>
    <mergeCell ref="F897:G897"/>
    <mergeCell ref="M893:N893"/>
    <mergeCell ref="M377:N377"/>
    <mergeCell ref="M675:N675"/>
    <mergeCell ref="F57:G57"/>
    <mergeCell ref="M466:N466"/>
    <mergeCell ref="C966:C972"/>
    <mergeCell ref="M1104:N1104"/>
    <mergeCell ref="M764:N764"/>
    <mergeCell ref="F939:G940"/>
    <mergeCell ref="F1116:G1116"/>
    <mergeCell ref="M975:N975"/>
    <mergeCell ref="D1002:E1004"/>
    <mergeCell ref="M797:N797"/>
    <mergeCell ref="F181:H181"/>
    <mergeCell ref="F941:G942"/>
    <mergeCell ref="M676:N676"/>
    <mergeCell ref="M1105:N1105"/>
    <mergeCell ref="F204:G204"/>
    <mergeCell ref="F198:G198"/>
    <mergeCell ref="D588:E589"/>
    <mergeCell ref="F231:G231"/>
    <mergeCell ref="D66:E70"/>
    <mergeCell ref="F529:G529"/>
    <mergeCell ref="M519:N519"/>
    <mergeCell ref="F669:G670"/>
    <mergeCell ref="M823:N823"/>
    <mergeCell ref="M817:N817"/>
    <mergeCell ref="F863:G863"/>
    <mergeCell ref="F652:G653"/>
    <mergeCell ref="H723:H724"/>
    <mergeCell ref="F206:G207"/>
    <mergeCell ref="M1115:N1115"/>
    <mergeCell ref="M396:N396"/>
    <mergeCell ref="F103:H103"/>
    <mergeCell ref="M825:N825"/>
    <mergeCell ref="F1127:G1127"/>
    <mergeCell ref="F1129:H1129"/>
    <mergeCell ref="M91:N91"/>
    <mergeCell ref="M1117:N1117"/>
    <mergeCell ref="F708:H708"/>
    <mergeCell ref="H719:H720"/>
    <mergeCell ref="M818:N818"/>
    <mergeCell ref="F858:G858"/>
    <mergeCell ref="B955:B1057"/>
    <mergeCell ref="M93:N93"/>
    <mergeCell ref="M391:N391"/>
    <mergeCell ref="M820:N820"/>
    <mergeCell ref="F889:G889"/>
    <mergeCell ref="F128:G128"/>
    <mergeCell ref="F426:G426"/>
    <mergeCell ref="F557:G557"/>
    <mergeCell ref="C366:C375"/>
    <mergeCell ref="F217:G217"/>
    <mergeCell ref="F855:G855"/>
    <mergeCell ref="F680:G681"/>
    <mergeCell ref="F428:G428"/>
    <mergeCell ref="D678:E684"/>
    <mergeCell ref="M109:N109"/>
    <mergeCell ref="F586:G586"/>
    <mergeCell ref="M747:N747"/>
    <mergeCell ref="F848:H848"/>
    <mergeCell ref="F131:H131"/>
    <mergeCell ref="F884:G884"/>
    <mergeCell ref="F429:H429"/>
    <mergeCell ref="M538:N538"/>
    <mergeCell ref="M532:N532"/>
    <mergeCell ref="M75:N75"/>
    <mergeCell ref="F552:G552"/>
    <mergeCell ref="F421:H421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M104:N104"/>
    <mergeCell ref="M235:N235"/>
    <mergeCell ref="M533:N533"/>
    <mergeCell ref="M1049:N1049"/>
    <mergeCell ref="D540:E540"/>
    <mergeCell ref="F873:G873"/>
    <mergeCell ref="M106:N106"/>
    <mergeCell ref="M744:N744"/>
    <mergeCell ref="M404:N404"/>
    <mergeCell ref="F576:H576"/>
    <mergeCell ref="F277:G278"/>
    <mergeCell ref="D810:E810"/>
    <mergeCell ref="C1059:C1073"/>
    <mergeCell ref="M162:N162"/>
    <mergeCell ref="M460:N460"/>
    <mergeCell ref="F299:G299"/>
    <mergeCell ref="F904:G904"/>
    <mergeCell ref="B1116:B1130"/>
    <mergeCell ref="M462:N462"/>
    <mergeCell ref="M760:N760"/>
    <mergeCell ref="F599:G599"/>
    <mergeCell ref="F144:H144"/>
    <mergeCell ref="M157:N157"/>
    <mergeCell ref="M762:N762"/>
    <mergeCell ref="F899:G899"/>
    <mergeCell ref="M920:N920"/>
    <mergeCell ref="M457:N457"/>
    <mergeCell ref="F751:G752"/>
    <mergeCell ref="F477:H477"/>
    <mergeCell ref="D1096:E1099"/>
    <mergeCell ref="M30:N30"/>
    <mergeCell ref="F955:G955"/>
    <mergeCell ref="F1044:G1044"/>
    <mergeCell ref="D525:E525"/>
    <mergeCell ref="F589:H589"/>
    <mergeCell ref="C24:C30"/>
    <mergeCell ref="F371:H371"/>
    <mergeCell ref="M602:N602"/>
    <mergeCell ref="F957:G957"/>
    <mergeCell ref="M61:N61"/>
    <mergeCell ref="F500:G500"/>
    <mergeCell ref="F798:G798"/>
    <mergeCell ref="M490:N490"/>
    <mergeCell ref="F37:G37"/>
    <mergeCell ref="M175:N175"/>
    <mergeCell ref="H931:H932"/>
    <mergeCell ref="F958:H958"/>
    <mergeCell ref="H206:H207"/>
    <mergeCell ref="M185:N185"/>
    <mergeCell ref="M902:N902"/>
    <mergeCell ref="M483:N483"/>
    <mergeCell ref="M475:N475"/>
    <mergeCell ref="B247:B352"/>
    <mergeCell ref="M56:N56"/>
    <mergeCell ref="F801:H801"/>
    <mergeCell ref="M176:N176"/>
    <mergeCell ref="F374:H374"/>
    <mergeCell ref="F803:H803"/>
    <mergeCell ref="M816:N816"/>
    <mergeCell ref="D132:E138"/>
    <mergeCell ref="F1097:G1097"/>
    <mergeCell ref="M201:N201"/>
    <mergeCell ref="D605:E605"/>
    <mergeCell ref="D151:E151"/>
    <mergeCell ref="F968:G968"/>
    <mergeCell ref="M203:N203"/>
    <mergeCell ref="B105:B246"/>
    <mergeCell ref="M196:N196"/>
    <mergeCell ref="F513:G513"/>
    <mergeCell ref="F373:G373"/>
    <mergeCell ref="F678:G679"/>
    <mergeCell ref="F971:H971"/>
    <mergeCell ref="F514:H514"/>
    <mergeCell ref="M198:N198"/>
    <mergeCell ref="F882:G882"/>
    <mergeCell ref="F218:H218"/>
    <mergeCell ref="M100:N100"/>
    <mergeCell ref="M231:N231"/>
    <mergeCell ref="F994:G994"/>
    <mergeCell ref="M529:N529"/>
    <mergeCell ref="D260:E264"/>
    <mergeCell ref="M102:N102"/>
    <mergeCell ref="M343:N343"/>
    <mergeCell ref="M829:N829"/>
    <mergeCell ref="D825:E831"/>
    <mergeCell ref="F566:G566"/>
    <mergeCell ref="M247:N247"/>
    <mergeCell ref="D532:E536"/>
    <mergeCell ref="M860:N860"/>
    <mergeCell ref="M854:N854"/>
    <mergeCell ref="F1022:G1022"/>
    <mergeCell ref="M257:N257"/>
    <mergeCell ref="M433:N433"/>
    <mergeCell ref="M555:N555"/>
    <mergeCell ref="M591:N591"/>
    <mergeCell ref="M862:N862"/>
    <mergeCell ref="M547:N547"/>
    <mergeCell ref="M889:N889"/>
    <mergeCell ref="F1024:G1024"/>
    <mergeCell ref="M128:N128"/>
    <mergeCell ref="M426:N426"/>
    <mergeCell ref="M557:N557"/>
    <mergeCell ref="F903:H903"/>
    <mergeCell ref="M855:N855"/>
    <mergeCell ref="F895:G895"/>
    <mergeCell ref="M891:N891"/>
    <mergeCell ref="M428:N428"/>
    <mergeCell ref="D211:E218"/>
    <mergeCell ref="M857:N857"/>
    <mergeCell ref="C541:C585"/>
    <mergeCell ref="D326:E328"/>
    <mergeCell ref="F323:G323"/>
    <mergeCell ref="F585:H585"/>
    <mergeCell ref="F621:G621"/>
    <mergeCell ref="D857:E857"/>
    <mergeCell ref="H632:H633"/>
    <mergeCell ref="F1050:G1050"/>
    <mergeCell ref="D1019:E1025"/>
    <mergeCell ref="D1087:E1090"/>
    <mergeCell ref="M146:N146"/>
    <mergeCell ref="F281:G281"/>
    <mergeCell ref="F587:H587"/>
    <mergeCell ref="F623:G623"/>
    <mergeCell ref="F921:G921"/>
    <mergeCell ref="M575:N575"/>
    <mergeCell ref="D979:E979"/>
    <mergeCell ref="H177:H178"/>
    <mergeCell ref="M181:N181"/>
    <mergeCell ref="F719:G720"/>
    <mergeCell ref="M873:N873"/>
    <mergeCell ref="F1035:G1035"/>
    <mergeCell ref="F1043:H1043"/>
    <mergeCell ref="F580:H580"/>
    <mergeCell ref="M1025:N1025"/>
    <mergeCell ref="M270:N270"/>
    <mergeCell ref="M568:N568"/>
    <mergeCell ref="M52:N52"/>
    <mergeCell ref="M604:N604"/>
    <mergeCell ref="F1045:H1045"/>
    <mergeCell ref="M481:N481"/>
    <mergeCell ref="F309:G309"/>
    <mergeCell ref="M570:N570"/>
    <mergeCell ref="F916:H916"/>
    <mergeCell ref="F334:G334"/>
    <mergeCell ref="C92:C94"/>
    <mergeCell ref="M199:N199"/>
    <mergeCell ref="F342:G342"/>
    <mergeCell ref="F336:G336"/>
    <mergeCell ref="M655:N655"/>
    <mergeCell ref="M288:N288"/>
    <mergeCell ref="F308:G308"/>
    <mergeCell ref="F755:G756"/>
    <mergeCell ref="M499:N499"/>
    <mergeCell ref="F187:H187"/>
    <mergeCell ref="M657:N657"/>
    <mergeCell ref="M955:N955"/>
    <mergeCell ref="M200:N200"/>
    <mergeCell ref="M194:N194"/>
    <mergeCell ref="F967:G967"/>
    <mergeCell ref="M71:N71"/>
    <mergeCell ref="D917:E923"/>
    <mergeCell ref="M957:N957"/>
    <mergeCell ref="M202:N202"/>
    <mergeCell ref="F548:H548"/>
    <mergeCell ref="M494:N494"/>
    <mergeCell ref="D1121:E1126"/>
    <mergeCell ref="F812:H812"/>
    <mergeCell ref="F992:G992"/>
    <mergeCell ref="F62:G63"/>
    <mergeCell ref="M639:N639"/>
    <mergeCell ref="D648:E660"/>
    <mergeCell ref="F993:G993"/>
    <mergeCell ref="M370:N370"/>
    <mergeCell ref="M668:N668"/>
    <mergeCell ref="F268:G268"/>
    <mergeCell ref="M799:N799"/>
    <mergeCell ref="M1097:N1097"/>
    <mergeCell ref="F995:G995"/>
    <mergeCell ref="F986:H986"/>
    <mergeCell ref="F540:H540"/>
    <mergeCell ref="M670:N670"/>
    <mergeCell ref="M553:N553"/>
    <mergeCell ref="M968:N968"/>
    <mergeCell ref="M213:N213"/>
    <mergeCell ref="M851:N851"/>
    <mergeCell ref="M1099:N1099"/>
    <mergeCell ref="M887:N887"/>
    <mergeCell ref="F525:H525"/>
    <mergeCell ref="M853:N853"/>
    <mergeCell ref="D344:E344"/>
    <mergeCell ref="D18:E20"/>
    <mergeCell ref="M671:N671"/>
    <mergeCell ref="D577:E580"/>
    <mergeCell ref="D949:E949"/>
    <mergeCell ref="M882:N882"/>
    <mergeCell ref="H628:H629"/>
    <mergeCell ref="H171:H172"/>
    <mergeCell ref="F706:G706"/>
    <mergeCell ref="D834:E840"/>
    <mergeCell ref="D771:E772"/>
    <mergeCell ref="C917:C926"/>
    <mergeCell ref="F827:G828"/>
    <mergeCell ref="F410:G410"/>
    <mergeCell ref="F1014:H1014"/>
    <mergeCell ref="F1006:G1006"/>
    <mergeCell ref="M266:N266"/>
    <mergeCell ref="M241:N241"/>
    <mergeCell ref="H927:H928"/>
    <mergeCell ref="M564:N564"/>
    <mergeCell ref="F403:G403"/>
    <mergeCell ref="M539:N539"/>
    <mergeCell ref="M600:N600"/>
    <mergeCell ref="F1016:H1016"/>
    <mergeCell ref="M1029:N1029"/>
    <mergeCell ref="M268:N268"/>
    <mergeCell ref="H929:H930"/>
    <mergeCell ref="M566:N566"/>
    <mergeCell ref="M900:N900"/>
    <mergeCell ref="D973:E974"/>
    <mergeCell ref="D1082:E1082"/>
    <mergeCell ref="M595:N595"/>
    <mergeCell ref="M866:N866"/>
    <mergeCell ref="C849:C857"/>
    <mergeCell ref="F121:G121"/>
    <mergeCell ref="F759:G759"/>
    <mergeCell ref="M1024:N1024"/>
    <mergeCell ref="B353:B386"/>
    <mergeCell ref="F638:H638"/>
    <mergeCell ref="D1091:E1092"/>
    <mergeCell ref="F761:G761"/>
    <mergeCell ref="B3:S3"/>
    <mergeCell ref="F1059:G1059"/>
    <mergeCell ref="M1055:N1055"/>
    <mergeCell ref="M321:N321"/>
    <mergeCell ref="F129:G130"/>
    <mergeCell ref="H613:H614"/>
    <mergeCell ref="F640:H640"/>
    <mergeCell ref="M628:N628"/>
    <mergeCell ref="M926:N926"/>
    <mergeCell ref="C360:C365"/>
    <mergeCell ref="F335:H335"/>
    <mergeCell ref="M742:N742"/>
    <mergeCell ref="M1040:N1040"/>
    <mergeCell ref="M323:N323"/>
    <mergeCell ref="M279:N279"/>
    <mergeCell ref="M621:N621"/>
    <mergeCell ref="M928:N928"/>
    <mergeCell ref="M281:N281"/>
    <mergeCell ref="M623:N623"/>
    <mergeCell ref="F18:G18"/>
    <mergeCell ref="F322:G322"/>
    <mergeCell ref="F45:G45"/>
    <mergeCell ref="F622:H622"/>
    <mergeCell ref="D585:E585"/>
    <mergeCell ref="C805:C810"/>
    <mergeCell ref="M610:N610"/>
    <mergeCell ref="M768:N768"/>
    <mergeCell ref="M13:N13"/>
    <mergeCell ref="M7:N7"/>
    <mergeCell ref="F570:G571"/>
    <mergeCell ref="F1079:G1079"/>
    <mergeCell ref="M305:N305"/>
    <mergeCell ref="F345:G345"/>
    <mergeCell ref="M341:N341"/>
    <mergeCell ref="F782:H782"/>
    <mergeCell ref="F46:G46"/>
    <mergeCell ref="F317:G317"/>
    <mergeCell ref="M1093:N1093"/>
    <mergeCell ref="M1068:N1068"/>
    <mergeCell ref="M307:N307"/>
    <mergeCell ref="F196:H196"/>
    <mergeCell ref="B8:H8"/>
    <mergeCell ref="M641:N641"/>
    <mergeCell ref="F354:H354"/>
    <mergeCell ref="F55:G56"/>
    <mergeCell ref="M1095:N1095"/>
    <mergeCell ref="F346:G346"/>
    <mergeCell ref="M1070:N1070"/>
    <mergeCell ref="C37:C71"/>
    <mergeCell ref="M790:N790"/>
    <mergeCell ref="B10:H10"/>
    <mergeCell ref="D158:E163"/>
    <mergeCell ref="F73:G73"/>
    <mergeCell ref="F200:G201"/>
    <mergeCell ref="F800:G800"/>
    <mergeCell ref="B6:E6"/>
    <mergeCell ref="F1098:G1098"/>
    <mergeCell ref="H721:H722"/>
    <mergeCell ref="F379:G379"/>
    <mergeCell ref="D640:E640"/>
    <mergeCell ref="D988:E990"/>
    <mergeCell ref="F793:H793"/>
    <mergeCell ref="M1121:N1121"/>
    <mergeCell ref="F1002:G1002"/>
    <mergeCell ref="M694:N694"/>
    <mergeCell ref="M998:N998"/>
    <mergeCell ref="M992:N992"/>
    <mergeCell ref="M237:N237"/>
    <mergeCell ref="F399:G399"/>
    <mergeCell ref="D627:E634"/>
    <mergeCell ref="M685:N685"/>
    <mergeCell ref="M239:N239"/>
    <mergeCell ref="M537:N537"/>
    <mergeCell ref="M695:N695"/>
    <mergeCell ref="M993:N993"/>
    <mergeCell ref="D1114:E1114"/>
    <mergeCell ref="D30:E30"/>
    <mergeCell ref="F92:G92"/>
    <mergeCell ref="F117:G117"/>
    <mergeCell ref="C586:C592"/>
    <mergeCell ref="F546:G546"/>
    <mergeCell ref="D1086:E1086"/>
    <mergeCell ref="F213:G214"/>
    <mergeCell ref="D445:E453"/>
    <mergeCell ref="F844:G844"/>
    <mergeCell ref="H734:H735"/>
    <mergeCell ref="M407:N407"/>
    <mergeCell ref="M705:N705"/>
    <mergeCell ref="F427:G427"/>
    <mergeCell ref="F418:H418"/>
    <mergeCell ref="D336:E337"/>
    <mergeCell ref="M836:N836"/>
    <mergeCell ref="H736:H737"/>
    <mergeCell ref="F419:G419"/>
    <mergeCell ref="F541:G541"/>
    <mergeCell ref="H279:H280"/>
    <mergeCell ref="F122:H122"/>
    <mergeCell ref="M1011:N1011"/>
    <mergeCell ref="M250:N250"/>
    <mergeCell ref="D794:E801"/>
    <mergeCell ref="M110:N110"/>
    <mergeCell ref="M408:N408"/>
    <mergeCell ref="M402:N402"/>
    <mergeCell ref="M706:N706"/>
    <mergeCell ref="F572:G572"/>
    <mergeCell ref="D945:E947"/>
    <mergeCell ref="F1025:H1025"/>
    <mergeCell ref="M619:N619"/>
    <mergeCell ref="D387:E387"/>
    <mergeCell ref="F145:G145"/>
    <mergeCell ref="D381:E381"/>
    <mergeCell ref="M410:N410"/>
    <mergeCell ref="F443:G443"/>
    <mergeCell ref="M708:N708"/>
    <mergeCell ref="C597:C603"/>
    <mergeCell ref="D434:E438"/>
    <mergeCell ref="F872:G872"/>
    <mergeCell ref="D266:E272"/>
    <mergeCell ref="H665:H666"/>
    <mergeCell ref="F445:G445"/>
    <mergeCell ref="M301:N301"/>
    <mergeCell ref="M337:N337"/>
    <mergeCell ref="M847:N847"/>
    <mergeCell ref="M635:N635"/>
    <mergeCell ref="M1064:N1064"/>
    <mergeCell ref="M309:N309"/>
    <mergeCell ref="M32:N32"/>
    <mergeCell ref="M303:N303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140:G141"/>
    <mergeCell ref="M603:N603"/>
    <mergeCell ref="F771:G771"/>
    <mergeCell ref="D164:E168"/>
    <mergeCell ref="M761:N761"/>
    <mergeCell ref="M937:N937"/>
    <mergeCell ref="C170:C197"/>
    <mergeCell ref="Q4:S4"/>
    <mergeCell ref="M304:N304"/>
    <mergeCell ref="M632:N632"/>
    <mergeCell ref="F158:G158"/>
    <mergeCell ref="D1078:E1081"/>
    <mergeCell ref="D863:E864"/>
    <mergeCell ref="F885:G885"/>
    <mergeCell ref="F369:G369"/>
    <mergeCell ref="D966:E969"/>
    <mergeCell ref="F1104:H1104"/>
    <mergeCell ref="F764:H764"/>
    <mergeCell ref="F1096:G1096"/>
    <mergeCell ref="M777:N777"/>
    <mergeCell ref="F927:G928"/>
    <mergeCell ref="M16:N16"/>
    <mergeCell ref="F166:G167"/>
    <mergeCell ref="F797:G797"/>
    <mergeCell ref="F491:G491"/>
    <mergeCell ref="M350:N350"/>
    <mergeCell ref="H47:H48"/>
    <mergeCell ref="F72:G72"/>
    <mergeCell ref="M472:N472"/>
    <mergeCell ref="F370:G370"/>
    <mergeCell ref="M779:N779"/>
    <mergeCell ref="M18:N18"/>
    <mergeCell ref="F799:G799"/>
    <mergeCell ref="M45:N45"/>
    <mergeCell ref="F484:G484"/>
    <mergeCell ref="F1099:H1099"/>
    <mergeCell ref="M352:N352"/>
    <mergeCell ref="M474:N474"/>
    <mergeCell ref="F65:H65"/>
    <mergeCell ref="M17:N17"/>
    <mergeCell ref="M1079:N1079"/>
    <mergeCell ref="M47:N47"/>
    <mergeCell ref="M345:N345"/>
    <mergeCell ref="F1090:H1090"/>
    <mergeCell ref="M774:N774"/>
    <mergeCell ref="M19:N19"/>
    <mergeCell ref="F365:H365"/>
    <mergeCell ref="F88:G88"/>
    <mergeCell ref="M991:N991"/>
    <mergeCell ref="D1012:E1014"/>
    <mergeCell ref="Q5:Q6"/>
    <mergeCell ref="M376:N376"/>
    <mergeCell ref="F511:G511"/>
    <mergeCell ref="F54:G54"/>
    <mergeCell ref="M805:N805"/>
    <mergeCell ref="F613:G614"/>
    <mergeCell ref="D273:E283"/>
    <mergeCell ref="M44:N44"/>
    <mergeCell ref="F212:G212"/>
    <mergeCell ref="M1103:N1103"/>
    <mergeCell ref="F510:G510"/>
    <mergeCell ref="M378:N378"/>
    <mergeCell ref="F817:G817"/>
    <mergeCell ref="D242:E244"/>
    <mergeCell ref="F91:H91"/>
    <mergeCell ref="D871:E880"/>
    <mergeCell ref="M832:N832"/>
    <mergeCell ref="F83:G83"/>
    <mergeCell ref="C988:C1001"/>
    <mergeCell ref="M1130:N1130"/>
    <mergeCell ref="H732:H733"/>
    <mergeCell ref="M73:N73"/>
    <mergeCell ref="F512:G512"/>
    <mergeCell ref="M371:N371"/>
    <mergeCell ref="C333:C340"/>
    <mergeCell ref="F93:H93"/>
    <mergeCell ref="F85:G85"/>
    <mergeCell ref="M861:N861"/>
    <mergeCell ref="F385:H385"/>
    <mergeCell ref="F383:G383"/>
    <mergeCell ref="F689:H689"/>
    <mergeCell ref="M702:N702"/>
    <mergeCell ref="H277:H278"/>
    <mergeCell ref="M1131:N1131"/>
    <mergeCell ref="M406:N406"/>
    <mergeCell ref="M704:N704"/>
    <mergeCell ref="F985:G985"/>
    <mergeCell ref="F230:G230"/>
    <mergeCell ref="M518:N518"/>
    <mergeCell ref="D407:E411"/>
    <mergeCell ref="D515:E517"/>
    <mergeCell ref="F530:G530"/>
    <mergeCell ref="F136:G136"/>
    <mergeCell ref="D169:E169"/>
    <mergeCell ref="M63:N63"/>
    <mergeCell ref="F225:G225"/>
    <mergeCell ref="D991:E997"/>
    <mergeCell ref="M422:N422"/>
    <mergeCell ref="F444:H444"/>
    <mergeCell ref="F104:H104"/>
    <mergeCell ref="F436:G436"/>
    <mergeCell ref="C211:C219"/>
    <mergeCell ref="F742:H742"/>
    <mergeCell ref="M432:N432"/>
    <mergeCell ref="M845:N845"/>
    <mergeCell ref="M117:N117"/>
    <mergeCell ref="H751:H752"/>
    <mergeCell ref="F227:G227"/>
    <mergeCell ref="F315:H315"/>
    <mergeCell ref="M546:N546"/>
    <mergeCell ref="M722:N722"/>
    <mergeCell ref="F690:G691"/>
    <mergeCell ref="M844:N844"/>
    <mergeCell ref="M119:N119"/>
    <mergeCell ref="M732:N732"/>
    <mergeCell ref="M417:N417"/>
    <mergeCell ref="D188:E196"/>
    <mergeCell ref="F581:G581"/>
    <mergeCell ref="F615:H615"/>
    <mergeCell ref="M846:N846"/>
    <mergeCell ref="D24:E27"/>
    <mergeCell ref="M419:N419"/>
    <mergeCell ref="M717:N717"/>
    <mergeCell ref="D1071:E1072"/>
    <mergeCell ref="D91:E91"/>
    <mergeCell ref="D549:E553"/>
    <mergeCell ref="F408:G409"/>
    <mergeCell ref="F156:G156"/>
    <mergeCell ref="F454:G454"/>
    <mergeCell ref="D861:E862"/>
    <mergeCell ref="F612:G612"/>
    <mergeCell ref="M748:N748"/>
    <mergeCell ref="F157:H157"/>
    <mergeCell ref="F155:G155"/>
    <mergeCell ref="M906:N906"/>
    <mergeCell ref="F149:G149"/>
    <mergeCell ref="F1041:G1041"/>
    <mergeCell ref="M145:N145"/>
    <mergeCell ref="M443:N443"/>
    <mergeCell ref="F762:H762"/>
    <mergeCell ref="M750:N750"/>
    <mergeCell ref="F463:H463"/>
    <mergeCell ref="B815:B949"/>
    <mergeCell ref="M147:N147"/>
    <mergeCell ref="M470:N470"/>
    <mergeCell ref="M445:N445"/>
    <mergeCell ref="M743:N743"/>
    <mergeCell ref="F30:H30"/>
    <mergeCell ref="F757:H757"/>
    <mergeCell ref="F182:G182"/>
    <mergeCell ref="M770:N770"/>
    <mergeCell ref="D661:E677"/>
    <mergeCell ref="F296:G296"/>
    <mergeCell ref="D520:E521"/>
    <mergeCell ref="D296:E301"/>
    <mergeCell ref="D233:E233"/>
    <mergeCell ref="M801:N801"/>
    <mergeCell ref="D104:E104"/>
    <mergeCell ref="M890:N890"/>
    <mergeCell ref="F297:G297"/>
    <mergeCell ref="D975:E978"/>
    <mergeCell ref="F1113:H1113"/>
    <mergeCell ref="M803:N803"/>
    <mergeCell ref="H527:H528"/>
    <mergeCell ref="M1101:N1101"/>
    <mergeCell ref="F632:G633"/>
    <mergeCell ref="F508:G508"/>
    <mergeCell ref="C636:C638"/>
    <mergeCell ref="M367:N367"/>
    <mergeCell ref="M498:N498"/>
    <mergeCell ref="M158:N158"/>
    <mergeCell ref="M674:N674"/>
    <mergeCell ref="M796:N796"/>
    <mergeCell ref="F387:H387"/>
    <mergeCell ref="M77:N77"/>
    <mergeCell ref="M375:N375"/>
    <mergeCell ref="F816:H816"/>
    <mergeCell ref="M369:N369"/>
    <mergeCell ref="F177:G178"/>
    <mergeCell ref="F808:G808"/>
    <mergeCell ref="F1114:H1114"/>
    <mergeCell ref="M489:N489"/>
    <mergeCell ref="M160:N160"/>
    <mergeCell ref="D398:E400"/>
    <mergeCell ref="M72:N72"/>
    <mergeCell ref="M87:N87"/>
    <mergeCell ref="D751:E757"/>
    <mergeCell ref="D302:E304"/>
    <mergeCell ref="H118:H119"/>
    <mergeCell ref="M59:N59"/>
    <mergeCell ref="D463:E463"/>
    <mergeCell ref="F221:G221"/>
    <mergeCell ref="M972:N972"/>
    <mergeCell ref="H845:H846"/>
    <mergeCell ref="D36:E36"/>
    <mergeCell ref="F100:H100"/>
    <mergeCell ref="F984:G984"/>
    <mergeCell ref="M88:N88"/>
    <mergeCell ref="M359:N359"/>
    <mergeCell ref="M82:N82"/>
    <mergeCell ref="M219:N219"/>
    <mergeCell ref="M974:N974"/>
    <mergeCell ref="M517:N517"/>
    <mergeCell ref="M511:N511"/>
    <mergeCell ref="F102:H102"/>
    <mergeCell ref="M54:N54"/>
    <mergeCell ref="F400:H400"/>
    <mergeCell ref="M90:N90"/>
    <mergeCell ref="D1083:E1085"/>
    <mergeCell ref="D620:E622"/>
    <mergeCell ref="F125:G125"/>
    <mergeCell ref="F247:G247"/>
    <mergeCell ref="F554:G554"/>
    <mergeCell ref="C627:C635"/>
    <mergeCell ref="M85:N85"/>
    <mergeCell ref="F1010:G1010"/>
    <mergeCell ref="F555:H555"/>
    <mergeCell ref="F547:G547"/>
    <mergeCell ref="F583:G583"/>
    <mergeCell ref="F854:G854"/>
    <mergeCell ref="F120:G120"/>
    <mergeCell ref="C593:C596"/>
    <mergeCell ref="M141:N141"/>
    <mergeCell ref="F1012:G1012"/>
    <mergeCell ref="M439:N439"/>
    <mergeCell ref="F549:G549"/>
    <mergeCell ref="M230:N230"/>
    <mergeCell ref="M868:N868"/>
    <mergeCell ref="M224:N224"/>
    <mergeCell ref="D623:E625"/>
    <mergeCell ref="F847:H847"/>
    <mergeCell ref="F883:G883"/>
    <mergeCell ref="M143:N143"/>
    <mergeCell ref="M118:N118"/>
    <mergeCell ref="M441:N441"/>
    <mergeCell ref="M739:N739"/>
    <mergeCell ref="F578:G578"/>
    <mergeCell ref="F840:H840"/>
    <mergeCell ref="M232:N232"/>
    <mergeCell ref="M530:N530"/>
    <mergeCell ref="D28:E29"/>
    <mergeCell ref="D899:E903"/>
    <mergeCell ref="M741:N741"/>
    <mergeCell ref="F267:G267"/>
    <mergeCell ref="B952:H952"/>
    <mergeCell ref="D556:E560"/>
    <mergeCell ref="D341:E343"/>
    <mergeCell ref="D965:E965"/>
    <mergeCell ref="F27:H27"/>
    <mergeCell ref="D959:E959"/>
    <mergeCell ref="F636:G636"/>
    <mergeCell ref="B954:H954"/>
    <mergeCell ref="H945:H946"/>
    <mergeCell ref="F732:G733"/>
    <mergeCell ref="F1023:G1023"/>
    <mergeCell ref="F262:G262"/>
    <mergeCell ref="F269:G270"/>
    <mergeCell ref="M283:N283"/>
    <mergeCell ref="M581:N581"/>
    <mergeCell ref="H183:H184"/>
    <mergeCell ref="M915:N915"/>
    <mergeCell ref="M154:N154"/>
    <mergeCell ref="F593:G593"/>
    <mergeCell ref="M583:N583"/>
    <mergeCell ref="J5:L5"/>
    <mergeCell ref="M881:N881"/>
    <mergeCell ref="F168:H168"/>
    <mergeCell ref="M917:N917"/>
    <mergeCell ref="M156:N156"/>
    <mergeCell ref="M454:N454"/>
    <mergeCell ref="M612:N612"/>
    <mergeCell ref="M883:N883"/>
    <mergeCell ref="M910:N910"/>
    <mergeCell ref="M155:N155"/>
    <mergeCell ref="F169:H169"/>
    <mergeCell ref="F918:G918"/>
    <mergeCell ref="M912:N912"/>
    <mergeCell ref="F778:G778"/>
    <mergeCell ref="D911:E915"/>
    <mergeCell ref="M180:N180"/>
    <mergeCell ref="F743:G744"/>
    <mergeCell ref="H630:H631"/>
    <mergeCell ref="M609:N609"/>
    <mergeCell ref="M943:N943"/>
    <mergeCell ref="H841:H842"/>
    <mergeCell ref="M182:N182"/>
    <mergeCell ref="M480:N480"/>
    <mergeCell ref="F71:H71"/>
    <mergeCell ref="M970:N970"/>
    <mergeCell ref="F492:G492"/>
    <mergeCell ref="D1065:E1070"/>
    <mergeCell ref="M515:N515"/>
    <mergeCell ref="M297:N297"/>
    <mergeCell ref="M807:N807"/>
    <mergeCell ref="F197:H197"/>
    <mergeCell ref="M1111:N1111"/>
    <mergeCell ref="F333:G333"/>
    <mergeCell ref="C247:C265"/>
    <mergeCell ref="H254:H255"/>
    <mergeCell ref="D604:E604"/>
    <mergeCell ref="H256:H257"/>
    <mergeCell ref="M656:N656"/>
    <mergeCell ref="F791:G791"/>
    <mergeCell ref="F1089:G1089"/>
    <mergeCell ref="D306:E307"/>
    <mergeCell ref="H852:H853"/>
    <mergeCell ref="F675:G676"/>
    <mergeCell ref="F545:G545"/>
    <mergeCell ref="M683:N683"/>
    <mergeCell ref="F205:G205"/>
    <mergeCell ref="M981:N981"/>
    <mergeCell ref="M226:N226"/>
    <mergeCell ref="M956:N956"/>
    <mergeCell ref="F1091:G1091"/>
    <mergeCell ref="F363:G363"/>
    <mergeCell ref="F879:G879"/>
    <mergeCell ref="F880:H880"/>
    <mergeCell ref="F574:G574"/>
    <mergeCell ref="M983:N983"/>
    <mergeCell ref="M228:N228"/>
    <mergeCell ref="M222:N222"/>
    <mergeCell ref="M526:N526"/>
    <mergeCell ref="F1003:G1003"/>
    <mergeCell ref="M520:N520"/>
    <mergeCell ref="M870:N870"/>
    <mergeCell ref="D894:E898"/>
    <mergeCell ref="M984:N984"/>
    <mergeCell ref="H153:H154"/>
    <mergeCell ref="D54:E59"/>
    <mergeCell ref="M223:N223"/>
    <mergeCell ref="D685:E689"/>
    <mergeCell ref="D699:E705"/>
    <mergeCell ref="F1019:G1019"/>
    <mergeCell ref="F258:G258"/>
    <mergeCell ref="M1009:N1009"/>
    <mergeCell ref="M254:N254"/>
    <mergeCell ref="C945:C948"/>
    <mergeCell ref="D224:E228"/>
    <mergeCell ref="F898:H898"/>
    <mergeCell ref="F1021:G1021"/>
    <mergeCell ref="M125:N125"/>
    <mergeCell ref="F260:G260"/>
    <mergeCell ref="F864:H864"/>
    <mergeCell ref="M256:N256"/>
    <mergeCell ref="F558:G558"/>
    <mergeCell ref="M554:N554"/>
    <mergeCell ref="F594:G594"/>
    <mergeCell ref="M852:N852"/>
    <mergeCell ref="D105:E110"/>
    <mergeCell ref="M127:N127"/>
    <mergeCell ref="M249:N249"/>
    <mergeCell ref="F595:H595"/>
    <mergeCell ref="F289:G289"/>
    <mergeCell ref="F866:H866"/>
    <mergeCell ref="F893:H893"/>
    <mergeCell ref="F138:H138"/>
    <mergeCell ref="M285:N285"/>
    <mergeCell ref="D773:E782"/>
    <mergeCell ref="M908:N908"/>
    <mergeCell ref="F434:G434"/>
    <mergeCell ref="F1047:G1047"/>
    <mergeCell ref="F15:G15"/>
    <mergeCell ref="F620:G620"/>
    <mergeCell ref="M939:N939"/>
    <mergeCell ref="F747:G748"/>
    <mergeCell ref="F1049:G1049"/>
    <mergeCell ref="F1040:H1040"/>
    <mergeCell ref="F321:G321"/>
    <mergeCell ref="F1032:G1032"/>
    <mergeCell ref="B641:I641"/>
    <mergeCell ref="M724:N724"/>
    <mergeCell ref="M267:N267"/>
    <mergeCell ref="M478:N478"/>
    <mergeCell ref="F1034:G1034"/>
    <mergeCell ref="M636:N636"/>
    <mergeCell ref="M269:N269"/>
    <mergeCell ref="M934:N934"/>
    <mergeCell ref="F498:H498"/>
    <mergeCell ref="F460:G460"/>
    <mergeCell ref="H652:H653"/>
    <mergeCell ref="F7:H7"/>
    <mergeCell ref="F760:G760"/>
    <mergeCell ref="D241:E241"/>
    <mergeCell ref="F305:H305"/>
    <mergeCell ref="F639:H639"/>
    <mergeCell ref="D955:E958"/>
    <mergeCell ref="M652:N652"/>
    <mergeCell ref="M923:N923"/>
    <mergeCell ref="F34:G34"/>
    <mergeCell ref="M1081:N1081"/>
    <mergeCell ref="M618:N618"/>
    <mergeCell ref="F964:H964"/>
    <mergeCell ref="F209:H209"/>
    <mergeCell ref="F1087:G1087"/>
    <mergeCell ref="M191:N191"/>
    <mergeCell ref="M51:N51"/>
    <mergeCell ref="M349:N349"/>
    <mergeCell ref="M647:N647"/>
    <mergeCell ref="M918:N918"/>
    <mergeCell ref="D422:E423"/>
    <mergeCell ref="M778:N778"/>
    <mergeCell ref="M1076:N1076"/>
    <mergeCell ref="F361:G361"/>
    <mergeCell ref="F965:H965"/>
    <mergeCell ref="D626:E626"/>
    <mergeCell ref="F790:G790"/>
    <mergeCell ref="M649:N649"/>
    <mergeCell ref="F1088:G1088"/>
    <mergeCell ref="M192:N192"/>
    <mergeCell ref="D926:E926"/>
    <mergeCell ref="M949:N949"/>
    <mergeCell ref="D983:E986"/>
    <mergeCell ref="F815:G815"/>
    <mergeCell ref="F1119:G1119"/>
    <mergeCell ref="H62:H63"/>
    <mergeCell ref="D60:E65"/>
    <mergeCell ref="M794:N794"/>
    <mergeCell ref="H667:H668"/>
    <mergeCell ref="F183:G184"/>
    <mergeCell ref="D472:E477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F987:H987"/>
    <mergeCell ref="F232:H232"/>
    <mergeCell ref="M1096:N1096"/>
    <mergeCell ref="M368:N368"/>
    <mergeCell ref="F1107:H1107"/>
    <mergeCell ref="M245:N245"/>
    <mergeCell ref="F591:H591"/>
    <mergeCell ref="M660:N660"/>
    <mergeCell ref="M552:N552"/>
    <mergeCell ref="M579:N579"/>
    <mergeCell ref="M334:N334"/>
    <mergeCell ref="M850:N850"/>
    <mergeCell ref="M1089:N1089"/>
    <mergeCell ref="D639:E639"/>
    <mergeCell ref="B7:E7"/>
    <mergeCell ref="M879:N879"/>
    <mergeCell ref="F101:G101"/>
    <mergeCell ref="M5:P5"/>
    <mergeCell ref="F841:G842"/>
    <mergeCell ref="M693:N693"/>
    <mergeCell ref="C1083:C1086"/>
    <mergeCell ref="F834:G835"/>
    <mergeCell ref="M263:N263"/>
    <mergeCell ref="F836:G837"/>
    <mergeCell ref="F6:H6"/>
    <mergeCell ref="F619:H619"/>
    <mergeCell ref="F304:H304"/>
    <mergeCell ref="M1020:N1020"/>
    <mergeCell ref="M265:N265"/>
    <mergeCell ref="M563:N563"/>
    <mergeCell ref="F402:G402"/>
    <mergeCell ref="F1031:H1031"/>
    <mergeCell ref="M721:N721"/>
    <mergeCell ref="M1019:N1019"/>
    <mergeCell ref="F604:H604"/>
    <mergeCell ref="D543:E548"/>
    <mergeCell ref="M294:N294"/>
    <mergeCell ref="M565:N565"/>
    <mergeCell ref="D489:E490"/>
    <mergeCell ref="M1021:N1021"/>
    <mergeCell ref="M260:N260"/>
    <mergeCell ref="D783:E783"/>
    <mergeCell ref="F852:G853"/>
    <mergeCell ref="D1094:E1095"/>
    <mergeCell ref="F635:H635"/>
    <mergeCell ref="D561:E568"/>
    <mergeCell ref="M594:N594"/>
    <mergeCell ref="F249:G250"/>
    <mergeCell ref="F24:G24"/>
    <mergeCell ref="M20:N20"/>
    <mergeCell ref="C882:C916"/>
    <mergeCell ref="H648:H649"/>
    <mergeCell ref="D355:E355"/>
    <mergeCell ref="D369:E371"/>
    <mergeCell ref="F1057:H1057"/>
    <mergeCell ref="C341:C344"/>
    <mergeCell ref="C11:C23"/>
    <mergeCell ref="F32:G32"/>
    <mergeCell ref="F332:H332"/>
    <mergeCell ref="F330:G330"/>
    <mergeCell ref="F26:G26"/>
    <mergeCell ref="M22:N22"/>
    <mergeCell ref="M293:N293"/>
    <mergeCell ref="D321:E325"/>
    <mergeCell ref="M320:N320"/>
    <mergeCell ref="F324:G324"/>
    <mergeCell ref="S5:S6"/>
    <mergeCell ref="C710:C731"/>
    <mergeCell ref="M286:N286"/>
    <mergeCell ref="M1039:N1039"/>
    <mergeCell ref="F175:H175"/>
    <mergeCell ref="M645:N645"/>
    <mergeCell ref="M620:N620"/>
    <mergeCell ref="B1059:B1074"/>
    <mergeCell ref="M1074:N1074"/>
    <mergeCell ref="F456:G456"/>
    <mergeCell ref="M1032:N1032"/>
    <mergeCell ref="F146:G147"/>
    <mergeCell ref="M945:N945"/>
    <mergeCell ref="J4:P4"/>
    <mergeCell ref="F769:G769"/>
    <mergeCell ref="C960:C965"/>
    <mergeCell ref="F44:G44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en-GB</dc:language>
  <dcterms:created xsi:type="dcterms:W3CDTF">2026-04-14T15:50:10Z</dcterms:created>
  <dcterms:modified xsi:type="dcterms:W3CDTF">2026-04-21T15:44:15Z</dcterms:modified>
  <cp:revision>1</cp:revision>
</cp:coreProperties>
</file>